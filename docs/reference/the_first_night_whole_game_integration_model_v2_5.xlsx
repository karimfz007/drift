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4f6eb64ec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6b674519c5f44b6d"/>
    <x:sheet xmlns:r="http://schemas.openxmlformats.org/officeDocument/2006/relationships" name="Benchmark" sheetId="2" r:id="Re696426665da4b13"/>
    <x:sheet xmlns:r="http://schemas.openxmlformats.org/officeDocument/2006/relationships" name="Gap Backlog" sheetId="3" r:id="Rc63f3330ddda4b3c"/>
    <x:sheet xmlns:r="http://schemas.openxmlformats.org/officeDocument/2006/relationships" name="Dependencies" sheetId="4" r:id="R856ecbe3f72e492b"/>
    <x:sheet xmlns:r="http://schemas.openxmlformats.org/officeDocument/2006/relationships" name="System Registry" sheetId="5" r:id="Re6e32d5cb65b4550"/>
    <x:sheet xmlns:r="http://schemas.openxmlformats.org/officeDocument/2006/relationships" name="Balance Inputs" sheetId="6" r:id="Rcba63c36dc244bc2"/>
    <x:sheet xmlns:r="http://schemas.openxmlformats.org/officeDocument/2006/relationships" name="Activity Model" sheetId="7" r:id="Rff097760a7aa407a"/>
    <x:sheet xmlns:r="http://schemas.openxmlformats.org/officeDocument/2006/relationships" name="Campaign Spine" sheetId="8" r:id="R693eb6dec094429c"/>
    <x:sheet xmlns:r="http://schemas.openxmlformats.org/officeDocument/2006/relationships" name="Sources" sheetId="9" r:id="R1de03e898f1b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"/>
    <x:numFmt numFmtId="203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247"/>
      <x:name val="Carlito"/>
    </x:font>
    <x:font>
      <x:b/>
      <x:sz val="11"/>
      <x:color rgb="FF203247"/>
      <x:name val="Carlito"/>
    </x:font>
    <x:font>
      <x:b/>
      <x:sz val="11"/>
      <x:color rgb="FFFFFFFF"/>
      <x:name val="Carlito"/>
    </x:font>
    <x:font>
      <x:sz val="11"/>
      <x:color rgb="FF182230"/>
      <x:name val="Carlito"/>
    </x:font>
    <x:font>
      <x:sz val="9"/>
      <x:color rgb="FF18223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2230"/>
      </x:patternFill>
    </x:fill>
    <x:fill>
      <x:patternFill patternType="solid">
        <x:fgColor rgb="FFF6F0E6"/>
      </x:patternFill>
    </x:fill>
    <x:fill>
      <x:patternFill patternType="solid">
        <x:fgColor rgb="FFEEF2F5"/>
      </x:patternFill>
    </x:fill>
    <x:fill>
      <x:patternFill patternType="solid">
        <x:fgColor rgb="FFD96632"/>
      </x:patternFill>
    </x:fill>
    <x:fill>
      <x:patternFill patternType="solid">
        <x:fgColor rgb="FF203247"/>
      </x:patternFill>
    </x:fill>
  </x:fills>
  <x:borders count="7">
    <x:border/>
    <x:border>
      <x:left style="thin">
        <x:color rgb="FFCCD4DC"/>
      </x:left>
      <x:top style="thin">
        <x:color rgb="FFCCD4DC"/>
      </x:top>
      <x:bottom style="thin">
        <x:color rgb="FFCCD4DC"/>
      </x:bottom>
    </x:border>
    <x:border>
      <x:top style="thin">
        <x:color rgb="FFCCD4DC"/>
      </x:top>
      <x:bottom style="thin">
        <x:color rgb="FFCCD4DC"/>
      </x:bottom>
    </x:border>
    <x:border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bottom style="thin">
        <x:color rgb="FFE1E6EA"/>
      </x:bottom>
    </x:border>
    <x:border>
      <x:top style="thin">
        <x:color rgb="FFE1E6EA"/>
      </x:top>
      <x:bottom style="thin">
        <x:color rgb="FFE1E6EA"/>
      </x:bottom>
    </x:border>
    <x:border>
      <x:top style="thin">
        <x:color rgb="FFE1E6EA"/>
      </x:top>
      <x:bottom style="thin">
        <x:color rgb="FFCCD4D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201" fontId="6" fillId="0" borderId="4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2" fontId="6" fillId="0" borderId="4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4" xfId="0" applyNumberFormat="1" applyFont="1" applyFill="1" applyBorder="1" applyAlignment="1">
      <x:alignment vertical="top" wrapText="1"/>
    </x:xf>
    <x:xf numFmtId="203" fontId="6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B8473F"/>
      </x:font>
      <x:fill>
        <x:patternFill patternType="solid">
          <x:bgColor rgb="FFF6D5D2"/>
        </x:patternFill>
      </x:fill>
    </x:dxf>
    <x:dxf>
      <x:font>
        <x:b/>
        <x:color rgb="FFB8473F"/>
      </x:font>
      <x:fill>
        <x:patternFill patternType="solid">
          <x:bgColor rgb="FFF4C7C3"/>
        </x:patternFill>
      </x:fill>
    </x:dxf>
    <x:dxf>
      <x:font>
        <x:b/>
        <x:color rgb="FFB8473F"/>
      </x:font>
      <x:fill>
        <x:patternFill patternType="solid">
          <x:bgColor rgb="FFF6D5D2"/>
        </x:patternFill>
      </x:fill>
    </x:dxf>
    <x:dxf>
      <x:font>
        <x:b/>
        <x:color rgb="FFB8473F"/>
      </x:font>
      <x:fill>
        <x:patternFill patternType="solid">
          <x:bgColor rgb="FFF4C7C3"/>
        </x:patternFill>
      </x:fill>
    </x:dxf>
    <x:dxf>
      <x:font>
        <x:b/>
        <x:color rgb="FF7A5A00"/>
      </x:font>
      <x:fill>
        <x:patternFill patternType="solid">
          <x:bgColor rgb="FFF7E6A2"/>
        </x:patternFill>
      </x:fill>
    </x:dxf>
    <x:dxf>
      <x:font>
        <x:b/>
        <x:color rgb="FF203247"/>
      </x:font>
      <x:fill>
        <x:patternFill patternType="solid">
          <x:bgColor rgb="FFDCE7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39b82bd054c44" /><Relationship Type="http://schemas.openxmlformats.org/officeDocument/2006/relationships/theme" Target="/xl/theme/theme1.xml" Id="Rcb0e20e26654489f" /><Relationship Type="http://schemas.openxmlformats.org/officeDocument/2006/relationships/sharedStrings" Target="/xl/sharedStrings.xml" Id="Ra09bab1bd79a4e0f" /><Relationship Type="http://schemas.openxmlformats.org/officeDocument/2006/relationships/worksheet" Target="/xl/worksheets/sheet1.xml" Id="R6b674519c5f44b6d" /><Relationship Type="http://schemas.openxmlformats.org/officeDocument/2006/relationships/worksheet" Target="/xl/worksheets/sheet2.xml" Id="Re696426665da4b13" /><Relationship Type="http://schemas.openxmlformats.org/officeDocument/2006/relationships/worksheet" Target="/xl/worksheets/sheet3.xml" Id="Rc63f3330ddda4b3c" /><Relationship Type="http://schemas.openxmlformats.org/officeDocument/2006/relationships/worksheet" Target="/xl/worksheets/sheet4.xml" Id="R856ecbe3f72e492b" /><Relationship Type="http://schemas.openxmlformats.org/officeDocument/2006/relationships/worksheet" Target="/xl/worksheets/sheet5.xml" Id="Re6e32d5cb65b4550" /><Relationship Type="http://schemas.openxmlformats.org/officeDocument/2006/relationships/worksheet" Target="/xl/worksheets/sheet6.xml" Id="Rcba63c36dc244bc2" /><Relationship Type="http://schemas.openxmlformats.org/officeDocument/2006/relationships/worksheet" Target="/xl/worksheets/sheet7.xml" Id="Rff097760a7aa407a" /><Relationship Type="http://schemas.openxmlformats.org/officeDocument/2006/relationships/worksheet" Target="/xl/worksheets/sheet8.xml" Id="R693eb6dec094429c" /><Relationship Type="http://schemas.openxmlformats.org/officeDocument/2006/relationships/worksheet" Target="/xl/worksheets/sheet9.xml" Id="R1de03e898f1b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13" hidden="0" customWidth="1"/>
    <x:col min="5" max="5" width="18" hidden="0" customWidth="1"/>
    <x:col min="6" max="6" width="39" hidden="0" customWidth="1"/>
    <x:col min="7" max="7" width="16" hidden="0" customWidth="1"/>
    <x:col min="8" max="8" width="10" hidden="0" customWidth="1"/>
  </x:cols>
  <x:sheetData>
    <x:row r="1" ht="30" customHeight="1">
      <x:c r="A1" s="3" t="str">
        <x:v>RUSTED v2.5 — Whole-Game Integration Model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Designed, implemented and accepted are measured separately. All values marked as model seeds require playtest calibration.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Canon avg</x:v>
      </x:c>
      <x:c r="B4" s="16" t="n">
        <x:f>AVERAGE('Benchmark'!D5:D24)</x:f>
        <x:v>4.15</x:v>
      </x:c>
      <x:c r="C4" s="16" t="str">
        <x:v>Build avg</x:v>
      </x:c>
      <x:c r="D4" s="16" t="n">
        <x:f>AVERAGE('Benchmark'!E5:E24)</x:f>
        <x:v>1.1</x:v>
      </x:c>
      <x:c r="E4" s="16" t="str">
        <x:v>Evidence avg</x:v>
      </x:c>
      <x:c r="F4" s="16" t="n">
        <x:f>AVERAGE('Benchmark'!F5:F24)</x:f>
        <x:v>0.5</x:v>
      </x:c>
      <x:c r="G4" s="14" t="str">
        <x:v>P0 gaps</x:v>
      </x:c>
      <x:c r="H4" s="15" t="n">
        <x:f>COUNTIF('Gap Backlog'!B5:B30,"P0")</x:f>
        <x:v>12</x:v>
      </x:c>
    </x:row>
    <x:row r="6">
      <x:c r="A6" s="18" t="str">
        <x:v>DECISIVE FINDING</x:v>
      </x:c>
      <x:c r="B6" s="18"/>
      <x:c r="C6" s="18"/>
      <x:c r="D6" s="18"/>
      <x:c r="E6" s="18"/>
      <x:c r="F6" s="18"/>
      <x:c r="G6" s="18"/>
      <x:c r="H6" s="18"/>
    </x:row>
    <x:row r="7">
      <x:c r="A7" s="21" t="str">
        <x:v>The concept is strongest where conventional survival games are weakest—causal invention, physical knowledge inheritance, staged wreck/boat operations and true return. The build is strongest in deterministic persistence and automated verification, but almost all signature systems remain unimplemented.</x:v>
      </x:c>
      <x:c r="B7" s="21"/>
      <x:c r="C7" s="21"/>
      <x:c r="D7" s="21"/>
      <x:c r="E7" s="21"/>
      <x:c r="F7" s="21"/>
      <x:c r="G7" s="21"/>
      <x:c r="H7" s="21"/>
    </x:row>
    <x:row r="8">
      <x:c r="A8" s="21"/>
      <x:c r="B8" s="21"/>
      <x:c r="C8" s="21"/>
      <x:c r="D8" s="21"/>
      <x:c r="E8" s="21"/>
      <x:c r="F8" s="21"/>
      <x:c r="G8" s="21"/>
      <x:c r="H8" s="21"/>
    </x:row>
    <x:row r="10" ht="30" customHeight="1">
      <x:c r="A10" s="30" t="str">
        <x:v>Priority</x:v>
      </x:c>
      <x:c r="B10" s="31" t="str">
        <x:v>Weak point</x:v>
      </x:c>
      <x:c r="C10" s="31" t="str">
        <x:v>Why it matters</x:v>
      </x:c>
      <x:c r="D10" s="31" t="str">
        <x:v>Next gate</x:v>
      </x:c>
      <x:c r="E10" s="31" t="str">
        <x:v>Status</x:v>
      </x:c>
      <x:c r="F10" s="32" t="str">
        <x:v>Acceptance proof</x:v>
      </x:c>
      <x:c r="G10" t="str"/>
      <x:c r="H10" t="str"/>
    </x:row>
    <x:row r="11">
      <x:c r="A11" s="40" t="str">
        <x:v>P0</x:v>
      </x:c>
      <x:c r="B11" s="40" t="str">
        <x:v>Fragmented canon and unsafe status language</x:v>
      </x:c>
      <x:c r="C11" s="40" t="str">
        <x:v>Contradictory implementation and false completion claims</x:v>
      </x:c>
      <x:c r="D11" s="40" t="str">
        <x:v>I0</x:v>
      </x:c>
      <x:c r="E11" s="40" t="str">
        <x:v>Open</x:v>
      </x:c>
      <x:c r="F11" s="40" t="str">
        <x:v>Every feature has current authority and independent build/evidence states</x:v>
      </x:c>
    </x:row>
    <x:row r="12">
      <x:c r="A12" s="41" t="str">
        <x:v>P0</x:v>
      </x:c>
      <x:c r="B12" s="41" t="str">
        <x:v>No central causal resolver</x:v>
      </x:c>
      <x:c r="C12" s="41" t="str">
        <x:v>Double charges, impossible cascades and fabricated recovery</x:v>
      </x:c>
      <x:c r="D12" s="41" t="str">
        <x:v>I2</x:v>
      </x:c>
      <x:c r="E12" s="41" t="str">
        <x:v>Open</x:v>
      </x:c>
      <x:c r="F12" s="41" t="str">
        <x:v>Representative scenarios resolve once and match causal direction</x:v>
      </x:c>
    </x:row>
    <x:row r="13">
      <x:c r="A13" s="41" t="str">
        <x:v>P0</x:v>
      </x:c>
      <x:c r="B13" s="41" t="str">
        <x:v>Capability graph is not machine-testable</x:v>
      </x:c>
      <x:c r="C13" s="41" t="str">
        <x:v>Unreachable endpoints, circular gates and single-source dead ends</x:v>
      </x:c>
      <x:c r="D13" s="41" t="str">
        <x:v>I2</x:v>
      </x:c>
      <x:c r="E13" s="41" t="str">
        <x:v>Open</x:v>
      </x:c>
      <x:c r="F13" s="41" t="str">
        <x:v>All required endpoints reachable with at least one recovery path</x:v>
      </x:c>
    </x:row>
    <x:row r="14">
      <x:c r="A14" s="41" t="str">
        <x:v>P0</x:v>
      </x:c>
      <x:c r="B14" s="41" t="str">
        <x:v>No complete playable campaign</x:v>
      </x:c>
      <x:c r="C14" s="41" t="str">
        <x:v>The central promise remains unproven</x:v>
      </x:c>
      <x:c r="D14" s="41" t="str">
        <x:v>I7</x:v>
      </x:c>
      <x:c r="E14" s="41" t="str">
        <x:v>Open</x:v>
      </x:c>
      <x:c r="F14" s="41" t="str">
        <x:v>A new player reaches reception and resolves a Human Thread</x:v>
      </x:c>
    </x:row>
    <x:row r="15">
      <x:c r="A15" s="41" t="str">
        <x:v>P0</x:v>
      </x:c>
      <x:c r="B15" s="41" t="str">
        <x:v>Embodied feel not accepted</x:v>
      </x:c>
      <x:c r="C15" s="41" t="str">
        <x:v>Core verbs feel sluggish or unreliable</x:v>
      </x:c>
      <x:c r="D15" s="41" t="str">
        <x:v>I0–I1</x:v>
      </x:c>
      <x:c r="E15" s="41" t="str">
        <x:v>Open</x:v>
      </x:c>
      <x:c r="F15" s="41" t="str">
        <x:v>Players complete the loop without coaching or latched controls</x:v>
      </x:c>
    </x:row>
    <x:row r="16">
      <x:c r="A16" s="41" t="str">
        <x:v>P0</x:v>
      </x:c>
      <x:c r="B16" s="41" t="str">
        <x:v>Discovery language incomplete</x:v>
      </x:c>
      <x:c r="C16" s="41" t="str">
        <x:v>Random-combination frustration</x:v>
      </x:c>
      <x:c r="D16" s="41" t="str">
        <x:v>I4</x:v>
      </x:c>
      <x:c r="E16" s="41" t="str">
        <x:v>Open</x:v>
      </x:c>
      <x:c r="F16" s="41" t="str">
        <x:v>Players form plausible hypotheses without external lookup</x:v>
      </x:c>
    </x:row>
    <x:row r="17">
      <x:c r="A17" s="41" t="str">
        <x:v>P0</x:v>
      </x:c>
      <x:c r="B17" s="41" t="str">
        <x:v>Most numbers lack calibration state</x:v>
      </x:c>
      <x:c r="C17" s="41" t="str">
        <x:v>Inconsistent rates and hidden assumptions</x:v>
      </x:c>
      <x:c r="D17" s="41" t="str">
        <x:v>I2+</x:v>
      </x:c>
      <x:c r="E17" s="41" t="str">
        <x:v>Open</x:v>
      </x:c>
      <x:c r="F17" s="41" t="str">
        <x:v>Every numeric field has unit, source/status and acceptance band</x:v>
      </x:c>
    </x:row>
    <x:row r="18">
      <x:c r="A18" s="41" t="str">
        <x:v>P0</x:v>
      </x:c>
      <x:c r="B18" s="41" t="str">
        <x:v>First-night legacy imbalance</x:v>
      </x:c>
      <x:c r="C18" s="41" t="str">
        <x:v>Shelter trivializes fire while fuel creates busywork</x:v>
      </x:c>
      <x:c r="D18" s="41" t="str">
        <x:v>I2</x:v>
      </x:c>
      <x:c r="E18" s="41" t="str">
        <x:v>Open</x:v>
      </x:c>
      <x:c r="F18" s="41" t="str">
        <x:v>First pressure at 150–180 s; refuge/fire remain complementary</x:v>
      </x:c>
    </x:row>
    <x:row r="19">
      <x:c r="A19" s="41" t="str">
        <x:v>P0</x:v>
      </x:c>
      <x:c r="B19" s="41" t="str">
        <x:v>Android runtime unverified</x:v>
      </x:c>
      <x:c r="C19" s="41" t="str">
        <x:v>Input, thermal and performance risk</x:v>
      </x:c>
      <x:c r="D19" s="41" t="str">
        <x:v>I0</x:v>
      </x:c>
      <x:c r="E19" s="41" t="str">
        <x:v>Blocked</x:v>
      </x:c>
      <x:c r="F19" s="41" t="str">
        <x:v>Director accepts collection, making, placement and save on device</x:v>
      </x:c>
    </x:row>
    <x:row r="20">
      <x:c r="A20" s="42" t="str">
        <x:v>P0</x:v>
      </x:c>
      <x:c r="B20" s="42" t="str">
        <x:v>Scope beyond proven capacity</x:v>
      </x:c>
      <x:c r="C20" s="42" t="str">
        <x:v>Many shallow systems and delayed release</x:v>
      </x:c>
      <x:c r="D20" s="42" t="str">
        <x:v>All</x:v>
      </x:c>
      <x:c r="E20" s="42" t="str">
        <x:v>Open</x:v>
      </x:c>
      <x:c r="F20" s="42" t="str">
        <x:v>No new family enters production without a passed representative</x:v>
      </x:c>
    </x:row>
    <x:row r="22" ht="30" customHeight="1">
      <x:c r="A22" s="30" t="str">
        <x:v>Phase</x:v>
      </x:c>
      <x:c r="B22" s="31" t="str">
        <x:v>Band</x:v>
      </x:c>
      <x:c r="C22" s="31" t="str">
        <x:v>Player problem</x:v>
      </x:c>
      <x:c r="D22" s="31" t="str">
        <x:v>New verb</x:v>
      </x:c>
      <x:c r="E22" s="31" t="str">
        <x:v>Permanent change</x:v>
      </x:c>
      <x:c r="F22" s="31" t="str">
        <x:v>Dominant pressure</x:v>
      </x:c>
      <x:c r="G22" s="32" t="str">
        <x:v>Gate</x:v>
      </x:c>
    </x:row>
    <x:row r="23">
      <x:c r="A23" s="40" t="str">
        <x:v>0</x:v>
      </x:c>
      <x:c r="B23" s="40" t="str">
        <x:v>Translation</x:v>
      </x:c>
      <x:c r="C23" s="40" t="str">
        <x:v>Get out of immediate danger while compromised</x:v>
      </x:c>
      <x:c r="D23" s="40" t="str">
        <x:v>orient / free / inspect</x:v>
      </x:c>
      <x:c r="E23" s="40" t="str">
        <x:v>Body evidence and personal object</x:v>
      </x:c>
      <x:c r="F23" s="40" t="str">
        <x:v>Airway, surf, smoke or impact</x:v>
      </x:c>
      <x:c r="G23" s="40" t="str">
        <x:v>I2</x:v>
      </x:c>
    </x:row>
    <x:row r="24">
      <x:c r="A24" s="41" t="str">
        <x:v>1</x:v>
      </x:c>
      <x:c r="B24" s="41" t="str">
        <x:v>Safe pocket</x:v>
      </x:c>
      <x:c r="C24" s="41" t="str">
        <x:v>Stop deterioration and understand the body</x:v>
      </x:c>
      <x:c r="D24" s="41" t="str">
        <x:v>cover / wring / bind / relocate</x:v>
      </x:c>
      <x:c r="E24" s="41" t="str">
        <x:v>Readable condition and local map</x:v>
      </x:c>
      <x:c r="F24" s="41" t="str">
        <x:v>Wetness, wind and pain</x:v>
      </x:c>
      <x:c r="G24" s="41" t="str">
        <x:v>I2</x:v>
      </x:c>
    </x:row>
    <x:row r="25">
      <x:c r="A25" s="41" t="str">
        <x:v>2</x:v>
      </x:c>
      <x:c r="B25" s="41" t="str">
        <x:v>First relation</x:v>
      </x:c>
      <x:c r="C25" s="41" t="str">
        <x:v>Turn loose matter into controlled action</x:v>
      </x:c>
      <x:c r="D25" s="41" t="str">
        <x:v>stage / strike / bind / test</x:v>
      </x:c>
      <x:c r="E25" s="41" t="str">
        <x:v>First demonstrated tool relation</x:v>
      </x:c>
      <x:c r="F25" s="41" t="str">
        <x:v>Time and failing light</x:v>
      </x:c>
      <x:c r="G25" s="41" t="str">
        <x:v>I4</x:v>
      </x:c>
    </x:row>
    <x:row r="26">
      <x:c r="A26" s="41" t="str">
        <x:v>3</x:v>
      </x:c>
      <x:c r="B26" s="41" t="str">
        <x:v>Fire discovery</x:v>
      </x:c>
      <x:c r="C26" s="41" t="str">
        <x:v>Produce and sustain useful heat</x:v>
      </x:c>
      <x:c r="D26" s="41" t="str">
        <x:v>prepare / ignite / feed / diagnose</x:v>
      </x:c>
      <x:c r="E26" s="41" t="str">
        <x:v>Tentative fire pattern</x:v>
      </x:c>
      <x:c r="F26" s="41" t="str">
        <x:v>Cold, wet fuel and dexterity</x:v>
      </x:c>
      <x:c r="G26" s="41" t="str">
        <x:v>I4</x:v>
      </x:c>
    </x:row>
    <x:row r="27">
      <x:c r="A27" s="41" t="str">
        <x:v>4</x:v>
      </x:c>
      <x:c r="B27" s="41" t="str">
        <x:v>Truthful refuge</x:v>
      </x:c>
      <x:c r="C27" s="41" t="str">
        <x:v>Combine roof, dry interface and wind control</x:v>
      </x:c>
      <x:c r="D27" s="41" t="str">
        <x:v>site / carry / brace / correct</x:v>
      </x:c>
      <x:c r="E27" s="41" t="str">
        <x:v>First attachment to place</x:v>
      </x:c>
      <x:c r="F27" s="41" t="str">
        <x:v>Material commitment</x:v>
      </x:c>
      <x:c r="G27" s="41" t="str">
        <x:v>I2</x:v>
      </x:c>
    </x:row>
    <x:row r="28">
      <x:c r="A28" s="41" t="str">
        <x:v>5</x:v>
      </x:c>
      <x:c r="B28" s="41" t="str">
        <x:v>Water Run</x:v>
      </x:c>
      <x:c r="C28" s="41" t="str">
        <x:v>Establish hydration continuity beyond shelter</x:v>
      </x:c>
      <x:c r="D28" s="41" t="str">
        <x:v>locate / assess / contain / treat</x:v>
      </x:c>
      <x:c r="E28" s="41" t="str">
        <x:v>Home water operation</x:v>
      </x:c>
      <x:c r="F28" s="41" t="str">
        <x:v>Distance, contamination and load</x:v>
      </x:c>
      <x:c r="G28" s="41" t="str">
        <x:v>I3</x:v>
      </x:c>
    </x:row>
    <x:row r="29">
      <x:c r="A29" s="41" t="str">
        <x:v>6</x:v>
      </x:c>
      <x:c r="B29" s="41" t="str">
        <x:v>Wreck Window</x:v>
      </x:c>
      <x:c r="C29" s="41" t="str">
        <x:v>Act on a changing opportunity</x:v>
      </x:c>
      <x:c r="D29" s="41" t="str">
        <x:v>observe / stabilize / access / detach</x:v>
      </x:c>
      <x:c r="E29" s="41" t="str">
        <x:v>Capability-changing object and site consequence</x:v>
      </x:c>
      <x:c r="F29" s="41" t="str">
        <x:v>Tide, weather and injury</x:v>
      </x:c>
      <x:c r="G29" s="41" t="str">
        <x:v>I5</x:v>
      </x:c>
    </x:row>
    <x:row r="30">
      <x:c r="A30" s="41" t="str">
        <x:v>7</x:v>
      </x:c>
      <x:c r="B30" s="41" t="str">
        <x:v>Maker Lab</x:v>
      </x:c>
      <x:c r="C30" s="41" t="str">
        <x:v>Convert evidence into repeatable capability</x:v>
      </x:c>
      <x:c r="D30" s="41" t="str">
        <x:v>compare / measure / jig / document</x:v>
      </x:c>
      <x:c r="E30" s="41" t="str">
        <x:v>Dependable pattern and archive</x:v>
      </x:c>
      <x:c r="F30" s="41" t="str">
        <x:v>Precision and scarcity</x:v>
      </x:c>
      <x:c r="G30" s="41" t="str">
        <x:v>I4–I5</x:v>
      </x:c>
    </x:row>
    <x:row r="31">
      <x:c r="A31" s="41" t="str">
        <x:v>8</x:v>
      </x:c>
      <x:c r="B31" s="41" t="str">
        <x:v>Working home</x:v>
      </x:c>
      <x:c r="C31" s="41" t="str">
        <x:v>Make safety productive but costly</x:v>
      </x:c>
      <x:c r="D31" s="41" t="str">
        <x:v>store / repair / preserve / cultivate</x:v>
      </x:c>
      <x:c r="E31" s="41" t="str">
        <x:v>Routes and obligations</x:v>
      </x:c>
      <x:c r="F31" s="41" t="str">
        <x:v>Maintenance and logistics</x:v>
      </x:c>
      <x:c r="G31" s="41" t="str">
        <x:v>I5+</x:v>
      </x:c>
    </x:row>
    <x:row r="32">
      <x:c r="A32" s="41" t="str">
        <x:v>9</x:v>
      </x:c>
      <x:c r="B32" s="41" t="str">
        <x:v>Fishing boat B0–B3</x:v>
      </x:c>
      <x:c r="C32" s="41" t="str">
        <x:v>Make a partial legacy machine useful</x:v>
      </x:c>
      <x:c r="D32" s="41" t="str">
        <x:v>secure / patch / launch / load / paddle</x:v>
      </x:c>
      <x:c r="E32" s="41" t="str">
        <x:v>Floating/paddled workboat</x:v>
      </x:c>
      <x:c r="F32" s="41" t="str">
        <x:v>Flotation, balance and exposure</x:v>
      </x:c>
      <x:c r="G32" s="41" t="str">
        <x:v>I6</x:v>
      </x:c>
    </x:row>
    <x:row r="33">
      <x:c r="A33" s="41" t="str">
        <x:v>10</x:v>
      </x:c>
      <x:c r="B33" s="41" t="str">
        <x:v>Sea and depth</x:v>
      </x:c>
      <x:c r="C33" s="41" t="str">
        <x:v>Extend reachable world</x:v>
      </x:c>
      <x:c r="D33" s="41" t="str">
        <x:v>navigate / reboard / dive / recover</x:v>
      </x:c>
      <x:c r="E33" s="41" t="str">
        <x:v>New material, evidence and routes</x:v>
      </x:c>
      <x:c r="F33" s="41" t="str">
        <x:v>Weather, air and return reserve</x:v>
      </x:c>
      <x:c r="G33" s="41" t="str">
        <x:v>I6+</x:v>
      </x:c>
    </x:row>
    <x:row r="34">
      <x:c r="A34" s="41" t="str">
        <x:v>11</x:v>
      </x:c>
      <x:c r="B34" s="41" t="str">
        <x:v>Return Program</x:v>
      </x:c>
      <x:c r="C34" s="41" t="str">
        <x:v>Build one credible way outward</x:v>
      </x:c>
      <x:c r="D34" s="41" t="str">
        <x:v>authenticate / repair / test / provision</x:v>
      </x:c>
      <x:c r="E34" s="41" t="str">
        <x:v>Actionable return hypothesis</x:v>
      </x:c>
      <x:c r="F34" s="41" t="str">
        <x:v>Proof, compatibility and timing</x:v>
      </x:c>
      <x:c r="G34" s="41" t="str">
        <x:v>I7</x:v>
      </x:c>
    </x:row>
    <x:row r="35">
      <x:c r="A35" s="41" t="str">
        <x:v>12</x:v>
      </x:c>
      <x:c r="B35" s="41" t="str">
        <x:v>Boundary operation</x:v>
      </x:c>
      <x:c r="C35" s="41" t="str">
        <x:v>Leave through play, not a cutscene</x:v>
      </x:c>
      <x:c r="D35" s="41" t="str">
        <x:v>launch / transmit / cross / rendezvous</x:v>
      </x:c>
      <x:c r="E35" s="41" t="str">
        <x:v>External commitment</x:v>
      </x:c>
      <x:c r="F35" s="41" t="str">
        <x:v>Navigation and irreversibility</x:v>
      </x:c>
      <x:c r="G35" s="41" t="str">
        <x:v>I7</x:v>
      </x:c>
    </x:row>
    <x:row r="36">
      <x:c r="A36" s="41" t="str">
        <x:v>13</x:v>
      </x:c>
      <x:c r="B36" s="41" t="str">
        <x:v>Reception</x:v>
      </x:c>
      <x:c r="C36" s="41" t="str">
        <x:v>Survive the world beyond the anomaly</x:v>
      </x:c>
      <x:c r="D36" s="41" t="str">
        <x:v>identify / explain / travel</x:v>
      </x:c>
      <x:c r="E36" s="41" t="str">
        <x:v>Recognized person and resolved thread</x:v>
      </x:c>
      <x:c r="F36" s="41" t="str">
        <x:v>Credibility, time and jurisdiction</x:v>
      </x:c>
      <x:c r="G36" s="41" t="str">
        <x:v>I7</x:v>
      </x:c>
    </x:row>
    <x:row r="37">
      <x:c r="A37" s="42" t="str">
        <x:v>14</x:v>
      </x:c>
      <x:c r="B37" s="42" t="str">
        <x:v>Chosen ending / successor</x:v>
      </x:c>
      <x:c r="C37" s="42" t="str">
        <x:v>Decide what home means or continue legacy</x:v>
      </x:c>
      <x:c r="D37" s="42" t="str">
        <x:v>return / remain / prepare / arrive</x:v>
      </x:c>
      <x:c r="E37" s="42" t="str">
        <x:v>Campaign statement and changed world</x:v>
      </x:c>
      <x:c r="F37" s="42" t="str">
        <x:v>Attachment, obligation and loss</x:v>
      </x:c>
      <x:c r="G37" s="42" t="str">
        <x:v>I8+</x:v>
      </x:c>
    </x:row>
  </x:sheetData>
  <x:mergeCells>
    <x:mergeCell ref="A1:H1"/>
    <x:mergeCell ref="A2:H2"/>
    <x:mergeCell ref="A6:H6"/>
    <x:mergeCell ref="A7:H8"/>
  </x:mergeCells>
  <x:conditionalFormatting sqref="A11:A20">
    <x:cfRule type="containsText" dxfId="0" priority="1" operator="containsText" text="P0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43" hidden="0" customWidth="1"/>
    <x:col min="4" max="4" width="11" hidden="0" customWidth="1"/>
    <x:col min="5" max="5" width="11" hidden="0" customWidth="1"/>
    <x:col min="6" max="6" width="12" hidden="0" customWidth="1"/>
    <x:col min="7" max="7" width="13" hidden="0" customWidth="1"/>
    <x:col min="8" max="8" width="11" hidden="0" customWidth="1"/>
    <x:col min="9" max="9" width="39" hidden="0" customWidth="1"/>
    <x:col min="10" max="10" width="39" hidden="0" customWidth="1"/>
    <x:col min="11" max="11" width="46" hidden="0" customWidth="1"/>
  </x:cols>
  <x:sheetData>
    <x:row r="1" ht="30" customHeight="1">
      <x:c r="A1" s="3" t="str">
        <x:v>Competitive Benchmark — Concept vs Build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0 = absent; 1 = trace; 2 = partial prototype; 3 = coherent prototype; 4 = integrated/strong evidence; 5 = category-leading target or acceptance.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30" t="str">
        <x:v>Capability</x:v>
      </x:c>
      <x:c r="B4" s="31" t="str">
        <x:v>Leader(s)</x:v>
      </x:c>
      <x:c r="C4" s="31" t="str">
        <x:v>Leader standard</x:v>
      </x:c>
      <x:c r="D4" s="31" t="str">
        <x:v>Canon 0–5</x:v>
      </x:c>
      <x:c r="E4" s="31" t="str">
        <x:v>Build 0–5</x:v>
      </x:c>
      <x:c r="F4" s="31" t="str">
        <x:v>Evidence 0–5</x:v>
      </x:c>
      <x:c r="G4" s="31" t="str">
        <x:v>Competitive gap</x:v>
      </x:c>
      <x:c r="H4" s="31" t="str">
        <x:v>Design debt</x:v>
      </x:c>
      <x:c r="I4" s="31" t="str">
        <x:v>Adopt / build</x:v>
      </x:c>
      <x:c r="J4" s="31" t="str">
        <x:v>Do not copy</x:v>
      </x:c>
      <x:c r="K4" s="32" t="str">
        <x:v>Source</x:v>
      </x:c>
    </x:row>
    <x:row r="5">
      <x:c r="A5" s="40" t="str">
        <x:v>Core controls &amp; game feel</x:v>
      </x:c>
      <x:c r="B5" s="40" t="str">
        <x:v>Rust; Valheim</x:v>
      </x:c>
      <x:c r="C5" s="40" t="str">
        <x:v>Responsive embodied movement; readable interaction; low-friction building</x:v>
      </x:c>
      <x:c r="D5" s="43" t="n">
        <x:v>3</x:v>
      </x:c>
      <x:c r="E5" s="43" t="n">
        <x:v>2</x:v>
      </x:c>
      <x:c r="F5" s="43" t="n">
        <x:v>1</x:v>
      </x:c>
      <x:c r="G5" s="43" t="n">
        <x:f>MAX(0,5-MIN(E5,F5))</x:f>
        <x:v>4</x:v>
      </x:c>
      <x:c r="H5" s="43" t="n">
        <x:f>MAX(0,D5-E5)</x:f>
        <x:v>1</x:v>
      </x:c>
      <x:c r="I5" s="40" t="str">
        <x:v>Build an Embodied Play Lab and pass Android control acceptance</x:v>
      </x:c>
      <x:c r="J5" s="40" t="str">
        <x:v>Do not use weight or realism to excuse sluggish input</x:v>
      </x:c>
      <x:c r="K5" s="40" t="str">
        <x:v>https://rust.facepunch.com/ | https://www.valheimgame.com/</x:v>
      </x:c>
    </x:row>
    <x:row r="6">
      <x:c r="A6" s="41" t="str">
        <x:v>Crash start &amp; body survival</x:v>
      </x:c>
      <x:c r="B6" s="41" t="str">
        <x:v>Green Hell; Stranded Deep</x:v>
      </x:c>
      <x:c r="C6" s="41" t="str">
        <x:v>Immediate crash fantasy; inspectable body; actionable injury evidence</x:v>
      </x:c>
      <x:c r="D6" s="44" t="n">
        <x:v>5</x:v>
      </x:c>
      <x:c r="E6" s="44" t="n">
        <x:v>0</x:v>
      </x:c>
      <x:c r="F6" s="44" t="n">
        <x:v>0</x:v>
      </x:c>
      <x:c r="G6" s="44" t="n">
        <x:f>MAX(0,5-MIN(E6,F6))</x:f>
        <x:v>5</x:v>
      </x:c>
      <x:c r="H6" s="44" t="n">
        <x:f>MAX(0,D6-E6)</x:f>
        <x:v>5</x:v>
      </x:c>
      <x:c r="I6" s="41" t="str">
        <x:v>Implement asymmetric injury and one localized treatment chain</x:v>
      </x:c>
      <x:c r="J6" s="41" t="str">
        <x:v>Do not start with uniform reduced bars or unavoidable hidden injury</x:v>
      </x:c>
      <x:c r="K6" s="41" t="str">
        <x:v>https://greenhell-game.com/ | https://store.steampowered.com/app/313120/Stranded_Deep/</x:v>
      </x:c>
    </x:row>
    <x:row r="7">
      <x:c r="A7" s="41" t="str">
        <x:v>Thermal, weather &amp; vitals</x:v>
      </x:c>
      <x:c r="B7" s="41" t="str">
        <x:v>The Long Dark; Green Hell</x:v>
      </x:c>
      <x:c r="C7" s="41" t="str">
        <x:v>Time, cold, fatigue and condition form one readable economy</x:v>
      </x:c>
      <x:c r="D7" s="44" t="n">
        <x:v>5</x:v>
      </x:c>
      <x:c r="E7" s="44" t="n">
        <x:v>1</x:v>
      </x:c>
      <x:c r="F7" s="44" t="n">
        <x:v>1</x:v>
      </x:c>
      <x:c r="G7" s="44" t="n">
        <x:f>MAX(0,5-MIN(E7,F7))</x:f>
        <x:v>4</x:v>
      </x:c>
      <x:c r="H7" s="44" t="n">
        <x:f>MAX(0,D7-E7)</x:f>
        <x:v>4</x:v>
      </x:c>
      <x:c r="I7" s="41" t="str">
        <x:v>One continuous resolver for heat, wetness, rest and workload</x:v>
      </x:c>
      <x:c r="J7" s="41" t="str">
        <x:v>Do not run independent countdown meters</x:v>
      </x:c>
      <x:c r="K7" s="41" t="str">
        <x:v>https://www.thelongdark.com/survival-mode/ | https://greenhell-game.com/</x:v>
      </x:c>
    </x:row>
    <x:row r="8">
      <x:c r="A8" s="41" t="str">
        <x:v>Load, labor &amp; embodied growth</x:v>
      </x:c>
      <x:c r="B8" s="41" t="str">
        <x:v>The Long Dark; Project Zomboid</x:v>
      </x:c>
      <x:c r="C8" s="41" t="str">
        <x:v>Actions consume time and condition; skill and state affect execution</x:v>
      </x:c>
      <x:c r="D8" s="44" t="n">
        <x:v>5</x:v>
      </x:c>
      <x:c r="E8" s="44" t="n">
        <x:v>1</x:v>
      </x:c>
      <x:c r="F8" s="44" t="n">
        <x:v>0</x:v>
      </x:c>
      <x:c r="G8" s="44" t="n">
        <x:f>MAX(0,5-MIN(E8,F8))</x:f>
        <x:v>5</x:v>
      </x:c>
      <x:c r="H8" s="44" t="n">
        <x:f>MAX(0,D8-E8)</x:f>
        <x:v>4</x:v>
      </x:c>
      <x:c r="I8" s="41" t="str">
        <x:v>Use one activity declaration and recovery-gated adaptation</x:v>
      </x:c>
      <x:c r="J8" s="41" t="str">
        <x:v>Do not reward harmful repetition with optimal growth</x:v>
      </x:c>
      <x:c r="K8" s="41" t="str">
        <x:v>https://www.thelongdark.com/survival-mode/ | https://projectzomboid.com/blog/features-overview-build-42-20/</x:v>
      </x:c>
    </x:row>
    <x:row r="9">
      <x:c r="A9" s="41" t="str">
        <x:v>Invention &amp; discovery crafting</x:v>
      </x:c>
      <x:c r="B9" s="41" t="str">
        <x:v>Vintage Story; Project Zomboid</x:v>
      </x:c>
      <x:c r="C9" s="41" t="str">
        <x:v>Material-specific operations; stations; interdependent making</x:v>
      </x:c>
      <x:c r="D9" s="44" t="n">
        <x:v>5</x:v>
      </x:c>
      <x:c r="E9" s="44" t="n">
        <x:v>1</x:v>
      </x:c>
      <x:c r="F9" s="44" t="n">
        <x:v>0</x:v>
      </x:c>
      <x:c r="G9" s="44" t="n">
        <x:f>MAX(0,5-MIN(E9,F9))</x:f>
        <x:v>5</x:v>
      </x:c>
      <x:c r="H9" s="44" t="n">
        <x:f>MAX(0,D9-E9)</x:f>
        <x:v>4</x:v>
      </x:c>
      <x:c r="I9" s="41" t="str">
        <x:v>Prototype two-relation Maker Lab with affordances and failure evidence</x:v>
      </x:c>
      <x:c r="J9" s="41" t="str">
        <x:v>Do not expose recipes or make random pairing rational</x:v>
      </x:c>
      <x:c r="K9" s="41" t="str">
        <x:v>https://www.vintagestory.at/ | https://projectzomboid.com/blog/news/2023/04/crafting-ramblz/</x:v>
      </x:c>
    </x:row>
    <x:row r="10">
      <x:c r="A10" s="41" t="str">
        <x:v>Tool quality, manufacture &amp; repair</x:v>
      </x:c>
      <x:c r="B10" s="41" t="str">
        <x:v>Vintage Story; Project Zomboid</x:v>
      </x:c>
      <x:c r="C10" s="41" t="str">
        <x:v>Processed material state, tool ancestry, workstation identity</x:v>
      </x:c>
      <x:c r="D10" s="44" t="n">
        <x:v>4</x:v>
      </x:c>
      <x:c r="E10" s="44" t="n">
        <x:v>0</x:v>
      </x:c>
      <x:c r="F10" s="44" t="n">
        <x:v>0</x:v>
      </x:c>
      <x:c r="G10" s="44" t="n">
        <x:f>MAX(0,5-MIN(E10,F10))</x:f>
        <x:v>5</x:v>
      </x:c>
      <x:c r="H10" s="44" t="n">
        <x:f>MAX(0,D10-E10)</x:f>
        <x:v>4</x:v>
      </x:c>
      <x:c r="I10" s="41" t="str">
        <x:v>Build one complete stone-tool to repair-workspace chain</x:v>
      </x:c>
      <x:c r="J10" s="41" t="str">
        <x:v>Do not reduce quality to a hidden random tier</x:v>
      </x:c>
      <x:c r="K10" s="41" t="str">
        <x:v>https://wiki.vintagestory.at/Special%3AMyLanguage/Smithing | https://projectzomboid.com/blog/upcoming-features-b42/</x:v>
      </x:c>
    </x:row>
    <x:row r="11">
      <x:c r="A11" s="41" t="str">
        <x:v>Building, shelter &amp; home</x:v>
      </x:c>
      <x:c r="B11" s="41" t="str">
        <x:v>Valheim; Rust</x:v>
      </x:c>
      <x:c r="C11" s="41" t="str">
        <x:v>Expressive construction; home as reprieve; reasons to leave safety</x:v>
      </x:c>
      <x:c r="D11" s="44" t="n">
        <x:v>5</x:v>
      </x:c>
      <x:c r="E11" s="44" t="n">
        <x:v>2</x:v>
      </x:c>
      <x:c r="F11" s="44" t="n">
        <x:v>1</x:v>
      </x:c>
      <x:c r="G11" s="44" t="n">
        <x:f>MAX(0,5-MIN(E11,F11))</x:f>
        <x:v>4</x:v>
      </x:c>
      <x:c r="H11" s="44" t="n">
        <x:f>MAX(0,D11-E11)</x:f>
        <x:v>3</x:v>
      </x:c>
      <x:c r="I11" s="41" t="str">
        <x:v>Fast correction, structural truth, useful interiors and site trade-offs</x:v>
      </x:c>
      <x:c r="J11" s="41" t="str">
        <x:v>Do not let one structure grant a bundle of protections</x:v>
      </x:c>
      <x:c r="K11" s="41" t="str">
        <x:v>https://www.valheimgame.com/ | https://rust.facepunch.com/news/meta-shift</x:v>
      </x:c>
    </x:row>
    <x:row r="12">
      <x:c r="A12" s="41" t="str">
        <x:v>Exploration, landmarks &amp; wonder</x:v>
      </x:c>
      <x:c r="B12" s="41" t="str">
        <x:v>Subnautica; Outer Wilds</x:v>
      </x:c>
      <x:c r="C12" s="41" t="str">
        <x:v>Authored places, curiosity signals, changing locations and spatial memory</x:v>
      </x:c>
      <x:c r="D12" s="44" t="n">
        <x:v>4</x:v>
      </x:c>
      <x:c r="E12" s="44" t="n">
        <x:v>1</x:v>
      </x:c>
      <x:c r="F12" s="44" t="n">
        <x:v>0</x:v>
      </x:c>
      <x:c r="G12" s="44" t="n">
        <x:f>MAX(0,5-MIN(E12,F12))</x:f>
        <x:v>5</x:v>
      </x:c>
      <x:c r="H12" s="44" t="n">
        <x:f>MAX(0,D12-E12)</x:f>
        <x:v>3</x:v>
      </x:c>
      <x:c r="I12" s="41" t="str">
        <x:v>Author one beautiful clue-led expedition and measurable route topology</x:v>
      </x:c>
      <x:c r="J12" s="41" t="str">
        <x:v>Do not use quest markers or text logs as the main exploration engine</x:v>
      </x:c>
      <x:c r="K12" s="41" t="str">
        <x:v>https://subnautica.com/en | https://www.mobiusdigitalgames.com/outer-wilds.html</x:v>
      </x:c>
    </x:row>
    <x:row r="13">
      <x:c r="A13" s="41" t="str">
        <x:v>Living wreckfall &amp; salvage</x:v>
      </x:c>
      <x:c r="B13" s="41" t="str">
        <x:v>Subnautica; Project Zomboid salvage</x:v>
      </x:c>
      <x:c r="C13" s="41" t="str">
        <x:v>World objects create routes and capability rather than generic loot</x:v>
      </x:c>
      <x:c r="D13" s="44" t="n">
        <x:v>5</x:v>
      </x:c>
      <x:c r="E13" s="44" t="n">
        <x:v>0</x:v>
      </x:c>
      <x:c r="F13" s="44" t="n">
        <x:v>0</x:v>
      </x:c>
      <x:c r="G13" s="44" t="n">
        <x:f>MAX(0,5-MIN(E13,F13))</x:f>
        <x:v>5</x:v>
      </x:c>
      <x:c r="H13" s="44" t="n">
        <x:f>MAX(0,D13-E13)</x:f>
        <x:v>5</x:v>
      </x:c>
      <x:c r="I13" s="41" t="str">
        <x:v>Build one physically changing wreck operation</x:v>
      </x:c>
      <x:c r="J13" s="41" t="str">
        <x:v>Do not implement wrecks as containers or arbitrary despawn timers</x:v>
      </x:c>
      <x:c r="K13" s="41" t="str">
        <x:v>https://subnautica.com/en | https://projectzomboid.com/blog/news/2023/12/zleigh-ride/</x:v>
      </x:c>
    </x:row>
    <x:row r="14">
      <x:c r="A14" s="41" t="str">
        <x:v>Surface water &amp; boat progression</x:v>
      </x:c>
      <x:c r="B14" s="41" t="str">
        <x:v>Raft; Stranded Deep</x:v>
      </x:c>
      <x:c r="C14" s="41" t="str">
        <x:v>Vessel growth, navigation, cargo and story destinations</x:v>
      </x:c>
      <x:c r="D14" s="44" t="n">
        <x:v>5</x:v>
      </x:c>
      <x:c r="E14" s="44" t="n">
        <x:v>0</x:v>
      </x:c>
      <x:c r="F14" s="44" t="n">
        <x:v>0</x:v>
      </x:c>
      <x:c r="G14" s="44" t="n">
        <x:f>MAX(0,5-MIN(E14,F14))</x:f>
        <x:v>5</x:v>
      </x:c>
      <x:c r="H14" s="44" t="n">
        <x:f>MAX(0,D14-E14)</x:f>
        <x:v>5</x:v>
      </x:c>
      <x:c r="I14" s="41" t="str">
        <x:v>Maritime Lab: launch, load, steer, capsize, reboard and repair</x:v>
      </x:c>
      <x:c r="J14" s="41" t="str">
        <x:v>Do not make a campaign-critical boat before fallback works</x:v>
      </x:c>
      <x:c r="K14" s="41" t="str">
        <x:v>https://raft.itch.io/raft | https://store.steampowered.com/app/313120/Stranded_Deep/</x:v>
      </x:c>
    </x:row>
    <x:row r="15">
      <x:c r="A15" s="41" t="str">
        <x:v>Diving &amp; underwater world</x:v>
      </x:c>
      <x:c r="B15" s="41" t="str">
        <x:v>Subnautica</x:v>
      </x:c>
      <x:c r="C15" s="41" t="str">
        <x:v>Wonder/fear rhythm; capability changes reachable depth</x:v>
      </x:c>
      <x:c r="D15" s="44" t="n">
        <x:v>5</x:v>
      </x:c>
      <x:c r="E15" s="44" t="n">
        <x:v>0</x:v>
      </x:c>
      <x:c r="F15" s="44" t="n">
        <x:v>0</x:v>
      </x:c>
      <x:c r="G15" s="44" t="n">
        <x:f>MAX(0,5-MIN(E15,F15))</x:f>
        <x:v>5</x:v>
      </x:c>
      <x:c r="H15" s="44" t="n">
        <x:f>MAX(0,D15-E15)</x:f>
        <x:v>5</x:v>
      </x:c>
      <x:c r="I15" s="41" t="str">
        <x:v>One shallow expedition with air, reserve and recovery readability</x:v>
      </x:c>
      <x:c r="J15" s="41" t="str">
        <x:v>Do not let oxygen become a lone countdown bar</x:v>
      </x:c>
      <x:c r="K15" s="41" t="str">
        <x:v>https://subnautica.com/en</x:v>
      </x:c>
    </x:row>
    <x:row r="16">
      <x:c r="A16" s="41" t="str">
        <x:v>Food, hunting &amp; agriculture</x:v>
      </x:c>
      <x:c r="B16" s="41" t="str">
        <x:v>Green Hell; Valheim; Vintage Story</x:v>
      </x:c>
      <x:c r="C16" s="41" t="str">
        <x:v>Food connects ecology, preparation, home and bodily state</x:v>
      </x:c>
      <x:c r="D16" s="44" t="n">
        <x:v>4</x:v>
      </x:c>
      <x:c r="E16" s="44" t="n">
        <x:v>0</x:v>
      </x:c>
      <x:c r="F16" s="44" t="n">
        <x:v>0</x:v>
      </x:c>
      <x:c r="G16" s="44" t="n">
        <x:f>MAX(0,5-MIN(E16,F16))</x:f>
        <x:v>5</x:v>
      </x:c>
      <x:c r="H16" s="44" t="n">
        <x:f>MAX(0,D16-E16)</x:f>
        <x:v>4</x:v>
      </x:c>
      <x:c r="I16" s="41" t="str">
        <x:v>Start with one plant, pest and fishing/prey relation</x:v>
      </x:c>
      <x:c r="J16" s="41" t="str">
        <x:v>Do not implement a broad fauna catalogue before population logic</x:v>
      </x:c>
      <x:c r="K16" s="41" t="str">
        <x:v>https://greenhell-game.com/ | https://www.valheimgame.com/ | https://www.vintagestory.at/</x:v>
      </x:c>
    </x:row>
    <x:row r="17">
      <x:c r="A17" s="41" t="str">
        <x:v>Permadeath, death review &amp; legacy</x:v>
      </x:c>
      <x:c r="B17" s="41" t="str">
        <x:v>Project Zomboid; The Long Dark</x:v>
      </x:c>
      <x:c r="C17" s="41" t="str">
        <x:v>Preparation and life history make death meaningful</x:v>
      </x:c>
      <x:c r="D17" s="44" t="n">
        <x:v>5</x:v>
      </x:c>
      <x:c r="E17" s="44" t="n">
        <x:v>0</x:v>
      </x:c>
      <x:c r="F17" s="44" t="n">
        <x:v>0</x:v>
      </x:c>
      <x:c r="G17" s="44" t="n">
        <x:f>MAX(0,5-MIN(E17,F17))</x:f>
        <x:v>5</x:v>
      </x:c>
      <x:c r="H17" s="44" t="n">
        <x:f>MAX(0,D17-E17)</x:f>
        <x:v>5</x:v>
      </x:c>
      <x:c r="I17" s="41" t="str">
        <x:v>Atomic death, memorial, preserved island and changed successor opening</x:v>
      </x:c>
      <x:c r="J17" s="41" t="str">
        <x:v>Do not turn death into a farmable travel or reroll tool</x:v>
      </x:c>
      <x:c r="K17" s="41" t="str">
        <x:v>https://projectzomboid.com/ | https://www.thelongdark.com/survival-mode/</x:v>
      </x:c>
    </x:row>
    <x:row r="18">
      <x:c r="A18" s="41" t="str">
        <x:v>Narrative, mystery &amp; true return</x:v>
      </x:c>
      <x:c r="B18" s="41" t="str">
        <x:v>Subnautica; Outer Wilds; Raft</x:v>
      </x:c>
      <x:c r="C18" s="41" t="str">
        <x:v>Signals and questions structure sandbox play toward an ending</x:v>
      </x:c>
      <x:c r="D18" s="44" t="n">
        <x:v>5</x:v>
      </x:c>
      <x:c r="E18" s="44" t="n">
        <x:v>0</x:v>
      </x:c>
      <x:c r="F18" s="44" t="n">
        <x:v>0</x:v>
      </x:c>
      <x:c r="G18" s="44" t="n">
        <x:f>MAX(0,5-MIN(E18,F18))</x:f>
        <x:v>5</x:v>
      </x:c>
      <x:c r="H18" s="44" t="n">
        <x:f>MAX(0,D18-E18)</x:f>
        <x:v>5</x:v>
      </x:c>
      <x:c r="I18" s="41" t="str">
        <x:v>Build Borrowed Signal through reception and Human Thread resolution</x:v>
      </x:c>
      <x:c r="J18" s="41" t="str">
        <x:v>Do not call departure home or let anomaly excuse contradiction</x:v>
      </x:c>
      <x:c r="K18" s="41" t="str">
        <x:v>https://subnautica.com/en | https://www.mobiusdigitalgames.com/outer-wilds.html | https://raft.itch.io/raft</x:v>
      </x:c>
    </x:row>
    <x:row r="19">
      <x:c r="A19" s="41" t="str">
        <x:v>Community, teaching &amp; multiplayer</x:v>
      </x:c>
      <x:c r="B19" s="41" t="str">
        <x:v>Rust; Valheim</x:v>
      </x:c>
      <x:c r="C19" s="41" t="str">
        <x:v>Cooperation, conflict, specialization and shared projects</x:v>
      </x:c>
      <x:c r="D19" s="44" t="n">
        <x:v>3</x:v>
      </x:c>
      <x:c r="E19" s="44" t="n">
        <x:v>0</x:v>
      </x:c>
      <x:c r="F19" s="44" t="n">
        <x:v>0</x:v>
      </x:c>
      <x:c r="G19" s="44" t="n">
        <x:f>MAX(0,5-MIN(E19,F19))</x:f>
        <x:v>5</x:v>
      </x:c>
      <x:c r="H19" s="44" t="n">
        <x:f>MAX(0,D19-E19)</x:f>
        <x:v>3</x:v>
      </x:c>
      <x:c r="I19" s="41" t="str">
        <x:v>Prove a small authored solo population before shared players</x:v>
      </x:c>
      <x:c r="J19" s="41" t="str">
        <x:v>Do not rely on multiplayer presence to make society feel alive</x:v>
      </x:c>
      <x:c r="K19" s="41" t="str">
        <x:v>https://rust.facepunch.com/ | https://www.valheimgame.com/faq/</x:v>
      </x:c>
    </x:row>
    <x:row r="20">
      <x:c r="A20" s="41" t="str">
        <x:v>UI, discovery &amp; accessibility</x:v>
      </x:c>
      <x:c r="B20" s="41" t="str">
        <x:v>Category standard</x:v>
      </x:c>
      <x:c r="C20" s="41" t="str">
        <x:v>State and action remain readable without external lookup</x:v>
      </x:c>
      <x:c r="D20" s="44" t="n">
        <x:v>3</x:v>
      </x:c>
      <x:c r="E20" s="44" t="n">
        <x:v>2</x:v>
      </x:c>
      <x:c r="F20" s="44" t="n">
        <x:v>1</x:v>
      </x:c>
      <x:c r="G20" s="44" t="n">
        <x:f>MAX(0,5-MIN(E20,F20))</x:f>
        <x:v>4</x:v>
      </x:c>
      <x:c r="H20" s="44" t="n">
        <x:f>MAX(0,D20-E20)</x:f>
        <x:v>1</x:v>
      </x:c>
      <x:c r="I20" s="41" t="str">
        <x:v>Contextual world work; backpack only Inventory/Vitals/Skills</x:v>
      </x:c>
      <x:c r="J20" s="41" t="str">
        <x:v>Do not place desktop-scale simulation panels on mobile</x:v>
      </x:c>
      <x:c r="K20" s="41" t="str">
        <x:v>https://docs.godotengine.org/en/latest/tutorials/export/exporting_for_web.html</x:v>
      </x:c>
    </x:row>
    <x:row r="21">
      <x:c r="A21" s="41" t="str">
        <x:v>Art, audio &amp; world identity</x:v>
      </x:c>
      <x:c r="B21" s="41" t="str">
        <x:v>Subnautica; The Long Dark</x:v>
      </x:c>
      <x:c r="C21" s="41" t="str">
        <x:v>Mood and material state are readable through place, light and sound</x:v>
      </x:c>
      <x:c r="D21" s="44" t="n">
        <x:v>2</x:v>
      </x:c>
      <x:c r="E21" s="44" t="n">
        <x:v>1</x:v>
      </x:c>
      <x:c r="F21" s="44" t="n">
        <x:v>0</x:v>
      </x:c>
      <x:c r="G21" s="44" t="n">
        <x:f>MAX(0,5-MIN(E21,F21))</x:f>
        <x:v>5</x:v>
      </x:c>
      <x:c r="H21" s="44" t="n">
        <x:f>MAX(0,D21-E21)</x:f>
        <x:v>1</x:v>
      </x:c>
      <x:c r="I21" s="41" t="str">
        <x:v>Own a visual/acoustic language before systems depend on it</x:v>
      </x:c>
      <x:c r="J21" s="41" t="str">
        <x:v>Do not postpone all identity until after systemic production</x:v>
      </x:c>
      <x:c r="K21" s="41" t="str">
        <x:v>https://subnautica.com/en | https://www.thelongdark.com/</x:v>
      </x:c>
    </x:row>
    <x:row r="22">
      <x:c r="A22" s="41" t="str">
        <x:v>Persistence &amp; offline continuity</x:v>
      </x:c>
      <x:c r="B22" s="41" t="str">
        <x:v>Project Zomboid long worlds</x:v>
      </x:c>
      <x:c r="C22" s="41" t="str">
        <x:v>World condition survives play sessions and supports long campaigns</x:v>
      </x:c>
      <x:c r="D22" s="44" t="n">
        <x:v>4</x:v>
      </x:c>
      <x:c r="E22" s="44" t="n">
        <x:v>4</x:v>
      </x:c>
      <x:c r="F22" s="44" t="n">
        <x:v>3</x:v>
      </x:c>
      <x:c r="G22" s="44" t="n">
        <x:f>MAX(0,5-MIN(E22,F22))</x:f>
        <x:v>2</x:v>
      </x:c>
      <x:c r="H22" s="44" t="n">
        <x:f>MAX(0,D22-E22)</x:f>
        <x:v>0</x:v>
      </x:c>
      <x:c r="I22" s="41" t="str">
        <x:v>Extend deterministic persistence to matter, death and wreck operations</x:v>
      </x:c>
      <x:c r="J22" s="41" t="str">
        <x:v>Do not let offline reconciliation kill or corrupt without authority</x:v>
      </x:c>
      <x:c r="K22" s="41" t="str">
        <x:v>https://projectzomboid.com/blog/news/2023/10/cellar-door-doid/</x:v>
      </x:c>
    </x:row>
    <x:row r="23">
      <x:c r="A23" s="41" t="str">
        <x:v>Performance &amp; platform delivery</x:v>
      </x:c>
      <x:c r="B23" s="41" t="str">
        <x:v>Web/Android production standard</x:v>
      </x:c>
      <x:c r="C23" s="41" t="str">
        <x:v>Stable frame pacing and readable controls on target hardware</x:v>
      </x:c>
      <x:c r="D23" s="44" t="n">
        <x:v>3</x:v>
      </x:c>
      <x:c r="E23" s="44" t="n">
        <x:v>3</x:v>
      </x:c>
      <x:c r="F23" s="44" t="n">
        <x:v>1</x:v>
      </x:c>
      <x:c r="G23" s="44" t="n">
        <x:f>MAX(0,5-MIN(E23,F23))</x:f>
        <x:v>4</x:v>
      </x:c>
      <x:c r="H23" s="44" t="n">
        <x:f>MAX(0,D23-E23)</x:f>
        <x:v>0</x:v>
      </x:c>
      <x:c r="I23" s="41" t="str">
        <x:v>Director-device profiling and budgets before scope growth</x:v>
      </x:c>
      <x:c r="J23" s="41" t="str">
        <x:v>Do not substitute export success for runtime evidence</x:v>
      </x:c>
      <x:c r="K23" s="41" t="str">
        <x:v>https://docs.godotengine.org/en/latest/tutorials/export/exporting_for_web.html</x:v>
      </x:c>
    </x:row>
    <x:row r="24">
      <x:c r="A24" s="42" t="str">
        <x:v>QA, telemetry &amp; balance evidence</x:v>
      </x:c>
      <x:c r="B24" s="42" t="str">
        <x:v>Internal production standard</x:v>
      </x:c>
      <x:c r="C24" s="42" t="str">
        <x:v>Representative end-to-end tests plus human evidence and tuning data</x:v>
      </x:c>
      <x:c r="D24" s="45" t="n">
        <x:v>3</x:v>
      </x:c>
      <x:c r="E24" s="45" t="n">
        <x:v>4</x:v>
      </x:c>
      <x:c r="F24" s="45" t="n">
        <x:v>2</x:v>
      </x:c>
      <x:c r="G24" s="45" t="n">
        <x:f>MAX(0,5-MIN(E24,F24))</x:f>
        <x:v>3</x:v>
      </x:c>
      <x:c r="H24" s="45" t="n">
        <x:f>MAX(0,D24-E24)</x:f>
        <x:v>0</x:v>
      </x:c>
      <x:c r="I24" s="42" t="str">
        <x:v>Add telemetry questions, thresholds and decision log per slice</x:v>
      </x:c>
      <x:c r="J24" s="42" t="str">
        <x:v>Do not report automation as physical acceptance</x:v>
      </x:c>
      <x:c r="K24" s="42" t="str">
        <x:v>the-first-night-3d/docs/AUDIT.md</x:v>
      </x:c>
    </x:row>
  </x:sheetData>
  <x:mergeCells>
    <x:mergeCell ref="A1:K1"/>
    <x:mergeCell ref="A2:K2"/>
  </x:mergeCells>
  <x:conditionalFormatting sqref="D5:H24">
    <x:cfRule type="colorScale" priority="1">
      <x:colorScale>
        <x:cfvo type="min"/>
        <x:cfvo type="percentile" val="50"/>
        <x:cfvo type="max"/>
        <x:color rgb="FFF4C7C3"/>
        <x:color rgb="FFF7E6A2"/>
        <x:color rgb="FFB7DFC0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7" hidden="0" customWidth="1"/>
    <x:col min="4" max="4" width="39" hidden="0" customWidth="1"/>
    <x:col min="5" max="5" width="40" hidden="0" customWidth="1"/>
    <x:col min="6" max="6" width="40" hidden="0" customWidth="1"/>
    <x:col min="7" max="7" width="13" hidden="0" customWidth="1"/>
    <x:col min="8" max="8" width="13" hidden="0" customWidth="1"/>
    <x:col min="9" max="9" width="48" hidden="0" customWidth="1"/>
  </x:cols>
  <x:sheetData>
    <x:row r="1" ht="30" customHeight="1">
      <x:c r="A1" s="3" t="str">
        <x:v>Whole-Game Gap Backlog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P0 invalidates the game or current production truth; P1 is a major integration risk; P2 is later ownership.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0" t="str">
        <x:v>ID</x:v>
      </x:c>
      <x:c r="B4" s="31" t="str">
        <x:v>Priority</x:v>
      </x:c>
      <x:c r="C4" s="31" t="str">
        <x:v>Weak point</x:v>
      </x:c>
      <x:c r="D4" s="31" t="str">
        <x:v>Root cause</x:v>
      </x:c>
      <x:c r="E4" s="31" t="str">
        <x:v>Consequence</x:v>
      </x:c>
      <x:c r="F4" s="31" t="str">
        <x:v>Required fix</x:v>
      </x:c>
      <x:c r="G4" s="31" t="str">
        <x:v>Owning gate</x:v>
      </x:c>
      <x:c r="H4" s="31" t="str">
        <x:v>Status</x:v>
      </x:c>
      <x:c r="I4" s="32" t="str">
        <x:v>Acceptance proof</x:v>
      </x:c>
    </x:row>
    <x:row r="5">
      <x:c r="A5" s="40" t="str">
        <x:v>G01</x:v>
      </x:c>
      <x:c r="B5" s="40" t="str">
        <x:v>P0</x:v>
      </x:c>
      <x:c r="C5" s="40" t="str">
        <x:v>Fragmented canon and unsafe status language</x:v>
      </x:c>
      <x:c r="D5" s="40" t="str">
        <x:v>Overlapping specialist documents without one production register</x:v>
      </x:c>
      <x:c r="E5" s="40" t="str">
        <x:v>Contradictory implementation and false completion claims</x:v>
      </x:c>
      <x:c r="F5" s="40" t="str">
        <x:v>Create clause-level System Registry and five-axis status</x:v>
      </x:c>
      <x:c r="G5" s="40" t="str">
        <x:v>I0</x:v>
      </x:c>
      <x:c r="H5" s="40" t="str">
        <x:v>Open</x:v>
      </x:c>
      <x:c r="I5" s="40" t="str">
        <x:v>Every feature has current authority and independent build/evidence states</x:v>
      </x:c>
    </x:row>
    <x:row r="6">
      <x:c r="A6" s="41" t="str">
        <x:v>G02</x:v>
      </x:c>
      <x:c r="B6" s="41" t="str">
        <x:v>P0</x:v>
      </x:c>
      <x:c r="C6" s="41" t="str">
        <x:v>No central causal resolver</x:v>
      </x:c>
      <x:c r="D6" s="41" t="str">
        <x:v>Vitals, activity and environment are specified separately</x:v>
      </x:c>
      <x:c r="E6" s="41" t="str">
        <x:v>Double charges, impossible cascades and fabricated recovery</x:v>
      </x:c>
      <x:c r="F6" s="41" t="str">
        <x:v>One activity declaration and one state-resolution pass</x:v>
      </x:c>
      <x:c r="G6" s="41" t="str">
        <x:v>I2</x:v>
      </x:c>
      <x:c r="H6" s="41" t="str">
        <x:v>Open</x:v>
      </x:c>
      <x:c r="I6" s="41" t="str">
        <x:v>Representative scenarios resolve once and match causal direction</x:v>
      </x:c>
    </x:row>
    <x:row r="7">
      <x:c r="A7" s="41" t="str">
        <x:v>G03</x:v>
      </x:c>
      <x:c r="B7" s="41" t="str">
        <x:v>P0</x:v>
      </x:c>
      <x:c r="C7" s="41" t="str">
        <x:v>Capability graph is not machine-testable</x:v>
      </x:c>
      <x:c r="D7" s="41" t="str">
        <x:v>Dependency ancestry lives in prose and tables</x:v>
      </x:c>
      <x:c r="E7" s="41" t="str">
        <x:v>Unreachable endpoints, circular gates and single-source dead ends</x:v>
      </x:c>
      <x:c r="F7" s="41" t="str">
        <x:v>Encode nodes/edges and automate reachability and bottleneck checks</x:v>
      </x:c>
      <x:c r="G7" s="41" t="str">
        <x:v>I2</x:v>
      </x:c>
      <x:c r="H7" s="41" t="str">
        <x:v>Open</x:v>
      </x:c>
      <x:c r="I7" s="41" t="str">
        <x:v>All required endpoints reachable with at least one recovery path</x:v>
      </x:c>
    </x:row>
    <x:row r="8">
      <x:c r="A8" s="41" t="str">
        <x:v>G04</x:v>
      </x:c>
      <x:c r="B8" s="41" t="str">
        <x:v>P0</x:v>
      </x:c>
      <x:c r="C8" s="41" t="str">
        <x:v>No complete playable campaign</x:v>
      </x:c>
      <x:c r="D8" s="41" t="str">
        <x:v>Only a vertical-slice loop exists</x:v>
      </x:c>
      <x:c r="E8" s="41" t="str">
        <x:v>The central promise remains unproven</x:v>
      </x:c>
      <x:c r="F8" s="41" t="str">
        <x:v>Build one compressed Borrowed Signal route end to end</x:v>
      </x:c>
      <x:c r="G8" s="41" t="str">
        <x:v>I7</x:v>
      </x:c>
      <x:c r="H8" s="41" t="str">
        <x:v>Open</x:v>
      </x:c>
      <x:c r="I8" s="41" t="str">
        <x:v>A new player reaches reception and resolves a Human Thread</x:v>
      </x:c>
    </x:row>
    <x:row r="9">
      <x:c r="A9" s="41" t="str">
        <x:v>G05</x:v>
      </x:c>
      <x:c r="B9" s="41" t="str">
        <x:v>P0</x:v>
      </x:c>
      <x:c r="C9" s="41" t="str">
        <x:v>Embodied feel not accepted</x:v>
      </x:c>
      <x:c r="D9" s="41" t="str">
        <x:v>Automation outpaced physical player evidence</x:v>
      </x:c>
      <x:c r="E9" s="41" t="str">
        <x:v>Core verbs feel sluggish or unreliable</x:v>
      </x:c>
      <x:c r="F9" s="41" t="str">
        <x:v>Embodied Play Lab and real Android acceptance</x:v>
      </x:c>
      <x:c r="G9" s="41" t="str">
        <x:v>I0–I1</x:v>
      </x:c>
      <x:c r="H9" s="41" t="str">
        <x:v>Open</x:v>
      </x:c>
      <x:c r="I9" s="41" t="str">
        <x:v>Players complete the loop without coaching or latched controls</x:v>
      </x:c>
    </x:row>
    <x:row r="10">
      <x:c r="A10" s="41" t="str">
        <x:v>G06</x:v>
      </x:c>
      <x:c r="B10" s="41" t="str">
        <x:v>P0</x:v>
      </x:c>
      <x:c r="C10" s="41" t="str">
        <x:v>Discovery language incomplete</x:v>
      </x:c>
      <x:c r="D10" s="41" t="str">
        <x:v>Empty book removes recipes but affordances are not yet playable</x:v>
      </x:c>
      <x:c r="E10" s="41" t="str">
        <x:v>Random-combination frustration</x:v>
      </x:c>
      <x:c r="F10" s="41" t="str">
        <x:v>Operation intentions, material properties and diagnostic evidence</x:v>
      </x:c>
      <x:c r="G10" s="41" t="str">
        <x:v>I4</x:v>
      </x:c>
      <x:c r="H10" s="41" t="str">
        <x:v>Open</x:v>
      </x:c>
      <x:c r="I10" s="41" t="str">
        <x:v>Players form plausible hypotheses without external lookup</x:v>
      </x:c>
    </x:row>
    <x:row r="11">
      <x:c r="A11" s="41" t="str">
        <x:v>G07</x:v>
      </x:c>
      <x:c r="B11" s="41" t="str">
        <x:v>P0</x:v>
      </x:c>
      <x:c r="C11" s="41" t="str">
        <x:v>Most numbers lack calibration state</x:v>
      </x:c>
      <x:c r="D11" s="41" t="str">
        <x:v>Prose contains targets but no shared tuning ledger</x:v>
      </x:c>
      <x:c r="E11" s="41" t="str">
        <x:v>Inconsistent rates and hidden assumptions</x:v>
      </x:c>
      <x:c r="F11" s="41" t="str">
        <x:v>Classify every value and tune through workbook + telemetry</x:v>
      </x:c>
      <x:c r="G11" s="41" t="str">
        <x:v>I2+</x:v>
      </x:c>
      <x:c r="H11" s="41" t="str">
        <x:v>Open</x:v>
      </x:c>
      <x:c r="I11" s="41" t="str">
        <x:v>Every numeric field has unit, source/status and acceptance band</x:v>
      </x:c>
    </x:row>
    <x:row r="12">
      <x:c r="A12" s="41" t="str">
        <x:v>G08</x:v>
      </x:c>
      <x:c r="B12" s="41" t="str">
        <x:v>P0</x:v>
      </x:c>
      <x:c r="C12" s="41" t="str">
        <x:v>First-night legacy imbalance</x:v>
      </x:c>
      <x:c r="D12" s="41" t="str">
        <x:v>Night, shelter and fire constants predate later rulings</x:v>
      </x:c>
      <x:c r="E12" s="41" t="str">
        <x:v>Shelter trivializes fire while fuel creates busywork</x:v>
      </x:c>
      <x:c r="F12" s="41" t="str">
        <x:v>Rebalance time, refuge and fire together</x:v>
      </x:c>
      <x:c r="G12" s="41" t="str">
        <x:v>I2</x:v>
      </x:c>
      <x:c r="H12" s="41" t="str">
        <x:v>Open</x:v>
      </x:c>
      <x:c r="I12" s="41" t="str">
        <x:v>First pressure at 150–180 s; refuge/fire remain complementary</x:v>
      </x:c>
    </x:row>
    <x:row r="13">
      <x:c r="A13" s="41" t="str">
        <x:v>G09</x:v>
      </x:c>
      <x:c r="B13" s="41" t="str">
        <x:v>P0</x:v>
      </x:c>
      <x:c r="C13" s="41" t="str">
        <x:v>Android runtime unverified</x:v>
      </x:c>
      <x:c r="D13" s="41" t="str">
        <x:v>No Director-device APK session</x:v>
      </x:c>
      <x:c r="E13" s="41" t="str">
        <x:v>Input, thermal and performance risk</x:v>
      </x:c>
      <x:c r="F13" s="41" t="str">
        <x:v>Run physical protocol and record evidence</x:v>
      </x:c>
      <x:c r="G13" s="41" t="str">
        <x:v>I0</x:v>
      </x:c>
      <x:c r="H13" s="41" t="str">
        <x:v>Blocked</x:v>
      </x:c>
      <x:c r="I13" s="41" t="str">
        <x:v>Director accepts collection, making, placement and save on device</x:v>
      </x:c>
    </x:row>
    <x:row r="14">
      <x:c r="A14" s="41" t="str">
        <x:v>G10</x:v>
      </x:c>
      <x:c r="B14" s="41" t="str">
        <x:v>P0</x:v>
      </x:c>
      <x:c r="C14" s="41" t="str">
        <x:v>Scope beyond proven capacity</x:v>
      </x:c>
      <x:c r="D14" s="41" t="str">
        <x:v>Catalogue growth preceded representative proof</x:v>
      </x:c>
      <x:c r="E14" s="41" t="str">
        <x:v>Many shallow systems and delayed release</x:v>
      </x:c>
      <x:c r="F14" s="41" t="str">
        <x:v>Representative-first gate sequence</x:v>
      </x:c>
      <x:c r="G14" s="41" t="str">
        <x:v>All</x:v>
      </x:c>
      <x:c r="H14" s="41" t="str">
        <x:v>Open</x:v>
      </x:c>
      <x:c r="I14" s="41" t="str">
        <x:v>No new family enters production without a passed representative</x:v>
      </x:c>
    </x:row>
    <x:row r="15">
      <x:c r="A15" s="41" t="str">
        <x:v>G11</x:v>
      </x:c>
      <x:c r="B15" s="41" t="str">
        <x:v>P0</x:v>
      </x:c>
      <x:c r="C15" s="41" t="str">
        <x:v>No telemetry-to-ruling loop</x:v>
      </x:c>
      <x:c r="D15" s="41" t="str">
        <x:v>Tests verify state more than comprehension and fun</x:v>
      </x:c>
      <x:c r="E15" s="41" t="str">
        <x:v>Tuning remains opinion-led</x:v>
      </x:c>
      <x:c r="F15" s="41" t="str">
        <x:v>Declare questions, minimal telemetry and thresholds per slice</x:v>
      </x:c>
      <x:c r="G15" s="41" t="str">
        <x:v>I1+</x:v>
      </x:c>
      <x:c r="H15" s="41" t="str">
        <x:v>Open</x:v>
      </x:c>
      <x:c r="I15" s="41" t="str">
        <x:v>Every slice produces a recorded keep/change/cut decision</x:v>
      </x:c>
    </x:row>
    <x:row r="16">
      <x:c r="A16" s="41" t="str">
        <x:v>G12</x:v>
      </x:c>
      <x:c r="B16" s="41" t="str">
        <x:v>P0</x:v>
      </x:c>
      <x:c r="C16" s="41" t="str">
        <x:v>Onboarding caught between realism and silence</x:v>
      </x:c>
      <x:c r="D16" s="41" t="str">
        <x:v>Recipe-free is confused with instruction-free</x:v>
      </x:c>
      <x:c r="E16" s="41" t="str">
        <x:v>Players cannot infer next credible action</x:v>
      </x:c>
      <x:c r="F16" s="41" t="str">
        <x:v>Teach through sensation, comparison, prior use and low-cost experiments</x:v>
      </x:c>
      <x:c r="G16" s="41" t="str">
        <x:v>I4</x:v>
      </x:c>
      <x:c r="H16" s="41" t="str">
        <x:v>Open</x:v>
      </x:c>
      <x:c r="I16" s="41" t="str">
        <x:v>Players can name 2–4 credible next actions</x:v>
      </x:c>
    </x:row>
    <x:row r="17">
      <x:c r="A17" s="41" t="str">
        <x:v>G13</x:v>
      </x:c>
      <x:c r="B17" s="41" t="str">
        <x:v>P1</x:v>
      </x:c>
      <x:c r="C17" s="41" t="str">
        <x:v>World route topology unquantified</x:v>
      </x:c>
      <x:c r="D17" s="41" t="str">
        <x:v>Island size and travel relationships remain descriptive</x:v>
      </x:c>
      <x:c r="E17" s="41" t="str">
        <x:v>Dead travel, bad hauling and unreadable site choice</x:v>
      </x:c>
      <x:c r="F17" s="41" t="str">
        <x:v>Set distance, visibility, landmark and reserve bands</x:v>
      </x:c>
      <x:c r="G17" s="41" t="str">
        <x:v>I3</x:v>
      </x:c>
      <x:c r="H17" s="41" t="str">
        <x:v>Open</x:v>
      </x:c>
      <x:c r="I17" s="41" t="str">
        <x:v>Every early route has purpose, abort point and expected duration</x:v>
      </x:c>
    </x:row>
    <x:row r="18">
      <x:c r="A18" s="41" t="str">
        <x:v>G14</x:v>
      </x:c>
      <x:c r="B18" s="41" t="str">
        <x:v>P1</x:v>
      </x:c>
      <x:c r="C18" s="41" t="str">
        <x:v>Wreckfall cadence unbalanced</x:v>
      </x:c>
      <x:c r="D18" s="41" t="str">
        <x:v>Physical states exist without occurrence budget</x:v>
      </x:c>
      <x:c r="E18" s="41" t="str">
        <x:v>FOMO, clutter, starvation or pity drops</x:v>
      </x:c>
      <x:c r="F18" s="41" t="str">
        <x:v>Wreck Director with concurrency and opportunity guarantees</x:v>
      </x:c>
      <x:c r="G18" s="41" t="str">
        <x:v>I5</x:v>
      </x:c>
      <x:c r="H18" s="41" t="str">
        <x:v>Open</x:v>
      </x:c>
      <x:c r="I18" s="41" t="str">
        <x:v>Missing one wreck changes the world but never kills all routes</x:v>
      </x:c>
    </x:row>
    <x:row r="19">
      <x:c r="A19" s="41" t="str">
        <x:v>G15</x:v>
      </x:c>
      <x:c r="B19" s="41" t="str">
        <x:v>P1</x:v>
      </x:c>
      <x:c r="C19" s="41" t="str">
        <x:v>Salvage grammar unproven</x:v>
      </x:c>
      <x:c r="D19" s="41" t="str">
        <x:v>Operations are described but not embodied</x:v>
      </x:c>
      <x:c r="E19" s="41" t="str">
        <x:v>Long holds and menus replace work</x:v>
      </x:c>
      <x:c r="F19" s="41" t="str">
        <x:v>Prototype one floating and one forest operation</x:v>
      </x:c>
      <x:c r="G19" s="41" t="str">
        <x:v>I5</x:v>
      </x:c>
      <x:c r="H19" s="41" t="str">
        <x:v>Open</x:v>
      </x:c>
      <x:c r="I19" s="41" t="str">
        <x:v>Players read, stabilize, extract and retreat with clear feedback</x:v>
      </x:c>
    </x:row>
    <x:row r="20">
      <x:c r="A20" s="41" t="str">
        <x:v>G16</x:v>
      </x:c>
      <x:c r="B20" s="41" t="str">
        <x:v>P1</x:v>
      </x:c>
      <x:c r="C20" s="41" t="str">
        <x:v>Boat feel and safety uncalculated</x:v>
      </x:c>
      <x:c r="D20" s="41" t="str">
        <x:v>Seven states lack displacement, cargo and recovery model</x:v>
      </x:c>
      <x:c r="E20" s="41" t="str">
        <x:v>Campaign-critical frustration or motion sickness</x:v>
      </x:c>
      <x:c r="F20" s="41" t="str">
        <x:v>Maritime Lab</x:v>
      </x:c>
      <x:c r="G20" s="41" t="str">
        <x:v>I6</x:v>
      </x:c>
      <x:c r="H20" s="41" t="str">
        <x:v>Open</x:v>
      </x:c>
      <x:c r="I20" s="41" t="str">
        <x:v>Launch/load/steer/capsize/reboard work on desktop and touch</x:v>
      </x:c>
    </x:row>
    <x:row r="21">
      <x:c r="A21" s="41" t="str">
        <x:v>G17</x:v>
      </x:c>
      <x:c r="B21" s="41" t="str">
        <x:v>P1</x:v>
      </x:c>
      <x:c r="C21" s="41" t="str">
        <x:v>Return route predates strict invention law</x:v>
      </x:c>
      <x:c r="D21" s="41" t="str">
        <x:v>Borrowed Signal is not fully back-chained through v2.3/v2.4</x:v>
      </x:c>
      <x:c r="E21" s="41" t="str">
        <x:v>Endgame violates the game's soul</x:v>
      </x:c>
      <x:c r="F21" s="41" t="str">
        <x:v>Rebuild beacon/power/antenna route in dependency graph</x:v>
      </x:c>
      <x:c r="G21" s="41" t="str">
        <x:v>I7</x:v>
      </x:c>
      <x:c r="H21" s="41" t="str">
        <x:v>Open</x:v>
      </x:c>
      <x:c r="I21" s="41" t="str">
        <x:v>Every gate has ancestry, evidence, test and substitution</x:v>
      </x:c>
    </x:row>
    <x:row r="22">
      <x:c r="A22" s="41" t="str">
        <x:v>G18</x:v>
      </x:c>
      <x:c r="B22" s="41" t="str">
        <x:v>P1</x:v>
      </x:c>
      <x:c r="C22" s="41" t="str">
        <x:v>Death transaction undefined</x:v>
      </x:c>
      <x:c r="D22" s="41" t="str">
        <x:v>Fiction outpaces save/account authority</x:v>
      </x:c>
      <x:c r="E22" s="41" t="str">
        <x:v>Technical failure looks like permadeath or resurrection</x:v>
      </x:c>
      <x:c r="F22" s="41" t="str">
        <x:v>Atomic survivor closure and restoration policy</x:v>
      </x:c>
      <x:c r="G22" s="41" t="str">
        <x:v>I8</x:v>
      </x:c>
      <x:c r="H22" s="41" t="str">
        <x:v>Open</x:v>
      </x:c>
      <x:c r="I22" s="41" t="str">
        <x:v>No uncertain technical state can permanently kill a survivor</x:v>
      </x:c>
    </x:row>
    <x:row r="23">
      <x:c r="A23" s="41" t="str">
        <x:v>G19</x:v>
      </x:c>
      <x:c r="B23" s="41" t="str">
        <x:v>P1</x:v>
      </x:c>
      <x:c r="C23" s="41" t="str">
        <x:v>Successor may inherit chores</x:v>
      </x:c>
      <x:c r="D23" s="41" t="str">
        <x:v>Persistence can pre-solve play without new decisions</x:v>
      </x:c>
      <x:c r="E23" s="41" t="str">
        <x:v>Legacy becomes walking between stations</x:v>
      </x:c>
      <x:c r="F23" s="41" t="str">
        <x:v>Changed arrival, unresolved operations and earned compression</x:v>
      </x:c>
      <x:c r="G23" s="41" t="str">
        <x:v>I8</x:v>
      </x:c>
      <x:c r="H23" s="41" t="str">
        <x:v>Open</x:v>
      </x:c>
      <x:c r="I23" s="41" t="str">
        <x:v>Successor benefits visibly and still faces a genuinely new choice</x:v>
      </x:c>
    </x:row>
    <x:row r="24">
      <x:c r="A24" s="41" t="str">
        <x:v>G20</x:v>
      </x:c>
      <x:c r="B24" s="41" t="str">
        <x:v>P1</x:v>
      </x:c>
      <x:c r="C24" s="41" t="str">
        <x:v>Triangle truth ledger absent</x:v>
      </x:c>
      <x:c r="D24" s="41" t="str">
        <x:v>Mystery boundaries are not privately locked</x:v>
      </x:c>
      <x:c r="E24" s="41" t="str">
        <x:v>Anomaly excuses production contradictions</x:v>
      </x:c>
      <x:c r="F24" s="41" t="str">
        <x:v>Define invariants, boundary laws and forbidden explanations</x:v>
      </x:c>
      <x:c r="G24" s="41" t="str">
        <x:v>I7</x:v>
      </x:c>
      <x:c r="H24" s="41" t="str">
        <x:v>Open</x:v>
      </x:c>
      <x:c r="I24" s="41" t="str">
        <x:v>All authored evidence is compatible with the ledger</x:v>
      </x:c>
    </x:row>
    <x:row r="25">
      <x:c r="A25" s="41" t="str">
        <x:v>G21</x:v>
      </x:c>
      <x:c r="B25" s="41" t="str">
        <x:v>P1</x:v>
      </x:c>
      <x:c r="C25" s="41" t="str">
        <x:v>No visual/acoustic constitution</x:v>
      </x:c>
      <x:c r="D25" s="41" t="str">
        <x:v>Identity is carried by prose and primitives</x:v>
      </x:c>
      <x:c r="E25" s="41" t="str">
        <x:v>States, wonder and attachment are unreadable</x:v>
      </x:c>
      <x:c r="F25" s="41" t="str">
        <x:v>Own material, weather, safety and anomaly languages</x:v>
      </x:c>
      <x:c r="G25" s="41" t="str">
        <x:v>I1+</x:v>
      </x:c>
      <x:c r="H25" s="41" t="str">
        <x:v>Open</x:v>
      </x:c>
      <x:c r="I25" s="41" t="str">
        <x:v>Players identify critical state changes without text alone</x:v>
      </x:c>
    </x:row>
    <x:row r="26">
      <x:c r="A26" s="41" t="str">
        <x:v>G22</x:v>
      </x:c>
      <x:c r="B26" s="41" t="str">
        <x:v>P1</x:v>
      </x:c>
      <x:c r="C26" s="41" t="str">
        <x:v>Mobile complexity pressure</x:v>
      </x:c>
      <x:c r="D26" s="41" t="str">
        <x:v>Many deep systems compete for limited screen and touch</x:v>
      </x:c>
      <x:c r="E26" s="41" t="str">
        <x:v>Menu simulator and obscured world</x:v>
      </x:c>
      <x:c r="F26" s="41" t="str">
        <x:v>Contextual work surfaces and progressive disclosure</x:v>
      </x:c>
      <x:c r="G26" s="41" t="str">
        <x:v>I1–I4</x:v>
      </x:c>
      <x:c r="H26" s="41" t="str">
        <x:v>Open</x:v>
      </x:c>
      <x:c r="I26" s="41" t="str">
        <x:v>No core operation requires desktop-scale panels</x:v>
      </x:c>
    </x:row>
    <x:row r="27">
      <x:c r="A27" s="41" t="str">
        <x:v>G23</x:v>
      </x:c>
      <x:c r="B27" s="41" t="str">
        <x:v>P1</x:v>
      </x:c>
      <x:c r="C27" s="41" t="str">
        <x:v>Anti-grind is not measurable</x:v>
      </x:c>
      <x:c r="D27" s="41" t="str">
        <x:v>Novelty and similarity are principles without data</x:v>
      </x:c>
      <x:c r="E27" s="41" t="str">
        <x:v>Repetition exploit or tedious mastery</x:v>
      </x:c>
      <x:c r="F27" s="41" t="str">
        <x:v>Similarity keys, saturation and variance tests</x:v>
      </x:c>
      <x:c r="G27" s="41" t="str">
        <x:v>I4</x:v>
      </x:c>
      <x:c r="H27" s="41" t="str">
        <x:v>Open</x:v>
      </x:c>
      <x:c r="I27" s="41" t="str">
        <x:v>Exact repetition saturates; varied diagnosed work advances</x:v>
      </x:c>
    </x:row>
    <x:row r="28">
      <x:c r="A28" s="41" t="str">
        <x:v>G24</x:v>
      </x:c>
      <x:c r="B28" s="41" t="str">
        <x:v>P1</x:v>
      </x:c>
      <x:c r="C28" s="41" t="str">
        <x:v>Calm and delight under-budgeted</x:v>
      </x:c>
      <x:c r="D28" s="41" t="str">
        <x:v>Pressure has more specification than relief</x:v>
      </x:c>
      <x:c r="E28" s="41" t="str">
        <x:v>Emotional exhaustion</x:v>
      </x:c>
      <x:c r="F28" s="41" t="str">
        <x:v>Protected calm intervals and beauty beats</x:v>
      </x:c>
      <x:c r="G28" s="41" t="str">
        <x:v>I2+</x:v>
      </x:c>
      <x:c r="H28" s="41" t="str">
        <x:v>Open</x:v>
      </x:c>
      <x:c r="I28" s="41" t="str">
        <x:v>Playtests contain remembered voluntary calm moments</x:v>
      </x:c>
    </x:row>
    <x:row r="29">
      <x:c r="A29" s="41" t="str">
        <x:v>G25</x:v>
      </x:c>
      <x:c r="B29" s="41" t="str">
        <x:v>P2</x:v>
      </x:c>
      <x:c r="C29" s="41" t="str">
        <x:v>Community Island remains a product promise</x:v>
      </x:c>
      <x:c r="D29" s="41" t="str">
        <x:v>NPC and multiplayer responsibilities overlap</x:v>
      </x:c>
      <x:c r="E29" s="41" t="str">
        <x:v>Society feels empty or technically unsafe</x:v>
      </x:c>
      <x:c r="F29" s="41" t="str">
        <x:v>Small authored solo population first</x:v>
      </x:c>
      <x:c r="G29" s="41" t="str">
        <x:v>I9</x:v>
      </x:c>
      <x:c r="H29" s="41" t="str">
        <x:v>Banked</x:v>
      </x:c>
      <x:c r="I29" s="41" t="str">
        <x:v>Teaching, trade and joint work are meaningful without live players</x:v>
      </x:c>
    </x:row>
    <x:row r="30">
      <x:c r="A30" s="42" t="str">
        <x:v>G26</x:v>
      </x:c>
      <x:c r="B30" s="42" t="str">
        <x:v>P2</x:v>
      </x:c>
      <x:c r="C30" s="42" t="str">
        <x:v>Ecology/hunting/agriculture lack one population model</x:v>
      </x:c>
      <x:c r="D30" s="42" t="str">
        <x:v>Rich catalogues precede shared carrying-capacity equations</x:v>
      </x:c>
      <x:c r="E30" s="42" t="str">
        <x:v>Hidden punishment and incoherent abundance</x:v>
      </x:c>
      <x:c r="F30" s="42" t="str">
        <x:v>One plant–pest–prey–water chain first</x:v>
      </x:c>
      <x:c r="G30" s="42" t="str">
        <x:v>I10</x:v>
      </x:c>
      <x:c r="H30" s="42" t="str">
        <x:v>Banked</x:v>
      </x:c>
      <x:c r="I30" s="42" t="str">
        <x:v>Population changes are readable, reversible and causally linked</x:v>
      </x:c>
    </x:row>
  </x:sheetData>
  <x:mergeCells>
    <x:mergeCell ref="A1:I1"/>
    <x:mergeCell ref="A2:I2"/>
  </x:mergeCells>
  <x:conditionalFormatting sqref="B5:B30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dataValidations count="2">
    <x:dataValidation type="list" sqref="B5:B30">
      <x:formula1>"P0,P1,P2"</x:formula1>
    </x:dataValidation>
    <x:dataValidation type="list" sqref="H5:H30">
      <x:formula1>"Open,In progress,Blocked,Banked,Closed"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4" hidden="0" customWidth="1"/>
    <x:col min="4" max="4" width="13" hidden="0" customWidth="1"/>
    <x:col min="5" max="5" width="15" hidden="0" customWidth="1"/>
    <x:col min="6" max="6" width="20" hidden="0" customWidth="1"/>
  </x:cols>
  <x:sheetData>
    <x:row r="1" ht="30" customHeight="1">
      <x:c r="A1" s="3" t="str">
        <x:v>System Dependency Edges</x:v>
      </x:c>
      <x:c r="B1" s="3"/>
      <x:c r="C1" s="3"/>
      <x:c r="D1" s="3"/>
      <x:c r="E1" s="3"/>
      <x:c r="F1" s="3"/>
    </x:row>
    <x:row r="2" ht="34" customHeight="1">
      <x:c r="A2" s="7" t="str">
        <x:v>Machine-readable links. Required edges must be represented by implemented data before the dependent system can be accepted.</x:v>
      </x:c>
      <x:c r="B2" s="7"/>
      <x:c r="C2" s="7"/>
      <x:c r="D2" s="7"/>
      <x:c r="E2" s="7"/>
      <x:c r="F2" s="7"/>
    </x:row>
    <x:row r="4" ht="30" customHeight="1">
      <x:c r="A4" s="30" t="str">
        <x:v>From ID</x:v>
      </x:c>
      <x:c r="B4" s="31" t="str">
        <x:v>To ID</x:v>
      </x:c>
      <x:c r="C4" s="31" t="str">
        <x:v>Relationship</x:v>
      </x:c>
      <x:c r="D4" s="31" t="str">
        <x:v>Required?</x:v>
      </x:c>
      <x:c r="E4" s="31" t="str">
        <x:v>Campaign stage</x:v>
      </x:c>
      <x:c r="F4" s="32" t="str">
        <x:v>Authority</x:v>
      </x:c>
    </x:row>
    <x:row r="5">
      <x:c r="A5" s="40" t="str">
        <x:v>S01</x:v>
      </x:c>
      <x:c r="B5" s="40" t="str">
        <x:v>S02</x:v>
      </x:c>
      <x:c r="C5" s="40" t="str">
        <x:v>arrival grants layered control</x:v>
      </x:c>
      <x:c r="D5" s="40" t="str">
        <x:v>Required</x:v>
      </x:c>
      <x:c r="E5" s="40" t="str">
        <x:v>0</x:v>
      </x:c>
      <x:c r="F5" s="40" t="str">
        <x:v>v2.4</x:v>
      </x:c>
    </x:row>
    <x:row r="6">
      <x:c r="A6" s="41" t="str">
        <x:v>S01</x:v>
      </x:c>
      <x:c r="B6" s="41" t="str">
        <x:v>S03</x:v>
      </x:c>
      <x:c r="C6" s="41" t="str">
        <x:v>arrival creates localized condition</x:v>
      </x:c>
      <x:c r="D6" s="41" t="str">
        <x:v>Required</x:v>
      </x:c>
      <x:c r="E6" s="41" t="str">
        <x:v>0</x:v>
      </x:c>
      <x:c r="F6" s="41" t="str">
        <x:v>v2.4</x:v>
      </x:c>
    </x:row>
    <x:row r="7">
      <x:c r="A7" s="41" t="str">
        <x:v>S03</x:v>
      </x:c>
      <x:c r="B7" s="41" t="str">
        <x:v>S05</x:v>
      </x:c>
      <x:c r="C7" s="41" t="str">
        <x:v>injury and wetness alter exposure</x:v>
      </x:c>
      <x:c r="D7" s="41" t="str">
        <x:v>Required</x:v>
      </x:c>
      <x:c r="E7" s="41" t="str">
        <x:v>0–2</x:v>
      </x:c>
      <x:c r="F7" s="41" t="str">
        <x:v>v2.4</x:v>
      </x:c>
    </x:row>
    <x:row r="8">
      <x:c r="A8" s="41" t="str">
        <x:v>S03</x:v>
      </x:c>
      <x:c r="B8" s="41" t="str">
        <x:v>S22</x:v>
      </x:c>
      <x:c r="C8" s="41" t="str">
        <x:v>injury creates treatment operation</x:v>
      </x:c>
      <x:c r="D8" s="41" t="str">
        <x:v>Required</x:v>
      </x:c>
      <x:c r="E8" s="41" t="str">
        <x:v>0–2</x:v>
      </x:c>
      <x:c r="F8" s="41" t="str">
        <x:v>v2.4</x:v>
      </x:c>
    </x:row>
    <x:row r="9">
      <x:c r="A9" s="41" t="str">
        <x:v>S02</x:v>
      </x:c>
      <x:c r="B9" s="41" t="str">
        <x:v>S06</x:v>
      </x:c>
      <x:c r="C9" s="41" t="str">
        <x:v>movement creates workload</x:v>
      </x:c>
      <x:c r="D9" s="41" t="str">
        <x:v>Required</x:v>
      </x:c>
      <x:c r="E9" s="41" t="str">
        <x:v>all</x:v>
      </x:c>
      <x:c r="F9" s="41" t="str">
        <x:v>v2.3</x:v>
      </x:c>
    </x:row>
    <x:row r="10">
      <x:c r="A10" s="41" t="str">
        <x:v>S02</x:v>
      </x:c>
      <x:c r="B10" s="41" t="str">
        <x:v>S08</x:v>
      </x:c>
      <x:c r="C10" s="41" t="str">
        <x:v>load changes movement route</x:v>
      </x:c>
      <x:c r="D10" s="41" t="str">
        <x:v>Required</x:v>
      </x:c>
      <x:c r="E10" s="41" t="str">
        <x:v>all</x:v>
      </x:c>
      <x:c r="F10" s="41" t="str">
        <x:v>v2.3</x:v>
      </x:c>
    </x:row>
    <x:row r="11">
      <x:c r="A11" s="41" t="str">
        <x:v>S04</x:v>
      </x:c>
      <x:c r="B11" s="41" t="str">
        <x:v>S05</x:v>
      </x:c>
      <x:c r="C11" s="41" t="str">
        <x:v>weather/light drive exposure</x:v>
      </x:c>
      <x:c r="D11" s="41" t="str">
        <x:v>Required</x:v>
      </x:c>
      <x:c r="E11" s="41" t="str">
        <x:v>all</x:v>
      </x:c>
      <x:c r="F11" s="41" t="str">
        <x:v>v0.14</x:v>
      </x:c>
    </x:row>
    <x:row r="12">
      <x:c r="A12" s="41" t="str">
        <x:v>S04</x:v>
      </x:c>
      <x:c r="B12" s="41" t="str">
        <x:v>S11</x:v>
      </x:c>
      <x:c r="C12" s="41" t="str">
        <x:v>sea/weather drive wreck states</x:v>
      </x:c>
      <x:c r="D12" s="41" t="str">
        <x:v>Required</x:v>
      </x:c>
      <x:c r="E12" s="41" t="str">
        <x:v>6+</x:v>
      </x:c>
      <x:c r="F12" s="41" t="str">
        <x:v>v2.4</x:v>
      </x:c>
    </x:row>
    <x:row r="13">
      <x:c r="A13" s="41" t="str">
        <x:v>S04</x:v>
      </x:c>
      <x:c r="B13" s="41" t="str">
        <x:v>S27</x:v>
      </x:c>
      <x:c r="C13" s="41" t="str">
        <x:v>forecast shapes expedition</x:v>
      </x:c>
      <x:c r="D13" s="41" t="str">
        <x:v>Required</x:v>
      </x:c>
      <x:c r="E13" s="41" t="str">
        <x:v>5+</x:v>
      </x:c>
      <x:c r="F13" s="41" t="str">
        <x:v>v0.15</x:v>
      </x:c>
    </x:row>
    <x:row r="14">
      <x:c r="A14" s="41" t="str">
        <x:v>S05</x:v>
      </x:c>
      <x:c r="B14" s="41" t="str">
        <x:v>S06</x:v>
      </x:c>
      <x:c r="C14" s="41" t="str">
        <x:v>thermal state alters performance</x:v>
      </x:c>
      <x:c r="D14" s="41" t="str">
        <x:v>Required</x:v>
      </x:c>
      <x:c r="E14" s="41" t="str">
        <x:v>all</x:v>
      </x:c>
      <x:c r="F14" s="41" t="str">
        <x:v>v2.4</x:v>
      </x:c>
    </x:row>
    <x:row r="15">
      <x:c r="A15" s="41" t="str">
        <x:v>S05</x:v>
      </x:c>
      <x:c r="B15" s="41" t="str">
        <x:v>S07</x:v>
      </x:c>
      <x:c r="C15" s="41" t="str">
        <x:v>sleep quality depends on thermal safety</x:v>
      </x:c>
      <x:c r="D15" s="41" t="str">
        <x:v>Required</x:v>
      </x:c>
      <x:c r="E15" s="41" t="str">
        <x:v>2+</x:v>
      </x:c>
      <x:c r="F15" s="41" t="str">
        <x:v>v2.4</x:v>
      </x:c>
    </x:row>
    <x:row r="16">
      <x:c r="A16" s="41" t="str">
        <x:v>S06</x:v>
      </x:c>
      <x:c r="B16" s="41" t="str">
        <x:v>S07</x:v>
      </x:c>
      <x:c r="C16" s="41" t="str">
        <x:v>energy debt creates recovery need</x:v>
      </x:c>
      <x:c r="D16" s="41" t="str">
        <x:v>Required</x:v>
      </x:c>
      <x:c r="E16" s="41" t="str">
        <x:v>2+</x:v>
      </x:c>
      <x:c r="F16" s="41" t="str">
        <x:v>v2.4</x:v>
      </x:c>
    </x:row>
    <x:row r="17">
      <x:c r="A17" s="41" t="str">
        <x:v>S06</x:v>
      </x:c>
      <x:c r="B17" s="41" t="str">
        <x:v>S22</x:v>
      </x:c>
      <x:c r="C17" s="41" t="str">
        <x:v>dehydration/energy alter healing</x:v>
      </x:c>
      <x:c r="D17" s="41" t="str">
        <x:v>Required</x:v>
      </x:c>
      <x:c r="E17" s="41" t="str">
        <x:v>all</x:v>
      </x:c>
      <x:c r="F17" s="41" t="str">
        <x:v>v2.4</x:v>
      </x:c>
    </x:row>
    <x:row r="18">
      <x:c r="A18" s="41" t="str">
        <x:v>S07</x:v>
      </x:c>
      <x:c r="B18" s="41" t="str">
        <x:v>S13</x:v>
      </x:c>
      <x:c r="C18" s="41" t="str">
        <x:v>sleep affects learning consolidation</x:v>
      </x:c>
      <x:c r="D18" s="41" t="str">
        <x:v>Required</x:v>
      </x:c>
      <x:c r="E18" s="41" t="str">
        <x:v>4+</x:v>
      </x:c>
      <x:c r="F18" s="41" t="str">
        <x:v>v2.4</x:v>
      </x:c>
    </x:row>
    <x:row r="19">
      <x:c r="A19" s="41" t="str">
        <x:v>S08</x:v>
      </x:c>
      <x:c r="B19" s="41" t="str">
        <x:v>S12</x:v>
      </x:c>
      <x:c r="C19" s="41" t="str">
        <x:v>load/bulk define salvage logistics</x:v>
      </x:c>
      <x:c r="D19" s="41" t="str">
        <x:v>Required</x:v>
      </x:c>
      <x:c r="E19" s="41" t="str">
        <x:v>6+</x:v>
      </x:c>
      <x:c r="F19" s="41" t="str">
        <x:v>v2.4</x:v>
      </x:c>
    </x:row>
    <x:row r="20">
      <x:c r="A20" s="41" t="str">
        <x:v>S08</x:v>
      </x:c>
      <x:c r="B20" s="41" t="str">
        <x:v>S24</x:v>
      </x:c>
      <x:c r="C20" s="41" t="str">
        <x:v>cargo affects boat state</x:v>
      </x:c>
      <x:c r="D20" s="41" t="str">
        <x:v>Required</x:v>
      </x:c>
      <x:c r="E20" s="41" t="str">
        <x:v>9+</x:v>
      </x:c>
      <x:c r="F20" s="41" t="str">
        <x:v>v2.4</x:v>
      </x:c>
    </x:row>
    <x:row r="21">
      <x:c r="A21" s="41" t="str">
        <x:v>S09</x:v>
      </x:c>
      <x:c r="B21" s="41" t="str">
        <x:v>S10</x:v>
      </x:c>
      <x:c r="C21" s="41" t="str">
        <x:v>inspection reveals material properties</x:v>
      </x:c>
      <x:c r="D21" s="41" t="str">
        <x:v>Required</x:v>
      </x:c>
      <x:c r="E21" s="41" t="str">
        <x:v>1+</x:v>
      </x:c>
      <x:c r="F21" s="41" t="str">
        <x:v>v2.3</x:v>
      </x:c>
    </x:row>
    <x:row r="22">
      <x:c r="A22" s="41" t="str">
        <x:v>S09</x:v>
      </x:c>
      <x:c r="B22" s="41" t="str">
        <x:v>S13</x:v>
      </x:c>
      <x:c r="C22" s="41" t="str">
        <x:v>evidence forms hypotheses</x:v>
      </x:c>
      <x:c r="D22" s="41" t="str">
        <x:v>Required</x:v>
      </x:c>
      <x:c r="E22" s="41" t="str">
        <x:v>2+</x:v>
      </x:c>
      <x:c r="F22" s="41" t="str">
        <x:v>v2.3</x:v>
      </x:c>
    </x:row>
    <x:row r="23">
      <x:c r="A23" s="41" t="str">
        <x:v>S09</x:v>
      </x:c>
      <x:c r="B23" s="41" t="str">
        <x:v>S34</x:v>
      </x:c>
      <x:c r="C23" s="41" t="str">
        <x:v>anomaly evidence updates models</x:v>
      </x:c>
      <x:c r="D23" s="41" t="str">
        <x:v>Required</x:v>
      </x:c>
      <x:c r="E23" s="41" t="str">
        <x:v>6+</x:v>
      </x:c>
      <x:c r="F23" s="41" t="str">
        <x:v>v2.2</x:v>
      </x:c>
    </x:row>
    <x:row r="24">
      <x:c r="A24" s="41" t="str">
        <x:v>S10</x:v>
      </x:c>
      <x:c r="B24" s="41" t="str">
        <x:v>S13</x:v>
      </x:c>
      <x:c r="C24" s="41" t="str">
        <x:v>matter enables experiment</x:v>
      </x:c>
      <x:c r="D24" s="41" t="str">
        <x:v>Required</x:v>
      </x:c>
      <x:c r="E24" s="41" t="str">
        <x:v>2+</x:v>
      </x:c>
      <x:c r="F24" s="41" t="str">
        <x:v>v2.3</x:v>
      </x:c>
    </x:row>
    <x:row r="25">
      <x:c r="A25" s="41" t="str">
        <x:v>S10</x:v>
      </x:c>
      <x:c r="B25" s="41" t="str">
        <x:v>S18</x:v>
      </x:c>
      <x:c r="C25" s="41" t="str">
        <x:v>materials become structure</x:v>
      </x:c>
      <x:c r="D25" s="41" t="str">
        <x:v>Required</x:v>
      </x:c>
      <x:c r="E25" s="41" t="str">
        <x:v>3+</x:v>
      </x:c>
      <x:c r="F25" s="41" t="str">
        <x:v>v0.14</x:v>
      </x:c>
    </x:row>
    <x:row r="26">
      <x:c r="A26" s="41" t="str">
        <x:v>S10</x:v>
      </x:c>
      <x:c r="B26" s="41" t="str">
        <x:v>S20</x:v>
      </x:c>
      <x:c r="C26" s="41" t="str">
        <x:v>ecology supplies food/material</x:v>
      </x:c>
      <x:c r="D26" s="41" t="str">
        <x:v>Required</x:v>
      </x:c>
      <x:c r="E26" s="41" t="str">
        <x:v>8+</x:v>
      </x:c>
      <x:c r="F26" s="41" t="str">
        <x:v>v0.12</x:v>
      </x:c>
    </x:row>
    <x:row r="27">
      <x:c r="A27" s="41" t="str">
        <x:v>S11</x:v>
      </x:c>
      <x:c r="B27" s="41" t="str">
        <x:v>S12</x:v>
      </x:c>
      <x:c r="C27" s="41" t="str">
        <x:v>wreck opportunity becomes operation</x:v>
      </x:c>
      <x:c r="D27" s="41" t="str">
        <x:v>Required</x:v>
      </x:c>
      <x:c r="E27" s="41" t="str">
        <x:v>6+</x:v>
      </x:c>
      <x:c r="F27" s="41" t="str">
        <x:v>v2.4</x:v>
      </x:c>
    </x:row>
    <x:row r="28">
      <x:c r="A28" s="41" t="str">
        <x:v>S11</x:v>
      </x:c>
      <x:c r="B28" s="41" t="str">
        <x:v>S27</x:v>
      </x:c>
      <x:c r="C28" s="41" t="str">
        <x:v>wreck window competes for expedition time</x:v>
      </x:c>
      <x:c r="D28" s="41" t="str">
        <x:v>Required</x:v>
      </x:c>
      <x:c r="E28" s="41" t="str">
        <x:v>6+</x:v>
      </x:c>
      <x:c r="F28" s="41" t="str">
        <x:v>v2.4</x:v>
      </x:c>
    </x:row>
    <x:row r="29">
      <x:c r="A29" s="41" t="str">
        <x:v>S12</x:v>
      </x:c>
      <x:c r="B29" s="41" t="str">
        <x:v>S13</x:v>
      </x:c>
      <x:c r="C29" s="41" t="str">
        <x:v>salvage parts create hypotheses</x:v>
      </x:c>
      <x:c r="D29" s="41" t="str">
        <x:v>Required</x:v>
      </x:c>
      <x:c r="E29" s="41" t="str">
        <x:v>6+</x:v>
      </x:c>
      <x:c r="F29" s="41" t="str">
        <x:v>v2.4</x:v>
      </x:c>
    </x:row>
    <x:row r="30">
      <x:c r="A30" s="41" t="str">
        <x:v>S12</x:v>
      </x:c>
      <x:c r="B30" s="41" t="str">
        <x:v>S15</x:v>
      </x:c>
      <x:c r="C30" s="41" t="str">
        <x:v>salvage recovers tools/parts</x:v>
      </x:c>
      <x:c r="D30" s="41" t="str">
        <x:v>Required</x:v>
      </x:c>
      <x:c r="E30" s="41" t="str">
        <x:v>6+</x:v>
      </x:c>
      <x:c r="F30" s="41" t="str">
        <x:v>v2.4</x:v>
      </x:c>
    </x:row>
    <x:row r="31">
      <x:c r="A31" s="41" t="str">
        <x:v>S12</x:v>
      </x:c>
      <x:c r="B31" s="41" t="str">
        <x:v>S24</x:v>
      </x:c>
      <x:c r="C31" s="41" t="str">
        <x:v>salvage enables boat restoration</x:v>
      </x:c>
      <x:c r="D31" s="41" t="str">
        <x:v>Required</x:v>
      </x:c>
      <x:c r="E31" s="41" t="str">
        <x:v>8+</x:v>
      </x:c>
      <x:c r="F31" s="41" t="str">
        <x:v>v2.4</x:v>
      </x:c>
    </x:row>
    <x:row r="32">
      <x:c r="A32" s="41" t="str">
        <x:v>S12</x:v>
      </x:c>
      <x:c r="B32" s="41" t="str">
        <x:v>S29</x:v>
      </x:c>
      <x:c r="C32" s="41" t="str">
        <x:v>salvage enables signal/return route</x:v>
      </x:c>
      <x:c r="D32" s="41" t="str">
        <x:v>Required</x:v>
      </x:c>
      <x:c r="E32" s="41" t="str">
        <x:v>10+</x:v>
      </x:c>
      <x:c r="F32" s="41" t="str">
        <x:v>v2.2</x:v>
      </x:c>
    </x:row>
    <x:row r="33">
      <x:c r="A33" s="41" t="str">
        <x:v>S13</x:v>
      </x:c>
      <x:c r="B33" s="41" t="str">
        <x:v>S14</x:v>
      </x:c>
      <x:c r="C33" s="41" t="str">
        <x:v>tested relations become patterns</x:v>
      </x:c>
      <x:c r="D33" s="41" t="str">
        <x:v>Required</x:v>
      </x:c>
      <x:c r="E33" s="41" t="str">
        <x:v>3+</x:v>
      </x:c>
      <x:c r="F33" s="41" t="str">
        <x:v>v2.3</x:v>
      </x:c>
    </x:row>
    <x:row r="34">
      <x:c r="A34" s="41" t="str">
        <x:v>S13</x:v>
      </x:c>
      <x:c r="B34" s="41" t="str">
        <x:v>S15</x:v>
      </x:c>
      <x:c r="C34" s="41" t="str">
        <x:v>invention creates tools</x:v>
      </x:c>
      <x:c r="D34" s="41" t="str">
        <x:v>Required</x:v>
      </x:c>
      <x:c r="E34" s="41" t="str">
        <x:v>2+</x:v>
      </x:c>
      <x:c r="F34" s="41" t="str">
        <x:v>v2.3</x:v>
      </x:c>
    </x:row>
    <x:row r="35">
      <x:c r="A35" s="41" t="str">
        <x:v>S13</x:v>
      </x:c>
      <x:c r="B35" s="41" t="str">
        <x:v>S17</x:v>
      </x:c>
      <x:c r="C35" s="41" t="str">
        <x:v>fire must be discovered</x:v>
      </x:c>
      <x:c r="D35" s="41" t="str">
        <x:v>Required</x:v>
      </x:c>
      <x:c r="E35" s="41" t="str">
        <x:v>2+</x:v>
      </x:c>
      <x:c r="F35" s="41" t="str">
        <x:v>v2.4</x:v>
      </x:c>
    </x:row>
    <x:row r="36">
      <x:c r="A36" s="41" t="str">
        <x:v>S13</x:v>
      </x:c>
      <x:c r="B36" s="41" t="str">
        <x:v>S18</x:v>
      </x:c>
      <x:c r="C36" s="41" t="str">
        <x:v>construction patterns must be proven</x:v>
      </x:c>
      <x:c r="D36" s="41" t="str">
        <x:v>Required</x:v>
      </x:c>
      <x:c r="E36" s="41" t="str">
        <x:v>3+</x:v>
      </x:c>
      <x:c r="F36" s="41" t="str">
        <x:v>v2.4</x:v>
      </x:c>
    </x:row>
    <x:row r="37">
      <x:c r="A37" s="41" t="str">
        <x:v>S14</x:v>
      </x:c>
      <x:c r="B37" s="41" t="str">
        <x:v>S16</x:v>
      </x:c>
      <x:c r="C37" s="41" t="str">
        <x:v>documented knowledge improves workspace use</x:v>
      </x:c>
      <x:c r="D37" s="41" t="str">
        <x:v>Required</x:v>
      </x:c>
      <x:c r="E37" s="41" t="str">
        <x:v>4+</x:v>
      </x:c>
      <x:c r="F37" s="41" t="str">
        <x:v>v2.3</x:v>
      </x:c>
    </x:row>
    <x:row r="38">
      <x:c r="A38" s="41" t="str">
        <x:v>S14</x:v>
      </x:c>
      <x:c r="B38" s="41" t="str">
        <x:v>S31</x:v>
      </x:c>
      <x:c r="C38" s="41" t="str">
        <x:v>physical carrier supports successor</x:v>
      </x:c>
      <x:c r="D38" s="41" t="str">
        <x:v>Required</x:v>
      </x:c>
      <x:c r="E38" s="41" t="str">
        <x:v>14</x:v>
      </x:c>
      <x:c r="F38" s="41" t="str">
        <x:v>v2.4</x:v>
      </x:c>
    </x:row>
    <x:row r="39">
      <x:c r="A39" s="41" t="str">
        <x:v>S14</x:v>
      </x:c>
      <x:c r="B39" s="41" t="str">
        <x:v>S33</x:v>
      </x:c>
      <x:c r="C39" s="41" t="str">
        <x:v>carrier enables teaching/trade</x:v>
      </x:c>
      <x:c r="D39" s="41" t="str">
        <x:v>Required</x:v>
      </x:c>
      <x:c r="E39" s="41" t="str">
        <x:v>9+</x:v>
      </x:c>
      <x:c r="F39" s="41" t="str">
        <x:v>v2.4</x:v>
      </x:c>
    </x:row>
    <x:row r="40">
      <x:c r="A40" s="41" t="str">
        <x:v>S15</x:v>
      </x:c>
      <x:c r="B40" s="41" t="str">
        <x:v>S10</x:v>
      </x:c>
      <x:c r="C40" s="41" t="str">
        <x:v>tools change reachable sources</x:v>
      </x:c>
      <x:c r="D40" s="41" t="str">
        <x:v>Required</x:v>
      </x:c>
      <x:c r="E40" s="41" t="str">
        <x:v>2+</x:v>
      </x:c>
      <x:c r="F40" s="41" t="str">
        <x:v>v2.3</x:v>
      </x:c>
    </x:row>
    <x:row r="41">
      <x:c r="A41" s="41" t="str">
        <x:v>S15</x:v>
      </x:c>
      <x:c r="B41" s="41" t="str">
        <x:v>S16</x:v>
      </x:c>
      <x:c r="C41" s="41" t="str">
        <x:v>tools enable fixtures/workstations</x:v>
      </x:c>
      <x:c r="D41" s="41" t="str">
        <x:v>Required</x:v>
      </x:c>
      <x:c r="E41" s="41" t="str">
        <x:v>4+</x:v>
      </x:c>
      <x:c r="F41" s="41" t="str">
        <x:v>v2.3</x:v>
      </x:c>
    </x:row>
    <x:row r="42">
      <x:c r="A42" s="41" t="str">
        <x:v>S15</x:v>
      </x:c>
      <x:c r="B42" s="41" t="str">
        <x:v>S19</x:v>
      </x:c>
      <x:c r="C42" s="41" t="str">
        <x:v>tools enable containers/treatment</x:v>
      </x:c>
      <x:c r="D42" s="41" t="str">
        <x:v>Required</x:v>
      </x:c>
      <x:c r="E42" s="41" t="str">
        <x:v>5+</x:v>
      </x:c>
      <x:c r="F42" s="41" t="str">
        <x:v>v2.2</x:v>
      </x:c>
    </x:row>
    <x:row r="43">
      <x:c r="A43" s="41" t="str">
        <x:v>S15</x:v>
      </x:c>
      <x:c r="B43" s="41" t="str">
        <x:v>S20</x:v>
      </x:c>
      <x:c r="C43" s="41" t="str">
        <x:v>tools enable hunting/fishing</x:v>
      </x:c>
      <x:c r="D43" s="41" t="str">
        <x:v>Required</x:v>
      </x:c>
      <x:c r="E43" s="41" t="str">
        <x:v>8+</x:v>
      </x:c>
      <x:c r="F43" s="41" t="str">
        <x:v>v0.12</x:v>
      </x:c>
    </x:row>
    <x:row r="44">
      <x:c r="A44" s="41" t="str">
        <x:v>S16</x:v>
      </x:c>
      <x:c r="B44" s="41" t="str">
        <x:v>S15</x:v>
      </x:c>
      <x:c r="C44" s="41" t="str">
        <x:v>stations improve repeatable tool quality</x:v>
      </x:c>
      <x:c r="D44" s="41" t="str">
        <x:v>Required</x:v>
      </x:c>
      <x:c r="E44" s="41" t="str">
        <x:v>4+</x:v>
      </x:c>
      <x:c r="F44" s="41" t="str">
        <x:v>v2.3</x:v>
      </x:c>
    </x:row>
    <x:row r="45">
      <x:c r="A45" s="41" t="str">
        <x:v>S16</x:v>
      </x:c>
      <x:c r="B45" s="41" t="str">
        <x:v>S24</x:v>
      </x:c>
      <x:c r="C45" s="41" t="str">
        <x:v>boatyard supports restoration</x:v>
      </x:c>
      <x:c r="D45" s="41" t="str">
        <x:v>Required</x:v>
      </x:c>
      <x:c r="E45" s="41" t="str">
        <x:v>8+</x:v>
      </x:c>
      <x:c r="F45" s="41" t="str">
        <x:v>v2.4</x:v>
      </x:c>
    </x:row>
    <x:row r="46">
      <x:c r="A46" s="41" t="str">
        <x:v>S16</x:v>
      </x:c>
      <x:c r="B46" s="41" t="str">
        <x:v>S29</x:v>
      </x:c>
      <x:c r="C46" s="41" t="str">
        <x:v>electrical/radio work requires fixtures</x:v>
      </x:c>
      <x:c r="D46" s="41" t="str">
        <x:v>Required</x:v>
      </x:c>
      <x:c r="E46" s="41" t="str">
        <x:v>10+</x:v>
      </x:c>
      <x:c r="F46" s="41" t="str">
        <x:v>v2.2</x:v>
      </x:c>
    </x:row>
    <x:row r="47">
      <x:c r="A47" s="41" t="str">
        <x:v>S17</x:v>
      </x:c>
      <x:c r="B47" s="41" t="str">
        <x:v>S05</x:v>
      </x:c>
      <x:c r="C47" s="41" t="str">
        <x:v>fire changes heat balance</x:v>
      </x:c>
      <x:c r="D47" s="41" t="str">
        <x:v>Required</x:v>
      </x:c>
      <x:c r="E47" s="41" t="str">
        <x:v>2+</x:v>
      </x:c>
      <x:c r="F47" s="41" t="str">
        <x:v>v2.4</x:v>
      </x:c>
    </x:row>
    <x:row r="48">
      <x:c r="A48" s="41" t="str">
        <x:v>S17</x:v>
      </x:c>
      <x:c r="B48" s="41" t="str">
        <x:v>S19</x:v>
      </x:c>
      <x:c r="C48" s="41" t="str">
        <x:v>fire enables water treatment</x:v>
      </x:c>
      <x:c r="D48" s="41" t="str">
        <x:v>Required</x:v>
      </x:c>
      <x:c r="E48" s="41" t="str">
        <x:v>5+</x:v>
      </x:c>
      <x:c r="F48" s="41" t="str">
        <x:v>v0.14</x:v>
      </x:c>
    </x:row>
    <x:row r="49">
      <x:c r="A49" s="41" t="str">
        <x:v>S17</x:v>
      </x:c>
      <x:c r="B49" s="41" t="str">
        <x:v>S20</x:v>
      </x:c>
      <x:c r="C49" s="41" t="str">
        <x:v>fire enables cooking/preservation</x:v>
      </x:c>
      <x:c r="D49" s="41" t="str">
        <x:v>Required</x:v>
      </x:c>
      <x:c r="E49" s="41" t="str">
        <x:v>8+</x:v>
      </x:c>
      <x:c r="F49" s="41" t="str">
        <x:v>v0.12</x:v>
      </x:c>
    </x:row>
    <x:row r="50">
      <x:c r="A50" s="41" t="str">
        <x:v>S17</x:v>
      </x:c>
      <x:c r="B50" s="41" t="str">
        <x:v>S15</x:v>
      </x:c>
      <x:c r="C50" s="41" t="str">
        <x:v>heat expands material processing</x:v>
      </x:c>
      <x:c r="D50" s="41" t="str">
        <x:v>Required</x:v>
      </x:c>
      <x:c r="E50" s="41" t="str">
        <x:v>7+</x:v>
      </x:c>
      <x:c r="F50" s="41" t="str">
        <x:v>v2.3</x:v>
      </x:c>
    </x:row>
    <x:row r="51">
      <x:c r="A51" s="41" t="str">
        <x:v>S18</x:v>
      </x:c>
      <x:c r="B51" s="41" t="str">
        <x:v>S05</x:v>
      </x:c>
      <x:c r="C51" s="41" t="str">
        <x:v>shelter alters specific exposure paths</x:v>
      </x:c>
      <x:c r="D51" s="41" t="str">
        <x:v>Required</x:v>
      </x:c>
      <x:c r="E51" s="41" t="str">
        <x:v>3+</x:v>
      </x:c>
      <x:c r="F51" s="41" t="str">
        <x:v>v0.14</x:v>
      </x:c>
    </x:row>
    <x:row r="52">
      <x:c r="A52" s="41" t="str">
        <x:v>S18</x:v>
      </x:c>
      <x:c r="B52" s="41" t="str">
        <x:v>S07</x:v>
      </x:c>
      <x:c r="C52" s="41" t="str">
        <x:v>refuge alters sleep quality</x:v>
      </x:c>
      <x:c r="D52" s="41" t="str">
        <x:v>Required</x:v>
      </x:c>
      <x:c r="E52" s="41" t="str">
        <x:v>4+</x:v>
      </x:c>
      <x:c r="F52" s="41" t="str">
        <x:v>v2.4</x:v>
      </x:c>
    </x:row>
    <x:row r="53">
      <x:c r="A53" s="41" t="str">
        <x:v>S18</x:v>
      </x:c>
      <x:c r="B53" s="41" t="str">
        <x:v>S26</x:v>
      </x:c>
      <x:c r="C53" s="41" t="str">
        <x:v>refuge begins home attachment</x:v>
      </x:c>
      <x:c r="D53" s="41" t="str">
        <x:v>Required</x:v>
      </x:c>
      <x:c r="E53" s="41" t="str">
        <x:v>4+</x:v>
      </x:c>
      <x:c r="F53" s="41" t="str">
        <x:v>v0.13</x:v>
      </x:c>
    </x:row>
    <x:row r="54">
      <x:c r="A54" s="41" t="str">
        <x:v>S19</x:v>
      </x:c>
      <x:c r="B54" s="41" t="str">
        <x:v>S06</x:v>
      </x:c>
      <x:c r="C54" s="41" t="str">
        <x:v>water supports hydration</x:v>
      </x:c>
      <x:c r="D54" s="41" t="str">
        <x:v>Required</x:v>
      </x:c>
      <x:c r="E54" s="41" t="str">
        <x:v>5+</x:v>
      </x:c>
      <x:c r="F54" s="41" t="str">
        <x:v>v0.14</x:v>
      </x:c>
    </x:row>
    <x:row r="55">
      <x:c r="A55" s="41" t="str">
        <x:v>S19</x:v>
      </x:c>
      <x:c r="B55" s="41" t="str">
        <x:v>S21</x:v>
      </x:c>
      <x:c r="C55" s="41" t="str">
        <x:v>water supports cultivation</x:v>
      </x:c>
      <x:c r="D55" s="41" t="str">
        <x:v>Required</x:v>
      </x:c>
      <x:c r="E55" s="41" t="str">
        <x:v>8+</x:v>
      </x:c>
      <x:c r="F55" s="41" t="str">
        <x:v>v0.13</x:v>
      </x:c>
    </x:row>
    <x:row r="56">
      <x:c r="A56" s="41" t="str">
        <x:v>S19</x:v>
      </x:c>
      <x:c r="B56" s="41" t="str">
        <x:v>S26</x:v>
      </x:c>
      <x:c r="C56" s="41" t="str">
        <x:v>water becomes home operation</x:v>
      </x:c>
      <x:c r="D56" s="41" t="str">
        <x:v>Required</x:v>
      </x:c>
      <x:c r="E56" s="41" t="str">
        <x:v>5+</x:v>
      </x:c>
      <x:c r="F56" s="41" t="str">
        <x:v>v0.14</x:v>
      </x:c>
    </x:row>
    <x:row r="57">
      <x:c r="A57" s="41" t="str">
        <x:v>S20</x:v>
      </x:c>
      <x:c r="B57" s="41" t="str">
        <x:v>S06</x:v>
      </x:c>
      <x:c r="C57" s="41" t="str">
        <x:v>food affects reserves/recovery</x:v>
      </x:c>
      <x:c r="D57" s="41" t="str">
        <x:v>Required</x:v>
      </x:c>
      <x:c r="E57" s="41" t="str">
        <x:v>8+</x:v>
      </x:c>
      <x:c r="F57" s="41" t="str">
        <x:v>v2.4</x:v>
      </x:c>
    </x:row>
    <x:row r="58">
      <x:c r="A58" s="41" t="str">
        <x:v>S20</x:v>
      </x:c>
      <x:c r="B58" s="41" t="str">
        <x:v>S21</x:v>
      </x:c>
      <x:c r="C58" s="41" t="str">
        <x:v>hunting/pests/crops share ecology</x:v>
      </x:c>
      <x:c r="D58" s="41" t="str">
        <x:v>Required</x:v>
      </x:c>
      <x:c r="E58" s="41" t="str">
        <x:v>8+</x:v>
      </x:c>
      <x:c r="F58" s="41" t="str">
        <x:v>v0.12–13</x:v>
      </x:c>
    </x:row>
    <x:row r="59">
      <x:c r="A59" s="41" t="str">
        <x:v>S21</x:v>
      </x:c>
      <x:c r="B59" s="41" t="str">
        <x:v>S26</x:v>
      </x:c>
      <x:c r="C59" s="41" t="str">
        <x:v>cultivation creates home obligation</x:v>
      </x:c>
      <x:c r="D59" s="41" t="str">
        <x:v>Required</x:v>
      </x:c>
      <x:c r="E59" s="41" t="str">
        <x:v>8+</x:v>
      </x:c>
      <x:c r="F59" s="41" t="str">
        <x:v>v0.13</x:v>
      </x:c>
    </x:row>
    <x:row r="60">
      <x:c r="A60" s="41" t="str">
        <x:v>S22</x:v>
      </x:c>
      <x:c r="B60" s="41" t="str">
        <x:v>S06</x:v>
      </x:c>
      <x:c r="C60" s="41" t="str">
        <x:v>injury changes workload efficiency</x:v>
      </x:c>
      <x:c r="D60" s="41" t="str">
        <x:v>Required</x:v>
      </x:c>
      <x:c r="E60" s="41" t="str">
        <x:v>all</x:v>
      </x:c>
      <x:c r="F60" s="41" t="str">
        <x:v>v2.4</x:v>
      </x:c>
    </x:row>
    <x:row r="61">
      <x:c r="A61" s="41" t="str">
        <x:v>S22</x:v>
      </x:c>
      <x:c r="B61" s="41" t="str">
        <x:v>S31</x:v>
      </x:c>
      <x:c r="C61" s="41" t="str">
        <x:v>arrival station can support successor health</x:v>
      </x:c>
      <x:c r="D61" s="41" t="str">
        <x:v>Optional</x:v>
      </x:c>
      <x:c r="E61" s="41" t="str">
        <x:v>14</x:v>
      </x:c>
      <x:c r="F61" s="41" t="str">
        <x:v>v2.4</x:v>
      </x:c>
    </x:row>
    <x:row r="62">
      <x:c r="A62" s="41" t="str">
        <x:v>S23</x:v>
      </x:c>
      <x:c r="B62" s="41" t="str">
        <x:v>S05</x:v>
      </x:c>
      <x:c r="C62" s="41" t="str">
        <x:v>immersion changes thermal/wetness</x:v>
      </x:c>
      <x:c r="D62" s="41" t="str">
        <x:v>Required</x:v>
      </x:c>
      <x:c r="E62" s="41" t="str">
        <x:v>0/9+</x:v>
      </x:c>
      <x:c r="F62" s="41" t="str">
        <x:v>v2.4</x:v>
      </x:c>
    </x:row>
    <x:row r="63">
      <x:c r="A63" s="41" t="str">
        <x:v>S23</x:v>
      </x:c>
      <x:c r="B63" s="41" t="str">
        <x:v>S24</x:v>
      </x:c>
      <x:c r="C63" s="41" t="str">
        <x:v>swimming/reboarding supports boat use</x:v>
      </x:c>
      <x:c r="D63" s="41" t="str">
        <x:v>Required</x:v>
      </x:c>
      <x:c r="E63" s="41" t="str">
        <x:v>9+</x:v>
      </x:c>
      <x:c r="F63" s="41" t="str">
        <x:v>v2.2</x:v>
      </x:c>
    </x:row>
    <x:row r="64">
      <x:c r="A64" s="41" t="str">
        <x:v>S23</x:v>
      </x:c>
      <x:c r="B64" s="41" t="str">
        <x:v>S25</x:v>
      </x:c>
      <x:c r="C64" s="41" t="str">
        <x:v>surface-water competence precedes diving</x:v>
      </x:c>
      <x:c r="D64" s="41" t="str">
        <x:v>Required</x:v>
      </x:c>
      <x:c r="E64" s="41" t="str">
        <x:v>10+</x:v>
      </x:c>
      <x:c r="F64" s="41" t="str">
        <x:v>v0.10</x:v>
      </x:c>
    </x:row>
    <x:row r="65">
      <x:c r="A65" s="41" t="str">
        <x:v>S24</x:v>
      </x:c>
      <x:c r="B65" s="41" t="str">
        <x:v>S25</x:v>
      </x:c>
      <x:c r="C65" s="41" t="str">
        <x:v>boat anchors/supports dive expedition</x:v>
      </x:c>
      <x:c r="D65" s="41" t="str">
        <x:v>Required</x:v>
      </x:c>
      <x:c r="E65" s="41" t="str">
        <x:v>10+</x:v>
      </x:c>
      <x:c r="F65" s="41" t="str">
        <x:v>v0.10</x:v>
      </x:c>
    </x:row>
    <x:row r="66">
      <x:c r="A66" s="41" t="str">
        <x:v>S24</x:v>
      </x:c>
      <x:c r="B66" s="41" t="str">
        <x:v>S29</x:v>
      </x:c>
      <x:c r="C66" s="41" t="str">
        <x:v>vessel enables crossing/return route</x:v>
      </x:c>
      <x:c r="D66" s="41" t="str">
        <x:v>Required</x:v>
      </x:c>
      <x:c r="E66" s="41" t="str">
        <x:v>11+</x:v>
      </x:c>
      <x:c r="F66" s="41" t="str">
        <x:v>v0.15</x:v>
      </x:c>
    </x:row>
    <x:row r="67">
      <x:c r="A67" s="41" t="str">
        <x:v>S25</x:v>
      </x:c>
      <x:c r="B67" s="41" t="str">
        <x:v>S12</x:v>
      </x:c>
      <x:c r="C67" s="41" t="str">
        <x:v>diving extends salvage reach</x:v>
      </x:c>
      <x:c r="D67" s="41" t="str">
        <x:v>Required</x:v>
      </x:c>
      <x:c r="E67" s="41" t="str">
        <x:v>10+</x:v>
      </x:c>
      <x:c r="F67" s="41" t="str">
        <x:v>v0.10</x:v>
      </x:c>
    </x:row>
    <x:row r="68">
      <x:c r="A68" s="41" t="str">
        <x:v>S25</x:v>
      </x:c>
      <x:c r="B68" s="41" t="str">
        <x:v>S34</x:v>
      </x:c>
      <x:c r="C68" s="41" t="str">
        <x:v>underwater evidence informs anomaly model</x:v>
      </x:c>
      <x:c r="D68" s="41" t="str">
        <x:v>Optional</x:v>
      </x:c>
      <x:c r="E68" s="41" t="str">
        <x:v>10+</x:v>
      </x:c>
      <x:c r="F68" s="41" t="str">
        <x:v>v0.10</x:v>
      </x:c>
    </x:row>
    <x:row r="69">
      <x:c r="A69" s="41" t="str">
        <x:v>S26</x:v>
      </x:c>
      <x:c r="B69" s="41" t="str">
        <x:v>S27</x:v>
      </x:c>
      <x:c r="C69" s="41" t="str">
        <x:v>home need anchors expedition</x:v>
      </x:c>
      <x:c r="D69" s="41" t="str">
        <x:v>Required</x:v>
      </x:c>
      <x:c r="E69" s="41" t="str">
        <x:v>5+</x:v>
      </x:c>
      <x:c r="F69" s="41" t="str">
        <x:v>v2.2</x:v>
      </x:c>
    </x:row>
    <x:row r="70">
      <x:c r="A70" s="41" t="str">
        <x:v>S26</x:v>
      </x:c>
      <x:c r="B70" s="41" t="str">
        <x:v>S30</x:v>
      </x:c>
      <x:c r="C70" s="41" t="str">
        <x:v>home state survives death</x:v>
      </x:c>
      <x:c r="D70" s="41" t="str">
        <x:v>Required</x:v>
      </x:c>
      <x:c r="E70" s="41" t="str">
        <x:v>14</x:v>
      </x:c>
      <x:c r="F70" s="41" t="str">
        <x:v>v2.4</x:v>
      </x:c>
    </x:row>
    <x:row r="71">
      <x:c r="A71" s="41" t="str">
        <x:v>S27</x:v>
      </x:c>
      <x:c r="B71" s="41" t="str">
        <x:v>S26</x:v>
      </x:c>
      <x:c r="C71" s="41" t="str">
        <x:v>expedition integrates change at home</x:v>
      </x:c>
      <x:c r="D71" s="41" t="str">
        <x:v>Required</x:v>
      </x:c>
      <x:c r="E71" s="41" t="str">
        <x:v>5+</x:v>
      </x:c>
      <x:c r="F71" s="41" t="str">
        <x:v>v2.2</x:v>
      </x:c>
    </x:row>
    <x:row r="72">
      <x:c r="A72" s="41" t="str">
        <x:v>S27</x:v>
      </x:c>
      <x:c r="B72" s="41" t="str">
        <x:v>S29</x:v>
      </x:c>
      <x:c r="C72" s="41" t="str">
        <x:v>expeditions advance return hypothesis</x:v>
      </x:c>
      <x:c r="D72" s="41" t="str">
        <x:v>Required</x:v>
      </x:c>
      <x:c r="E72" s="41" t="str">
        <x:v>10+</x:v>
      </x:c>
      <x:c r="F72" s="41" t="str">
        <x:v>v0.15</x:v>
      </x:c>
    </x:row>
    <x:row r="73">
      <x:c r="A73" s="41" t="str">
        <x:v>S28</x:v>
      </x:c>
      <x:c r="B73" s="41" t="str">
        <x:v>S29</x:v>
      </x:c>
      <x:c r="C73" s="41" t="str">
        <x:v>Human Thread motivates and resolves return</x:v>
      </x:c>
      <x:c r="D73" s="41" t="str">
        <x:v>Required</x:v>
      </x:c>
      <x:c r="E73" s="41" t="str">
        <x:v>10–14</x:v>
      </x:c>
      <x:c r="F73" s="41" t="str">
        <x:v>v0.15</x:v>
      </x:c>
    </x:row>
    <x:row r="74">
      <x:c r="A74" s="41" t="str">
        <x:v>S28</x:v>
      </x:c>
      <x:c r="B74" s="41" t="str">
        <x:v>S30</x:v>
      </x:c>
      <x:c r="C74" s="41" t="str">
        <x:v>death may leave thread unresolved</x:v>
      </x:c>
      <x:c r="D74" s="41" t="str">
        <x:v>Required</x:v>
      </x:c>
      <x:c r="E74" s="41" t="str">
        <x:v>all</x:v>
      </x:c>
      <x:c r="F74" s="41" t="str">
        <x:v>v0.15</x:v>
      </x:c>
    </x:row>
    <x:row r="75">
      <x:c r="A75" s="41" t="str">
        <x:v>S29</x:v>
      </x:c>
      <x:c r="B75" s="41" t="str">
        <x:v>S38</x:v>
      </x:c>
      <x:c r="C75" s="41" t="str">
        <x:v>complete return requires acceptance evidence</x:v>
      </x:c>
      <x:c r="D75" s="41" t="str">
        <x:v>Required</x:v>
      </x:c>
      <x:c r="E75" s="41" t="str">
        <x:v>13–14</x:v>
      </x:c>
      <x:c r="F75" s="41" t="str">
        <x:v>v2.2</x:v>
      </x:c>
    </x:row>
    <x:row r="76">
      <x:c r="A76" s="41" t="str">
        <x:v>S30</x:v>
      </x:c>
      <x:c r="B76" s="41" t="str">
        <x:v>S31</x:v>
      </x:c>
      <x:c r="C76" s="41" t="str">
        <x:v>closed life creates successor state</x:v>
      </x:c>
      <x:c r="D76" s="41" t="str">
        <x:v>Required</x:v>
      </x:c>
      <x:c r="E76" s="41" t="str">
        <x:v>14</x:v>
      </x:c>
      <x:c r="F76" s="41" t="str">
        <x:v>v2.4</x:v>
      </x:c>
    </x:row>
    <x:row r="77">
      <x:c r="A77" s="41" t="str">
        <x:v>S30</x:v>
      </x:c>
      <x:c r="B77" s="41" t="str">
        <x:v>S35</x:v>
      </x:c>
      <x:c r="C77" s="41" t="str">
        <x:v>death requires atomic persistence</x:v>
      </x:c>
      <x:c r="D77" s="41" t="str">
        <x:v>Required</x:v>
      </x:c>
      <x:c r="E77" s="41" t="str">
        <x:v>14</x:v>
      </x:c>
      <x:c r="F77" s="41" t="str">
        <x:v>v2.2</x:v>
      </x:c>
    </x:row>
    <x:row r="78">
      <x:c r="A78" s="41" t="str">
        <x:v>S31</x:v>
      </x:c>
      <x:c r="B78" s="41" t="str">
        <x:v>S26</x:v>
      </x:c>
      <x:c r="C78" s="41" t="str">
        <x:v>successor interprets inherited home</x:v>
      </x:c>
      <x:c r="D78" s="41" t="str">
        <x:v>Required</x:v>
      </x:c>
      <x:c r="E78" s="41" t="str">
        <x:v>0/14</x:v>
      </x:c>
      <x:c r="F78" s="41" t="str">
        <x:v>v2.4</x:v>
      </x:c>
    </x:row>
    <x:row r="79">
      <x:c r="A79" s="41" t="str">
        <x:v>S31</x:v>
      </x:c>
      <x:c r="B79" s="41" t="str">
        <x:v>S28</x:v>
      </x:c>
      <x:c r="C79" s="41" t="str">
        <x:v>new person has distinct Human Thread</x:v>
      </x:c>
      <x:c r="D79" s="41" t="str">
        <x:v>Required</x:v>
      </x:c>
      <x:c r="E79" s="41" t="str">
        <x:v>0/14</x:v>
      </x:c>
      <x:c r="F79" s="41" t="str">
        <x:v>v0.15</x:v>
      </x:c>
    </x:row>
    <x:row r="80">
      <x:c r="A80" s="41" t="str">
        <x:v>S32</x:v>
      </x:c>
      <x:c r="B80" s="41" t="str">
        <x:v>S33</x:v>
      </x:c>
      <x:c r="C80" s="41" t="str">
        <x:v>society enables teaching/trade</x:v>
      </x:c>
      <x:c r="D80" s="41" t="str">
        <x:v>Required</x:v>
      </x:c>
      <x:c r="E80" s="41" t="str">
        <x:v>9+</x:v>
      </x:c>
      <x:c r="F80" s="41" t="str">
        <x:v>v0.11</x:v>
      </x:c>
    </x:row>
    <x:row r="81">
      <x:c r="A81" s="41" t="str">
        <x:v>S32</x:v>
      </x:c>
      <x:c r="B81" s="41" t="str">
        <x:v>S29</x:v>
      </x:c>
      <x:c r="C81" s="41" t="str">
        <x:v>community can support return choices</x:v>
      </x:c>
      <x:c r="D81" s="41" t="str">
        <x:v>Optional</x:v>
      </x:c>
      <x:c r="E81" s="41" t="str">
        <x:v>10+</x:v>
      </x:c>
      <x:c r="F81" s="41" t="str">
        <x:v>v0.15</x:v>
      </x:c>
    </x:row>
    <x:row r="82">
      <x:c r="A82" s="41" t="str">
        <x:v>S33</x:v>
      </x:c>
      <x:c r="B82" s="41" t="str">
        <x:v>S14</x:v>
      </x:c>
      <x:c r="C82" s="41" t="str">
        <x:v>teaching depends on proof/carrier</x:v>
      </x:c>
      <x:c r="D82" s="41" t="str">
        <x:v>Required</x:v>
      </x:c>
      <x:c r="E82" s="41" t="str">
        <x:v>9+</x:v>
      </x:c>
      <x:c r="F82" s="41" t="str">
        <x:v>v2.4</x:v>
      </x:c>
    </x:row>
    <x:row r="83">
      <x:c r="A83" s="41" t="str">
        <x:v>S34</x:v>
      </x:c>
      <x:c r="B83" s="41" t="str">
        <x:v>S29</x:v>
      </x:c>
      <x:c r="C83" s="41" t="str">
        <x:v>boundary model constrains return</x:v>
      </x:c>
      <x:c r="D83" s="41" t="str">
        <x:v>Required</x:v>
      </x:c>
      <x:c r="E83" s="41" t="str">
        <x:v>10+</x:v>
      </x:c>
      <x:c r="F83" s="41" t="str">
        <x:v>v2.2</x:v>
      </x:c>
    </x:row>
    <x:row r="84">
      <x:c r="A84" s="41" t="str">
        <x:v>S35</x:v>
      </x:c>
      <x:c r="B84" s="41" t="str">
        <x:v>S11</x:v>
      </x:c>
      <x:c r="C84" s="41" t="str">
        <x:v>absence advances wreck state safely</x:v>
      </x:c>
      <x:c r="D84" s="41" t="str">
        <x:v>Required</x:v>
      </x:c>
      <x:c r="E84" s="41" t="str">
        <x:v>6+</x:v>
      </x:c>
      <x:c r="F84" s="41" t="str">
        <x:v>v2.4</x:v>
      </x:c>
    </x:row>
    <x:row r="85">
      <x:c r="A85" s="41" t="str">
        <x:v>S35</x:v>
      </x:c>
      <x:c r="B85" s="41" t="str">
        <x:v>S26</x:v>
      </x:c>
      <x:c r="C85" s="41" t="str">
        <x:v>home persists across absence</x:v>
      </x:c>
      <x:c r="D85" s="41" t="str">
        <x:v>Required</x:v>
      </x:c>
      <x:c r="E85" s="41" t="str">
        <x:v>4+</x:v>
      </x:c>
      <x:c r="F85" s="41" t="str">
        <x:v>v0.13</x:v>
      </x:c>
    </x:row>
    <x:row r="86">
      <x:c r="A86" s="41" t="str">
        <x:v>S35</x:v>
      </x:c>
      <x:c r="B86" s="41" t="str">
        <x:v>S38</x:v>
      </x:c>
      <x:c r="C86" s="41" t="str">
        <x:v>persistence requires evidence</x:v>
      </x:c>
      <x:c r="D86" s="41" t="str">
        <x:v>Required</x:v>
      </x:c>
      <x:c r="E86" s="41" t="str">
        <x:v>all</x:v>
      </x:c>
      <x:c r="F86" s="41" t="str">
        <x:v>repo</x:v>
      </x:c>
    </x:row>
    <x:row r="87">
      <x:c r="A87" s="41" t="str">
        <x:v>S36</x:v>
      </x:c>
      <x:c r="B87" s="41" t="str">
        <x:v>S02</x:v>
      </x:c>
      <x:c r="C87" s="41" t="str">
        <x:v>accessibility shapes all control</x:v>
      </x:c>
      <x:c r="D87" s="41" t="str">
        <x:v>Required</x:v>
      </x:c>
      <x:c r="E87" s="41" t="str">
        <x:v>all</x:v>
      </x:c>
      <x:c r="F87" s="41" t="str">
        <x:v>v0.15</x:v>
      </x:c>
    </x:row>
    <x:row r="88">
      <x:c r="A88" s="41" t="str">
        <x:v>S36</x:v>
      </x:c>
      <x:c r="B88" s="41" t="str">
        <x:v>S13</x:v>
      </x:c>
      <x:c r="C88" s="41" t="str">
        <x:v>touch constraints shape Maker Lab</x:v>
      </x:c>
      <x:c r="D88" s="41" t="str">
        <x:v>Required</x:v>
      </x:c>
      <x:c r="E88" s="41" t="str">
        <x:v>4+</x:v>
      </x:c>
      <x:c r="F88" s="41" t="str">
        <x:v>v2.4</x:v>
      </x:c>
    </x:row>
    <x:row r="89">
      <x:c r="A89" s="41" t="str">
        <x:v>S36</x:v>
      </x:c>
      <x:c r="B89" s="41" t="str">
        <x:v>S38</x:v>
      </x:c>
      <x:c r="C89" s="41" t="str">
        <x:v>device evidence validates accessibility</x:v>
      </x:c>
      <x:c r="D89" s="41" t="str">
        <x:v>Required</x:v>
      </x:c>
      <x:c r="E89" s="41" t="str">
        <x:v>all</x:v>
      </x:c>
      <x:c r="F89" s="41" t="str">
        <x:v>repo</x:v>
      </x:c>
    </x:row>
    <x:row r="90">
      <x:c r="A90" s="41" t="str">
        <x:v>S37</x:v>
      </x:c>
      <x:c r="B90" s="41" t="str">
        <x:v>S09</x:v>
      </x:c>
      <x:c r="C90" s="41" t="str">
        <x:v>presentation makes evidence readable</x:v>
      </x:c>
      <x:c r="D90" s="41" t="str">
        <x:v>Required</x:v>
      </x:c>
      <x:c r="E90" s="41" t="str">
        <x:v>all</x:v>
      </x:c>
      <x:c r="F90" s="41" t="str">
        <x:v>v0.15</x:v>
      </x:c>
    </x:row>
    <x:row r="91">
      <x:c r="A91" s="42" t="str">
        <x:v>S37</x:v>
      </x:c>
      <x:c r="B91" s="42" t="str">
        <x:v>S27</x:v>
      </x:c>
      <x:c r="C91" s="42" t="str">
        <x:v>sound/light telegraph expeditions</x:v>
      </x:c>
      <x:c r="D91" s="42" t="str">
        <x:v>Required</x:v>
      </x:c>
      <x:c r="E91" s="42" t="str">
        <x:v>5+</x:v>
      </x:c>
      <x:c r="F91" s="42" t="str">
        <x:v>v0.15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12" hidden="0" customWidth="1"/>
    <x:col min="4" max="4" width="8" hidden="0" customWidth="1"/>
    <x:col min="5" max="5" width="25" hidden="0" customWidth="1"/>
    <x:col min="6" max="6" width="34" hidden="0" customWidth="1"/>
    <x:col min="7" max="7" width="34" hidden="0" customWidth="1"/>
    <x:col min="8" max="8" width="23" hidden="0" customWidth="1"/>
    <x:col min="9" max="9" width="21" hidden="0" customWidth="1"/>
    <x:col min="10" max="10" width="10" hidden="0" customWidth="1"/>
    <x:col min="11" max="11" width="19" hidden="0" customWidth="1"/>
    <x:col min="12" max="12" width="24" hidden="0" customWidth="1"/>
    <x:col min="13" max="13" width="9" hidden="0" customWidth="1"/>
    <x:col min="14" max="14" width="9" hidden="0" customWidth="1"/>
    <x:col min="15" max="15" width="12" hidden="0" customWidth="1"/>
    <x:col min="16" max="16" width="35" hidden="0" customWidth="1"/>
    <x:col min="17" max="17" width="9" hidden="0" customWidth="1"/>
  </x:cols>
  <x:sheetData>
    <x:row r="1" ht="30" customHeight="1">
      <x:c r="A1" s="3" t="str">
        <x:v>Whole-Game System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Every implemented system needs a player verb, inputs, outputs, owner, links, risk and acceptance evidence.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30" t="str">
        <x:v>ID</x:v>
      </x:c>
      <x:c r="B4" s="31" t="str">
        <x:v>System</x:v>
      </x:c>
      <x:c r="C4" s="31" t="str">
        <x:v>Graph role</x:v>
      </x:c>
      <x:c r="D4" s="31" t="str">
        <x:v>Phase</x:v>
      </x:c>
      <x:c r="E4" s="31" t="str">
        <x:v>Player verb</x:v>
      </x:c>
      <x:c r="F4" s="31" t="str">
        <x:v>Main inputs</x:v>
      </x:c>
      <x:c r="G4" s="31" t="str">
        <x:v>Main outputs</x:v>
      </x:c>
      <x:c r="H4" s="31" t="str">
        <x:v>Resolver / owner</x:v>
      </x:c>
      <x:c r="I4" s="31" t="str">
        <x:v>Canon source</x:v>
      </x:c>
      <x:c r="J4" s="31" t="str">
        <x:v>Canon 0–5</x:v>
      </x:c>
      <x:c r="K4" s="31" t="str">
        <x:v>Build state</x:v>
      </x:c>
      <x:c r="L4" s="31" t="str">
        <x:v>Human evidence</x:v>
      </x:c>
      <x:c r="M4" s="31" t="str">
        <x:v>Inbound</x:v>
      </x:c>
      <x:c r="N4" s="31" t="str">
        <x:v>Outbound</x:v>
      </x:c>
      <x:c r="O4" s="31" t="str">
        <x:v>Link check</x:v>
      </x:c>
      <x:c r="P4" s="31" t="str">
        <x:v>Main risk</x:v>
      </x:c>
      <x:c r="Q4" s="32" t="str">
        <x:v>Priority</x:v>
      </x:c>
    </x:row>
    <x:row r="5">
      <x:c r="A5" s="40" t="str">
        <x:v>S01</x:v>
      </x:c>
      <x:c r="B5" s="40" t="str">
        <x:v>Castaway translation &amp; arrival</x:v>
      </x:c>
      <x:c r="C5" s="40" t="str">
        <x:v>Root</x:v>
      </x:c>
      <x:c r="D5" s="40" t="str">
        <x:v>0</x:v>
      </x:c>
      <x:c r="E5" s="40" t="str">
        <x:v>orient / free / reach air</x:v>
      </x:c>
      <x:c r="F5" s="40" t="str">
        <x:v>arrival profile, surf/smoke/impact</x:v>
      </x:c>
      <x:c r="G5" s="40" t="str">
        <x:v>body condition, personal evidence</x:v>
      </x:c>
      <x:c r="H5" s="40" t="str">
        <x:v>Arrival resolver</x:v>
      </x:c>
      <x:c r="I5" s="40" t="str">
        <x:v>v2.4 §4</x:v>
      </x:c>
      <x:c r="J5" s="43" t="n">
        <x:v>5</x:v>
      </x:c>
      <x:c r="K5" s="40" t="str">
        <x:v>Absent</x:v>
      </x:c>
      <x:c r="L5" s="40" t="str">
        <x:v>None</x:v>
      </x:c>
      <x:c r="M5" s="40" t="n">
        <x:f>COUNTIF('Dependencies'!B$5:B$91,A5)</x:f>
        <x:v>0</x:v>
      </x:c>
      <x:c r="N5" s="40" t="n">
        <x:f>COUNTIF('Dependencies'!A$5:A$91,A5)</x:f>
        <x:v>2</x:v>
      </x:c>
      <x:c r="O5" s="40" t="str">
        <x:f>IF(OR(C5="Root",C5="Terminal"),"OK",IF(AND(M5&gt;0,N5&gt;0),"OK","CHECK"))</x:f>
        <x:v>OK</x:v>
      </x:c>
      <x:c r="P5" s="40" t="str">
        <x:v>Must be fair but compromised</x:v>
      </x:c>
      <x:c r="Q5" s="40" t="str">
        <x:v>P0</x:v>
      </x:c>
    </x:row>
    <x:row r="6">
      <x:c r="A6" s="41" t="str">
        <x:v>S02</x:v>
      </x:c>
      <x:c r="B6" s="41" t="str">
        <x:v>Movement, look &amp; control ownership</x:v>
      </x:c>
      <x:c r="C6" s="41" t="str">
        <x:v>Normal</x:v>
      </x:c>
      <x:c r="D6" s="41" t="str">
        <x:v>0–14</x:v>
      </x:c>
      <x:c r="E6" s="41" t="str">
        <x:v>walk / look / crouch / jump</x:v>
      </x:c>
      <x:c r="F6" s="41" t="str">
        <x:v>input, terrain, body/load</x:v>
      </x:c>
      <x:c r="G6" s="41" t="str">
        <x:v>position, effort, perception</x:v>
      </x:c>
      <x:c r="H6" s="41" t="str">
        <x:v>Body + input</x:v>
      </x:c>
      <x:c r="I6" s="41" t="str">
        <x:v>v0.15 §8; repo</x:v>
      </x:c>
      <x:c r="J6" s="44" t="n">
        <x:v>4</x:v>
      </x:c>
      <x:c r="K6" s="41" t="str">
        <x:v>Prototype</x:v>
      </x:c>
      <x:c r="L6" s="41" t="str">
        <x:v>Web emulation; Director fail</x:v>
      </x:c>
      <x:c r="M6" s="41" t="n">
        <x:f>COUNTIF('Dependencies'!B$5:B$91,A6)</x:f>
        <x:v>2</x:v>
      </x:c>
      <x:c r="N6" s="41" t="n">
        <x:f>COUNTIF('Dependencies'!A$5:A$91,A6)</x:f>
        <x:v>2</x:v>
      </x:c>
      <x:c r="O6" s="41" t="str">
        <x:f>IF(OR(C6="Root",C6="Terminal"),"OK",IF(AND(M6&gt;0,N6&gt;0),"OK","CHECK"))</x:f>
        <x:v>OK</x:v>
      </x:c>
      <x:c r="P6" s="41" t="str">
        <x:v>Core feel and mobile reliability</x:v>
      </x:c>
      <x:c r="Q6" s="41" t="str">
        <x:v>P0</x:v>
      </x:c>
    </x:row>
    <x:row r="7">
      <x:c r="A7" s="41" t="str">
        <x:v>S03</x:v>
      </x:c>
      <x:c r="B7" s="41" t="str">
        <x:v>Crash injury &amp; localized body state</x:v>
      </x:c>
      <x:c r="C7" s="41" t="str">
        <x:v>Normal</x:v>
      </x:c>
      <x:c r="D7" s="41" t="str">
        <x:v>0–2</x:v>
      </x:c>
      <x:c r="E7" s="41" t="str">
        <x:v>inspect / bind / adapt</x:v>
      </x:c>
      <x:c r="F7" s="41" t="str">
        <x:v>arrival condition, hazards</x:v>
      </x:c>
      <x:c r="G7" s="41" t="str">
        <x:v>pain, impairment, recovery need</x:v>
      </x:c>
      <x:c r="H7" s="41" t="str">
        <x:v>Body resolver</x:v>
      </x:c>
      <x:c r="I7" s="41" t="str">
        <x:v>v2.4 §4</x:v>
      </x:c>
      <x:c r="J7" s="44" t="n">
        <x:v>5</x:v>
      </x:c>
      <x:c r="K7" s="41" t="str">
        <x:v>Absent</x:v>
      </x:c>
      <x:c r="L7" s="41" t="str">
        <x:v>None</x:v>
      </x:c>
      <x:c r="M7" s="41" t="n">
        <x:f>COUNTIF('Dependencies'!B$5:B$91,A7)</x:f>
        <x:v>1</x:v>
      </x:c>
      <x:c r="N7" s="41" t="n">
        <x:f>COUNTIF('Dependencies'!A$5:A$91,A7)</x:f>
        <x:v>2</x:v>
      </x:c>
      <x:c r="O7" s="41" t="str">
        <x:f>IF(OR(C7="Root",C7="Terminal"),"OK",IF(AND(M7&gt;0,N7&gt;0),"OK","CHECK"))</x:f>
        <x:v>OK</x:v>
      </x:c>
      <x:c r="P7" s="41" t="str">
        <x:v>Hidden injury could become unfair</x:v>
      </x:c>
      <x:c r="Q7" s="41" t="str">
        <x:v>P0</x:v>
      </x:c>
    </x:row>
    <x:row r="8">
      <x:c r="A8" s="41" t="str">
        <x:v>S04</x:v>
      </x:c>
      <x:c r="B8" s="41" t="str">
        <x:v>World time, weather &amp; light</x:v>
      </x:c>
      <x:c r="C8" s="41" t="str">
        <x:v>Normal</x:v>
      </x:c>
      <x:c r="D8" s="41" t="str">
        <x:v>0–14</x:v>
      </x:c>
      <x:c r="E8" s="41" t="str">
        <x:v>read sky / plan time</x:v>
      </x:c>
      <x:c r="F8" s="41" t="str">
        <x:v>clock, weather fronts, location</x:v>
      </x:c>
      <x:c r="G8" s="41" t="str">
        <x:v>light, wind, rain, route state</x:v>
      </x:c>
      <x:c r="H8" s="41" t="str">
        <x:v>World resolver</x:v>
      </x:c>
      <x:c r="I8" s="41" t="str">
        <x:v>v0.11; v0.14</x:v>
      </x:c>
      <x:c r="J8" s="44" t="n">
        <x:v>4</x:v>
      </x:c>
      <x:c r="K8" s="41" t="str">
        <x:v>Hook</x:v>
      </x:c>
      <x:c r="L8" s="41" t="str">
        <x:v>Automated clock only</x:v>
      </x:c>
      <x:c r="M8" s="41" t="n">
        <x:f>COUNTIF('Dependencies'!B$5:B$91,A8)</x:f>
        <x:v>0</x:v>
      </x:c>
      <x:c r="N8" s="41" t="n">
        <x:f>COUNTIF('Dependencies'!A$5:A$91,A8)</x:f>
        <x:v>3</x:v>
      </x:c>
      <x:c r="O8" s="41" t="str">
        <x:f>IF(OR(C8="Root",C8="Terminal"),"OK",IF(AND(M8&gt;0,N8&gt;0),"OK","CHECK"))</x:f>
        <x:v>CHECK</x:v>
      </x:c>
      <x:c r="P8" s="41" t="str">
        <x:v>Time scale can defeat comprehension</x:v>
      </x:c>
      <x:c r="Q8" s="41" t="str">
        <x:v>P0</x:v>
      </x:c>
    </x:row>
    <x:row r="9">
      <x:c r="A9" s="41" t="str">
        <x:v>S05</x:v>
      </x:c>
      <x:c r="B9" s="41" t="str">
        <x:v>Thermal, wetness &amp; exposure</x:v>
      </x:c>
      <x:c r="C9" s="41" t="str">
        <x:v>Normal</x:v>
      </x:c>
      <x:c r="D9" s="41" t="str">
        <x:v>0–14</x:v>
      </x:c>
      <x:c r="E9" s="41" t="str">
        <x:v>dry / shelter / heat / dress</x:v>
      </x:c>
      <x:c r="F9" s="41" t="str">
        <x:v>body, wet layers, wind, ground, fire</x:v>
      </x:c>
      <x:c r="G9" s="41" t="str">
        <x:v>core trend, heat debt, dexterity</x:v>
      </x:c>
      <x:c r="H9" s="41" t="str">
        <x:v>Body resolver</x:v>
      </x:c>
      <x:c r="I9" s="41" t="str">
        <x:v>v2.4 §5</x:v>
      </x:c>
      <x:c r="J9" s="44" t="n">
        <x:v>5</x:v>
      </x:c>
      <x:c r="K9" s="41" t="str">
        <x:v>Legacy prototype</x:v>
      </x:c>
      <x:c r="L9" s="41" t="str">
        <x:v>Automated simplified warmth</x:v>
      </x:c>
      <x:c r="M9" s="41" t="n">
        <x:f>COUNTIF('Dependencies'!B$5:B$91,A9)</x:f>
        <x:v>5</x:v>
      </x:c>
      <x:c r="N9" s="41" t="n">
        <x:f>COUNTIF('Dependencies'!A$5:A$91,A9)</x:f>
        <x:v>2</x:v>
      </x:c>
      <x:c r="O9" s="41" t="str">
        <x:f>IF(OR(C9="Root",C9="Terminal"),"OK",IF(AND(M9&gt;0,N9&gt;0),"OK","CHECK"))</x:f>
        <x:v>OK</x:v>
      </x:c>
      <x:c r="P9" s="41" t="str">
        <x:v>Independent buffs would break causality</x:v>
      </x:c>
      <x:c r="Q9" s="41" t="str">
        <x:v>P0</x:v>
      </x:c>
    </x:row>
    <x:row r="10">
      <x:c r="A10" s="41" t="str">
        <x:v>S06</x:v>
      </x:c>
      <x:c r="B10" s="41" t="str">
        <x:v>Hunger, thirst, energy &amp; stamina</x:v>
      </x:c>
      <x:c r="C10" s="41" t="str">
        <x:v>Normal</x:v>
      </x:c>
      <x:c r="D10" s="41" t="str">
        <x:v>0–14</x:v>
      </x:c>
      <x:c r="E10" s="41" t="str">
        <x:v>eat / drink / pace / rest</x:v>
      </x:c>
      <x:c r="F10" s="41" t="str">
        <x:v>activity, intake, sleep, heat</x:v>
      </x:c>
      <x:c r="G10" s="41" t="str">
        <x:v>reserves, performance, debt</x:v>
      </x:c>
      <x:c r="H10" s="41" t="str">
        <x:v>Body resolver</x:v>
      </x:c>
      <x:c r="I10" s="41" t="str">
        <x:v>v2.3 §12; v2.4 §12</x:v>
      </x:c>
      <x:c r="J10" s="44" t="n">
        <x:v>5</x:v>
      </x:c>
      <x:c r="K10" s="41" t="str">
        <x:v>Stamina only</x:v>
      </x:c>
      <x:c r="L10" s="41" t="str">
        <x:v>Automated stamina</x:v>
      </x:c>
      <x:c r="M10" s="41" t="n">
        <x:f>COUNTIF('Dependencies'!B$5:B$91,A10)</x:f>
        <x:v>5</x:v>
      </x:c>
      <x:c r="N10" s="41" t="n">
        <x:f>COUNTIF('Dependencies'!A$5:A$91,A10)</x:f>
        <x:v>2</x:v>
      </x:c>
      <x:c r="O10" s="41" t="str">
        <x:f>IF(OR(C10="Root",C10="Terminal"),"OK",IF(AND(M10&gt;0,N10&gt;0),"OK","CHECK"))</x:f>
        <x:v>OK</x:v>
      </x:c>
      <x:c r="P10" s="41" t="str">
        <x:v>Too many urgent meters</x:v>
      </x:c>
      <x:c r="Q10" s="41" t="str">
        <x:v>P0</x:v>
      </x:c>
    </x:row>
    <x:row r="11">
      <x:c r="A11" s="41" t="str">
        <x:v>S07</x:v>
      </x:c>
      <x:c r="B11" s="41" t="str">
        <x:v>Rest, sleep &amp; recovery</x:v>
      </x:c>
      <x:c r="C11" s="41" t="str">
        <x:v>Normal</x:v>
      </x:c>
      <x:c r="D11" s="41" t="str">
        <x:v>2–14</x:v>
      </x:c>
      <x:c r="E11" s="41" t="str">
        <x:v>rest / sleep / wake</x:v>
      </x:c>
      <x:c r="F11" s="41" t="str">
        <x:v>thermal safety, bedding, pain, time</x:v>
      </x:c>
      <x:c r="G11" s="41" t="str">
        <x:v>energy, learning consolidation, debt</x:v>
      </x:c>
      <x:c r="H11" s="41" t="str">
        <x:v>Body resolver</x:v>
      </x:c>
      <x:c r="I11" s="41" t="str">
        <x:v>v2.4 §5.5</x:v>
      </x:c>
      <x:c r="J11" s="44" t="n">
        <x:v>5</x:v>
      </x:c>
      <x:c r="K11" s="41" t="str">
        <x:v>Absent</x:v>
      </x:c>
      <x:c r="L11" s="41" t="str">
        <x:v>None</x:v>
      </x:c>
      <x:c r="M11" s="41" t="n">
        <x:f>COUNTIF('Dependencies'!B$5:B$91,A11)</x:f>
        <x:v>3</x:v>
      </x:c>
      <x:c r="N11" s="41" t="n">
        <x:f>COUNTIF('Dependencies'!A$5:A$91,A11)</x:f>
        <x:v>1</x:v>
      </x:c>
      <x:c r="O11" s="41" t="str">
        <x:f>IF(OR(C11="Root",C11="Terminal"),"OK",IF(AND(M11&gt;0,N11&gt;0),"OK","CHECK"))</x:f>
        <x:v>OK</x:v>
      </x:c>
      <x:c r="P11" s="41" t="str">
        <x:v>Sleep must not create warmth</x:v>
      </x:c>
      <x:c r="Q11" s="41" t="str">
        <x:v>P0</x:v>
      </x:c>
    </x:row>
    <x:row r="12">
      <x:c r="A12" s="41" t="str">
        <x:v>S08</x:v>
      </x:c>
      <x:c r="B12" s="41" t="str">
        <x:v>Inventory, load, bulk &amp; balance</x:v>
      </x:c>
      <x:c r="C12" s="41" t="str">
        <x:v>Normal</x:v>
      </x:c>
      <x:c r="D12" s="41" t="str">
        <x:v>0–14</x:v>
      </x:c>
      <x:c r="E12" s="41" t="str">
        <x:v>carry / equip / pack / drop</x:v>
      </x:c>
      <x:c r="F12" s="41" t="str">
        <x:v>mass, volume, asymmetry, hands</x:v>
      </x:c>
      <x:c r="G12" s="41" t="str">
        <x:v>mobility, access, risk, logistics</x:v>
      </x:c>
      <x:c r="H12" s="41" t="str">
        <x:v>Body + inventory</x:v>
      </x:c>
      <x:c r="I12" s="41" t="str">
        <x:v>v0.5; v2.3</x:v>
      </x:c>
      <x:c r="J12" s="44" t="n">
        <x:v>4</x:v>
      </x:c>
      <x:c r="K12" s="41" t="str">
        <x:v>Inventory prototype</x:v>
      </x:c>
      <x:c r="L12" s="41" t="str">
        <x:v>Automated; no load effects</x:v>
      </x:c>
      <x:c r="M12" s="41" t="n">
        <x:f>COUNTIF('Dependencies'!B$5:B$91,A12)</x:f>
        <x:v>1</x:v>
      </x:c>
      <x:c r="N12" s="41" t="n">
        <x:f>COUNTIF('Dependencies'!A$5:A$91,A12)</x:f>
        <x:v>2</x:v>
      </x:c>
      <x:c r="O12" s="41" t="str">
        <x:f>IF(OR(C12="Root",C12="Terminal"),"OK",IF(AND(M12&gt;0,N12&gt;0),"OK","CHECK"))</x:f>
        <x:v>OK</x:v>
      </x:c>
      <x:c r="P12" s="41" t="str">
        <x:v>Mass currently cosmetic</x:v>
      </x:c>
      <x:c r="Q12" s="41" t="str">
        <x:v>P0</x:v>
      </x:c>
    </x:row>
    <x:row r="13">
      <x:c r="A13" s="41" t="str">
        <x:v>S09</x:v>
      </x:c>
      <x:c r="B13" s="41" t="str">
        <x:v>Perception, inspection &amp; evidence</x:v>
      </x:c>
      <x:c r="C13" s="41" t="str">
        <x:v>Normal</x:v>
      </x:c>
      <x:c r="D13" s="41" t="str">
        <x:v>0–14</x:v>
      </x:c>
      <x:c r="E13" s="41" t="str">
        <x:v>look / inspect / compare</x:v>
      </x:c>
      <x:c r="F13" s="41" t="str">
        <x:v>object/body/environment state</x:v>
      </x:c>
      <x:c r="G13" s="41" t="str">
        <x:v>reached evidence, hypotheses</x:v>
      </x:c>
      <x:c r="H13" s="41" t="str">
        <x:v>Evidence resolver</x:v>
      </x:c>
      <x:c r="I13" s="41" t="str">
        <x:v>v2.3; v2.4 §7</x:v>
      </x:c>
      <x:c r="J13" s="44" t="n">
        <x:v>5</x:v>
      </x:c>
      <x:c r="K13" s="41" t="str">
        <x:v>Basic prompts</x:v>
      </x:c>
      <x:c r="L13" s="41" t="str">
        <x:v>Limited</x:v>
      </x:c>
      <x:c r="M13" s="41" t="n">
        <x:f>COUNTIF('Dependencies'!B$5:B$91,A13)</x:f>
        <x:v>1</x:v>
      </x:c>
      <x:c r="N13" s="41" t="n">
        <x:f>COUNTIF('Dependencies'!A$5:A$91,A13)</x:f>
        <x:v>3</x:v>
      </x:c>
      <x:c r="O13" s="41" t="str">
        <x:f>IF(OR(C13="Root",C13="Terminal"),"OK",IF(AND(M13&gt;0,N13&gt;0),"OK","CHECK"))</x:f>
        <x:v>OK</x:v>
      </x:c>
      <x:c r="P13" s="41" t="str">
        <x:v>Discovery depends on it</x:v>
      </x:c>
      <x:c r="Q13" s="41" t="str">
        <x:v>P0</x:v>
      </x:c>
    </x:row>
    <x:row r="14">
      <x:c r="A14" s="41" t="str">
        <x:v>S10</x:v>
      </x:c>
      <x:c r="B14" s="41" t="str">
        <x:v>Resource ecology &amp; material identity</x:v>
      </x:c>
      <x:c r="C14" s="41" t="str">
        <x:v>Normal</x:v>
      </x:c>
      <x:c r="D14" s="41" t="str">
        <x:v>1–14</x:v>
      </x:c>
      <x:c r="E14" s="41" t="str">
        <x:v>find / harvest / conserve</x:v>
      </x:c>
      <x:c r="F14" s="41" t="str">
        <x:v>world sources, renewal, condition</x:v>
      </x:c>
      <x:c r="G14" s="41" t="str">
        <x:v>physical matter and scarcity</x:v>
      </x:c>
      <x:c r="H14" s="41" t="str">
        <x:v>World + matter</x:v>
      </x:c>
      <x:c r="I14" s="41" t="str">
        <x:v>v0.4–v0.5</x:v>
      </x:c>
      <x:c r="J14" s="44" t="n">
        <x:v>4</x:v>
      </x:c>
      <x:c r="K14" s="41" t="str">
        <x:v>Static resources</x:v>
      </x:c>
      <x:c r="L14" s="41" t="str">
        <x:v>Automated totals</x:v>
      </x:c>
      <x:c r="M14" s="41" t="n">
        <x:f>COUNTIF('Dependencies'!B$5:B$91,A14)</x:f>
        <x:v>2</x:v>
      </x:c>
      <x:c r="N14" s="41" t="n">
        <x:f>COUNTIF('Dependencies'!A$5:A$91,A14)</x:f>
        <x:v>3</x:v>
      </x:c>
      <x:c r="O14" s="41" t="str">
        <x:f>IF(OR(C14="Root",C14="Terminal"),"OK",IF(AND(M14&gt;0,N14&gt;0),"OK","CHECK"))</x:f>
        <x:v>OK</x:v>
      </x:c>
      <x:c r="P14" s="41" t="str">
        <x:v>One-resource bottlenecks</x:v>
      </x:c>
      <x:c r="Q14" s="41" t="str">
        <x:v>P1</x:v>
      </x:c>
    </x:row>
    <x:row r="15">
      <x:c r="A15" s="41" t="str">
        <x:v>S11</x:v>
      </x:c>
      <x:c r="B15" s="41" t="str">
        <x:v>Living washline &amp; Wreck Director</x:v>
      </x:c>
      <x:c r="C15" s="41" t="str">
        <x:v>Normal</x:v>
      </x:c>
      <x:c r="D15" s="41" t="str">
        <x:v>5–14</x:v>
      </x:c>
      <x:c r="E15" s="41" t="str">
        <x:v>observe / prioritize</x:v>
      </x:c>
      <x:c r="F15" s="41" t="str">
        <x:v>sea, weather, unresolved sites</x:v>
      </x:c>
      <x:c r="G15" s="41" t="str">
        <x:v>debris/wreck opportunities</x:v>
      </x:c>
      <x:c r="H15" s="41" t="str">
        <x:v>World director</x:v>
      </x:c>
      <x:c r="I15" s="41" t="str">
        <x:v>v2.4 §6</x:v>
      </x:c>
      <x:c r="J15" s="44" t="n">
        <x:v>5</x:v>
      </x:c>
      <x:c r="K15" s="41" t="str">
        <x:v>Absent</x:v>
      </x:c>
      <x:c r="L15" s="41" t="str">
        <x:v>None</x:v>
      </x:c>
      <x:c r="M15" s="41" t="n">
        <x:f>COUNTIF('Dependencies'!B$5:B$91,A15)</x:f>
        <x:v>2</x:v>
      </x:c>
      <x:c r="N15" s="41" t="n">
        <x:f>COUNTIF('Dependencies'!A$5:A$91,A15)</x:f>
        <x:v>2</x:v>
      </x:c>
      <x:c r="O15" s="41" t="str">
        <x:f>IF(OR(C15="Root",C15="Terminal"),"OK",IF(AND(M15&gt;0,N15&gt;0),"OK","CHECK"))</x:f>
        <x:v>OK</x:v>
      </x:c>
      <x:c r="P15" s="41" t="str">
        <x:v>FOMO or pity drops</x:v>
      </x:c>
      <x:c r="Q15" s="41" t="str">
        <x:v>P1</x:v>
      </x:c>
    </x:row>
    <x:row r="16">
      <x:c r="A16" s="41" t="str">
        <x:v>S12</x:v>
      </x:c>
      <x:c r="B16" s="41" t="str">
        <x:v>Salvage operation</x:v>
      </x:c>
      <x:c r="C16" s="41" t="str">
        <x:v>Normal</x:v>
      </x:c>
      <x:c r="D16" s="41" t="str">
        <x:v>6–12</x:v>
      </x:c>
      <x:c r="E16" s="41" t="str">
        <x:v>stabilize / access / detach / tow</x:v>
      </x:c>
      <x:c r="F16" s="41" t="str">
        <x:v>wreck state, tools, route, body</x:v>
      </x:c>
      <x:c r="G16" s="41" t="str">
        <x:v>parts, evidence, site consequence</x:v>
      </x:c>
      <x:c r="H16" s="41" t="str">
        <x:v>Work resolver</x:v>
      </x:c>
      <x:c r="I16" s="41" t="str">
        <x:v>v2.4 §7</x:v>
      </x:c>
      <x:c r="J16" s="44" t="n">
        <x:v>5</x:v>
      </x:c>
      <x:c r="K16" s="41" t="str">
        <x:v>Absent</x:v>
      </x:c>
      <x:c r="L16" s="41" t="str">
        <x:v>None</x:v>
      </x:c>
      <x:c r="M16" s="41" t="n">
        <x:f>COUNTIF('Dependencies'!B$5:B$91,A16)</x:f>
        <x:v>3</x:v>
      </x:c>
      <x:c r="N16" s="41" t="n">
        <x:f>COUNTIF('Dependencies'!A$5:A$91,A16)</x:f>
        <x:v>4</x:v>
      </x:c>
      <x:c r="O16" s="41" t="str">
        <x:f>IF(OR(C16="Root",C16="Terminal"),"OK",IF(AND(M16&gt;0,N16&gt;0),"OK","CHECK"))</x:f>
        <x:v>OK</x:v>
      </x:c>
      <x:c r="P16" s="41" t="str">
        <x:v>Could become long holds and loot</x:v>
      </x:c>
      <x:c r="Q16" s="41" t="str">
        <x:v>P1</x:v>
      </x:c>
    </x:row>
    <x:row r="17">
      <x:c r="A17" s="41" t="str">
        <x:v>S13</x:v>
      </x:c>
      <x:c r="B17" s="41" t="str">
        <x:v>Experimentation &amp; invention</x:v>
      </x:c>
      <x:c r="C17" s="41" t="str">
        <x:v>Normal</x:v>
      </x:c>
      <x:c r="D17" s="41" t="str">
        <x:v>2–14</x:v>
      </x:c>
      <x:c r="E17" s="41" t="str">
        <x:v>stage / combine / test / diagnose</x:v>
      </x:c>
      <x:c r="F17" s="41" t="str">
        <x:v>properties, intention, workspace</x:v>
      </x:c>
      <x:c r="G17" s="41" t="str">
        <x:v>prototype, failure evidence, pattern</x:v>
      </x:c>
      <x:c r="H17" s="41" t="str">
        <x:v>Maker resolver</x:v>
      </x:c>
      <x:c r="I17" s="41" t="str">
        <x:v>v2.3; v2.4 §9–10</x:v>
      </x:c>
      <x:c r="J17" s="44" t="n">
        <x:v>5</x:v>
      </x:c>
      <x:c r="K17" s="41" t="str">
        <x:v>Contradictory static recipes</x:v>
      </x:c>
      <x:c r="L17" s="41" t="str">
        <x:v>Static craft automated</x:v>
      </x:c>
      <x:c r="M17" s="41" t="n">
        <x:f>COUNTIF('Dependencies'!B$5:B$91,A17)</x:f>
        <x:v>5</x:v>
      </x:c>
      <x:c r="N17" s="41" t="n">
        <x:f>COUNTIF('Dependencies'!A$5:A$91,A17)</x:f>
        <x:v>4</x:v>
      </x:c>
      <x:c r="O17" s="41" t="str">
        <x:f>IF(OR(C17="Root",C17="Terminal"),"OK",IF(AND(M17&gt;0,N17&gt;0),"OK","CHECK"))</x:f>
        <x:v>OK</x:v>
      </x:c>
      <x:c r="P17" s="41" t="str">
        <x:v>Random pairing frustration</x:v>
      </x:c>
      <x:c r="Q17" s="41" t="str">
        <x:v>P0</x:v>
      </x:c>
    </x:row>
    <x:row r="18">
      <x:c r="A18" s="41" t="str">
        <x:v>S14</x:v>
      </x:c>
      <x:c r="B18" s="41" t="str">
        <x:v>Patterns, journal &amp; knowledge carrier</x:v>
      </x:c>
      <x:c r="C18" s="41" t="str">
        <x:v>Normal</x:v>
      </x:c>
      <x:c r="D18" s="41" t="str">
        <x:v>3–14</x:v>
      </x:c>
      <x:c r="E18" s="41" t="str">
        <x:v>record / compare / teach</x:v>
      </x:c>
      <x:c r="F18" s="41" t="str">
        <x:v>evidence, tests, language, medium</x:v>
      </x:c>
      <x:c r="G18" s="41" t="str">
        <x:v>portable physical knowledge</x:v>
      </x:c>
      <x:c r="H18" s="41" t="str">
        <x:v>Knowledge resolver</x:v>
      </x:c>
      <x:c r="I18" s="41" t="str">
        <x:v>v2.3; v2.4 §9</x:v>
      </x:c>
      <x:c r="J18" s="44" t="n">
        <x:v>5</x:v>
      </x:c>
      <x:c r="K18" s="41" t="str">
        <x:v>Absent</x:v>
      </x:c>
      <x:c r="L18" s="41" t="str">
        <x:v>None</x:v>
      </x:c>
      <x:c r="M18" s="41" t="n">
        <x:f>COUNTIF('Dependencies'!B$5:B$91,A18)</x:f>
        <x:v>2</x:v>
      </x:c>
      <x:c r="N18" s="41" t="n">
        <x:f>COUNTIF('Dependencies'!A$5:A$91,A18)</x:f>
        <x:v>3</x:v>
      </x:c>
      <x:c r="O18" s="41" t="str">
        <x:f>IF(OR(C18="Root",C18="Terminal"),"OK",IF(AND(M18&gt;0,N18&gt;0),"OK","CHECK"))</x:f>
        <x:v>OK</x:v>
      </x:c>
      <x:c r="P18" s="41" t="str">
        <x:v>Magical inheritance leak</x:v>
      </x:c>
      <x:c r="Q18" s="41" t="str">
        <x:v>P1</x:v>
      </x:c>
    </x:row>
    <x:row r="19">
      <x:c r="A19" s="41" t="str">
        <x:v>S15</x:v>
      </x:c>
      <x:c r="B19" s="41" t="str">
        <x:v>Tools, quality, wear &amp; repair</x:v>
      </x:c>
      <x:c r="C19" s="41" t="str">
        <x:v>Normal</x:v>
      </x:c>
      <x:c r="D19" s="41" t="str">
        <x:v>2–14</x:v>
      </x:c>
      <x:c r="E19" s="41" t="str">
        <x:v>make / use / maintain / test</x:v>
      </x:c>
      <x:c r="F19" s="41" t="str">
        <x:v>material, workmanship, use history</x:v>
      </x:c>
      <x:c r="G19" s="41" t="str">
        <x:v>capability, defects, efficiency</x:v>
      </x:c>
      <x:c r="H19" s="41" t="str">
        <x:v>Matter resolver</x:v>
      </x:c>
      <x:c r="I19" s="41" t="str">
        <x:v>v2.3; v2.4 §7/10</x:v>
      </x:c>
      <x:c r="J19" s="44" t="n">
        <x:v>5</x:v>
      </x:c>
      <x:c r="K19" s="41" t="str">
        <x:v>One timeless tool</x:v>
      </x:c>
      <x:c r="L19" s="41" t="str">
        <x:v>Harvest yield automated</x:v>
      </x:c>
      <x:c r="M19" s="41" t="n">
        <x:f>COUNTIF('Dependencies'!B$5:B$91,A19)</x:f>
        <x:v>4</x:v>
      </x:c>
      <x:c r="N19" s="41" t="n">
        <x:f>COUNTIF('Dependencies'!A$5:A$91,A19)</x:f>
        <x:v>4</x:v>
      </x:c>
      <x:c r="O19" s="41" t="str">
        <x:f>IF(OR(C19="Root",C19="Terminal"),"OK",IF(AND(M19&gt;0,N19&gt;0),"OK","CHECK"))</x:f>
        <x:v>OK</x:v>
      </x:c>
      <x:c r="P19" s="41" t="str">
        <x:v>Quality could become opaque RNG</x:v>
      </x:c>
      <x:c r="Q19" s="41" t="str">
        <x:v>P1</x:v>
      </x:c>
    </x:row>
    <x:row r="20">
      <x:c r="A20" s="41" t="str">
        <x:v>S16</x:v>
      </x:c>
      <x:c r="B20" s="41" t="str">
        <x:v>Workspaces, jigs &amp; stations</x:v>
      </x:c>
      <x:c r="C20" s="41" t="str">
        <x:v>Normal</x:v>
      </x:c>
      <x:c r="D20" s="41" t="str">
        <x:v>4–14</x:v>
      </x:c>
      <x:c r="E20" s="41" t="str">
        <x:v>brace / hold / measure / fixture</x:v>
      </x:c>
      <x:c r="F20" s="41" t="str">
        <x:v>site, surfaces, tools, pattern</x:v>
      </x:c>
      <x:c r="G20" s="41" t="str">
        <x:v>precision, capacity, repeatability</x:v>
      </x:c>
      <x:c r="H20" s="41" t="str">
        <x:v>Maker resolver</x:v>
      </x:c>
      <x:c r="I20" s="41" t="str">
        <x:v>v2.3</x:v>
      </x:c>
      <x:c r="J20" s="44" t="n">
        <x:v>5</x:v>
      </x:c>
      <x:c r="K20" s="41" t="str">
        <x:v>Absent</x:v>
      </x:c>
      <x:c r="L20" s="41" t="str">
        <x:v>None</x:v>
      </x:c>
      <x:c r="M20" s="41" t="n">
        <x:f>COUNTIF('Dependencies'!B$5:B$91,A20)</x:f>
        <x:v>2</x:v>
      </x:c>
      <x:c r="N20" s="41" t="n">
        <x:f>COUNTIF('Dependencies'!A$5:A$91,A20)</x:f>
        <x:v>3</x:v>
      </x:c>
      <x:c r="O20" s="41" t="str">
        <x:f>IF(OR(C20="Root",C20="Terminal"),"OK",IF(AND(M20&gt;0,N20&gt;0),"OK","CHECK"))</x:f>
        <x:v>OK</x:v>
      </x:c>
      <x:c r="P20" s="41" t="str">
        <x:v>Must expand operations, not reveal recipes</x:v>
      </x:c>
      <x:c r="Q20" s="41" t="str">
        <x:v>P1</x:v>
      </x:c>
    </x:row>
    <x:row r="21">
      <x:c r="A21" s="41" t="str">
        <x:v>S17</x:v>
      </x:c>
      <x:c r="B21" s="41" t="str">
        <x:v>Fire discovery &amp; mastery</x:v>
      </x:c>
      <x:c r="C21" s="41" t="str">
        <x:v>Normal</x:v>
      </x:c>
      <x:c r="D21" s="41" t="str">
        <x:v>2–14</x:v>
      </x:c>
      <x:c r="E21" s="41" t="str">
        <x:v>prepare / ignite / sustain / use</x:v>
      </x:c>
      <x:c r="F21" s="41" t="str">
        <x:v>fuel, ignition, air, wetness, shelter</x:v>
      </x:c>
      <x:c r="G21" s="41" t="str">
        <x:v>heat, light, cooking/process capacity</x:v>
      </x:c>
      <x:c r="H21" s="41" t="str">
        <x:v>Thermal + matter</x:v>
      </x:c>
      <x:c r="I21" s="41" t="str">
        <x:v>v2.4 §11</x:v>
      </x:c>
      <x:c r="J21" s="44" t="n">
        <x:v>5</x:v>
      </x:c>
      <x:c r="K21" s="41" t="str">
        <x:v>Known kit prototype</x:v>
      </x:c>
      <x:c r="L21" s="41" t="str">
        <x:v>Automated simplified fire</x:v>
      </x:c>
      <x:c r="M21" s="41" t="n">
        <x:f>COUNTIF('Dependencies'!B$5:B$91,A21)</x:f>
        <x:v>1</x:v>
      </x:c>
      <x:c r="N21" s="41" t="n">
        <x:f>COUNTIF('Dependencies'!A$5:A$91,A21)</x:f>
        <x:v>4</x:v>
      </x:c>
      <x:c r="O21" s="41" t="str">
        <x:f>IF(OR(C21="Root",C21="Terminal"),"OK",IF(AND(M21&gt;0,N21&gt;0),"OK","CHECK"))</x:f>
        <x:v>OK</x:v>
      </x:c>
      <x:c r="P21" s="41" t="str">
        <x:v>Current kit contradicts discovery law</x:v>
      </x:c>
      <x:c r="Q21" s="41" t="str">
        <x:v>P0</x:v>
      </x:c>
    </x:row>
    <x:row r="22">
      <x:c r="A22" s="41" t="str">
        <x:v>S18</x:v>
      </x:c>
      <x:c r="B22" s="41" t="str">
        <x:v>Shelter &amp; contextual construction</x:v>
      </x:c>
      <x:c r="C22" s="41" t="str">
        <x:v>Normal</x:v>
      </x:c>
      <x:c r="D22" s="41" t="str">
        <x:v>3–14</x:v>
      </x:c>
      <x:c r="E22" s="41" t="str">
        <x:v>site / carry / brace / place / repair</x:v>
      </x:c>
      <x:c r="F22" s="41" t="str">
        <x:v>patterns, material, structure, weather</x:v>
      </x:c>
      <x:c r="G22" s="41" t="str">
        <x:v>directional protection, attachment</x:v>
      </x:c>
      <x:c r="H22" s="41" t="str">
        <x:v>Structure resolver</x:v>
      </x:c>
      <x:c r="I22" s="41" t="str">
        <x:v>v0.13–v0.14; v2.4</x:v>
      </x:c>
      <x:c r="J22" s="44" t="n">
        <x:v>5</x:v>
      </x:c>
      <x:c r="K22" s="41" t="str">
        <x:v>Six-piece prototype</x:v>
      </x:c>
      <x:c r="L22" s="41" t="str">
        <x:v>Automated; physical fail</x:v>
      </x:c>
      <x:c r="M22" s="41" t="n">
        <x:f>COUNTIF('Dependencies'!B$5:B$91,A22)</x:f>
        <x:v>2</x:v>
      </x:c>
      <x:c r="N22" s="41" t="n">
        <x:f>COUNTIF('Dependencies'!A$5:A$91,A22)</x:f>
        <x:v>3</x:v>
      </x:c>
      <x:c r="O22" s="41" t="str">
        <x:f>IF(OR(C22="Root",C22="Terminal"),"OK",IF(AND(M22&gt;0,N22&gt;0),"OK","CHECK"))</x:f>
        <x:v>OK</x:v>
      </x:c>
      <x:c r="P22" s="41" t="str">
        <x:v>Proximity shelter is untruthful</x:v>
      </x:c>
      <x:c r="Q22" s="41" t="str">
        <x:v>P0</x:v>
      </x:c>
    </x:row>
    <x:row r="23">
      <x:c r="A23" s="41" t="str">
        <x:v>S19</x:v>
      </x:c>
      <x:c r="B23" s="41" t="str">
        <x:v>Water continuity</x:v>
      </x:c>
      <x:c r="C23" s="41" t="str">
        <x:v>Normal</x:v>
      </x:c>
      <x:c r="D23" s="41" t="str">
        <x:v>5–14</x:v>
      </x:c>
      <x:c r="E23" s="41" t="str">
        <x:v>locate / assess / carry / treat</x:v>
      </x:c>
      <x:c r="F23" s="41" t="str">
        <x:v>source, container, fire, route</x:v>
      </x:c>
      <x:c r="G23" s="41" t="str">
        <x:v>hydration reserve, home operation</x:v>
      </x:c>
      <x:c r="H23" s="41" t="str">
        <x:v>Water + body</x:v>
      </x:c>
      <x:c r="I23" s="41" t="str">
        <x:v>v0.14; v2.2</x:v>
      </x:c>
      <x:c r="J23" s="44" t="n">
        <x:v>4</x:v>
      </x:c>
      <x:c r="K23" s="41" t="str">
        <x:v>Absent</x:v>
      </x:c>
      <x:c r="L23" s="41" t="str">
        <x:v>None</x:v>
      </x:c>
      <x:c r="M23" s="41" t="n">
        <x:f>COUNTIF('Dependencies'!B$5:B$91,A23)</x:f>
        <x:v>2</x:v>
      </x:c>
      <x:c r="N23" s="41" t="n">
        <x:f>COUNTIF('Dependencies'!A$5:A$91,A23)</x:f>
        <x:v>3</x:v>
      </x:c>
      <x:c r="O23" s="41" t="str">
        <x:f>IF(OR(C23="Root",C23="Terminal"),"OK",IF(AND(M23&gt;0,N23&gt;0),"OK","CHECK"))</x:f>
        <x:v>OK</x:v>
      </x:c>
      <x:c r="P23" s="41" t="str">
        <x:v>First cross-system proof</x:v>
      </x:c>
      <x:c r="Q23" s="41" t="str">
        <x:v>P0</x:v>
      </x:c>
    </x:row>
    <x:row r="24">
      <x:c r="A24" s="41" t="str">
        <x:v>S20</x:v>
      </x:c>
      <x:c r="B24" s="41" t="str">
        <x:v>Food, hunting &amp; fishing</x:v>
      </x:c>
      <x:c r="C24" s="41" t="str">
        <x:v>Normal</x:v>
      </x:c>
      <x:c r="D24" s="41" t="str">
        <x:v>8–14</x:v>
      </x:c>
      <x:c r="E24" s="41" t="str">
        <x:v>track / catch / process / preserve</x:v>
      </x:c>
      <x:c r="F24" s="41" t="str">
        <x:v>population, tool, skill, time</x:v>
      </x:c>
      <x:c r="G24" s="41" t="str">
        <x:v>nutrition, materials, ecology change</x:v>
      </x:c>
      <x:c r="H24" s="41" t="str">
        <x:v>Ecology + work</x:v>
      </x:c>
      <x:c r="I24" s="41" t="str">
        <x:v>v0.12</x:v>
      </x:c>
      <x:c r="J24" s="44" t="n">
        <x:v>4</x:v>
      </x:c>
      <x:c r="K24" s="41" t="str">
        <x:v>Absent</x:v>
      </x:c>
      <x:c r="L24" s="41" t="str">
        <x:v>None</x:v>
      </x:c>
      <x:c r="M24" s="41" t="n">
        <x:f>COUNTIF('Dependencies'!B$5:B$91,A24)</x:f>
        <x:v>3</x:v>
      </x:c>
      <x:c r="N24" s="41" t="n">
        <x:f>COUNTIF('Dependencies'!A$5:A$91,A24)</x:f>
        <x:v>2</x:v>
      </x:c>
      <x:c r="O24" s="41" t="str">
        <x:f>IF(OR(C24="Root",C24="Terminal"),"OK",IF(AND(M24&gt;0,N24&gt;0),"OK","CHECK"))</x:f>
        <x:v>OK</x:v>
      </x:c>
      <x:c r="P24" s="41" t="str">
        <x:v>Breadth before representative</x:v>
      </x:c>
      <x:c r="Q24" s="41" t="str">
        <x:v>P2</x:v>
      </x:c>
    </x:row>
    <x:row r="25">
      <x:c r="A25" s="41" t="str">
        <x:v>S21</x:v>
      </x:c>
      <x:c r="B25" s="41" t="str">
        <x:v>Cultivation, soil &amp; pests</x:v>
      </x:c>
      <x:c r="C25" s="41" t="str">
        <x:v>Normal</x:v>
      </x:c>
      <x:c r="D25" s="41" t="str">
        <x:v>8–14</x:v>
      </x:c>
      <x:c r="E25" s="41" t="str">
        <x:v>plant / protect / irrigate / rotate</x:v>
      </x:c>
      <x:c r="F25" s="41" t="str">
        <x:v>soil, seed, water, weather, fauna</x:v>
      </x:c>
      <x:c r="G25" s="41" t="str">
        <x:v>yield, soil memory, obligation</x:v>
      </x:c>
      <x:c r="H25" s="41" t="str">
        <x:v>Ecology resolver</x:v>
      </x:c>
      <x:c r="I25" s="41" t="str">
        <x:v>v0.13–v0.14</x:v>
      </x:c>
      <x:c r="J25" s="44" t="n">
        <x:v>4</x:v>
      </x:c>
      <x:c r="K25" s="41" t="str">
        <x:v>Absent</x:v>
      </x:c>
      <x:c r="L25" s="41" t="str">
        <x:v>None</x:v>
      </x:c>
      <x:c r="M25" s="41" t="n">
        <x:f>COUNTIF('Dependencies'!B$5:B$91,A25)</x:f>
        <x:v>2</x:v>
      </x:c>
      <x:c r="N25" s="41" t="n">
        <x:f>COUNTIF('Dependencies'!A$5:A$91,A25)</x:f>
        <x:v>1</x:v>
      </x:c>
      <x:c r="O25" s="41" t="str">
        <x:f>IF(OR(C25="Root",C25="Terminal"),"OK",IF(AND(M25&gt;0,N25&gt;0),"OK","CHECK"))</x:f>
        <x:v>OK</x:v>
      </x:c>
      <x:c r="P25" s="41" t="str">
        <x:v>Hidden ecology punishment</x:v>
      </x:c>
      <x:c r="Q25" s="41" t="str">
        <x:v>P2</x:v>
      </x:c>
    </x:row>
    <x:row r="26">
      <x:c r="A26" s="41" t="str">
        <x:v>S22</x:v>
      </x:c>
      <x:c r="B26" s="41" t="str">
        <x:v>Medicine, contamination &amp; healing</x:v>
      </x:c>
      <x:c r="C26" s="41" t="str">
        <x:v>Normal</x:v>
      </x:c>
      <x:c r="D26" s="41" t="str">
        <x:v>0–14</x:v>
      </x:c>
      <x:c r="E26" s="41" t="str">
        <x:v>clean / bind / monitor / treat</x:v>
      </x:c>
      <x:c r="F26" s="41" t="str">
        <x:v>injury, water, materials, knowledge</x:v>
      </x:c>
      <x:c r="G26" s="41" t="str">
        <x:v>condition, infection risk, recovery</x:v>
      </x:c>
      <x:c r="H26" s="41" t="str">
        <x:v>Body resolver</x:v>
      </x:c>
      <x:c r="I26" s="41" t="str">
        <x:v>v0.5; v2.4</x:v>
      </x:c>
      <x:c r="J26" s="44" t="n">
        <x:v>4</x:v>
      </x:c>
      <x:c r="K26" s="41" t="str">
        <x:v>Absent</x:v>
      </x:c>
      <x:c r="L26" s="41" t="str">
        <x:v>None</x:v>
      </x:c>
      <x:c r="M26" s="41" t="n">
        <x:f>COUNTIF('Dependencies'!B$5:B$91,A26)</x:f>
        <x:v>2</x:v>
      </x:c>
      <x:c r="N26" s="41" t="n">
        <x:f>COUNTIF('Dependencies'!A$5:A$91,A26)</x:f>
        <x:v>2</x:v>
      </x:c>
      <x:c r="O26" s="41" t="str">
        <x:f>IF(OR(C26="Root",C26="Terminal"),"OK",IF(AND(M26&gt;0,N26&gt;0),"OK","CHECK"))</x:f>
        <x:v>OK</x:v>
      </x:c>
      <x:c r="P26" s="41" t="str">
        <x:v>Must remain readable and bounded</x:v>
      </x:c>
      <x:c r="Q26" s="41" t="str">
        <x:v>P1</x:v>
      </x:c>
    </x:row>
    <x:row r="27">
      <x:c r="A27" s="41" t="str">
        <x:v>S23</x:v>
      </x:c>
      <x:c r="B27" s="41" t="str">
        <x:v>Swimming, surface water &amp; rescue</x:v>
      </x:c>
      <x:c r="C27" s="41" t="str">
        <x:v>Normal</x:v>
      </x:c>
      <x:c r="D27" s="41" t="str">
        <x:v>0/9–12</x:v>
      </x:c>
      <x:c r="E27" s="41" t="str">
        <x:v>swim / float / reboard / rescue</x:v>
      </x:c>
      <x:c r="F27" s="41" t="str">
        <x:v>water state, body, load, craft</x:v>
      </x:c>
      <x:c r="G27" s="41" t="str">
        <x:v>crossing, immersion, survival</x:v>
      </x:c>
      <x:c r="H27" s="41" t="str">
        <x:v>Maritime + body</x:v>
      </x:c>
      <x:c r="I27" s="41" t="str">
        <x:v>v0.10; v2.2</x:v>
      </x:c>
      <x:c r="J27" s="44" t="n">
        <x:v>5</x:v>
      </x:c>
      <x:c r="K27" s="41" t="str">
        <x:v>Absent</x:v>
      </x:c>
      <x:c r="L27" s="41" t="str">
        <x:v>None</x:v>
      </x:c>
      <x:c r="M27" s="41" t="n">
        <x:f>COUNTIF('Dependencies'!B$5:B$91,A27)</x:f>
        <x:v>0</x:v>
      </x:c>
      <x:c r="N27" s="41" t="n">
        <x:f>COUNTIF('Dependencies'!A$5:A$91,A27)</x:f>
        <x:v>3</x:v>
      </x:c>
      <x:c r="O27" s="41" t="str">
        <x:f>IF(OR(C27="Root",C27="Terminal"),"OK",IF(AND(M27&gt;0,N27&gt;0),"OK","CHECK"))</x:f>
        <x:v>CHECK</x:v>
      </x:c>
      <x:c r="P27" s="41" t="str">
        <x:v>Water cannot be a kill volume</x:v>
      </x:c>
      <x:c r="Q27" s="41" t="str">
        <x:v>P1</x:v>
      </x:c>
    </x:row>
    <x:row r="28">
      <x:c r="A28" s="41" t="str">
        <x:v>S24</x:v>
      </x:c>
      <x:c r="B28" s="41" t="str">
        <x:v>Fishing boat restoration &amp; navigation</x:v>
      </x:c>
      <x:c r="C28" s="41" t="str">
        <x:v>Normal</x:v>
      </x:c>
      <x:c r="D28" s="41" t="str">
        <x:v>8–12</x:v>
      </x:c>
      <x:c r="E28" s="41" t="str">
        <x:v>secure / patch / launch / load / steer</x:v>
      </x:c>
      <x:c r="F28" s="41" t="str">
        <x:v>hull, tools, parts, weather, skill</x:v>
      </x:c>
      <x:c r="G28" s="41" t="str">
        <x:v>workboat, crossing, legacy machine</x:v>
      </x:c>
      <x:c r="H28" s="41" t="str">
        <x:v>Maritime resolver</x:v>
      </x:c>
      <x:c r="I28" s="41" t="str">
        <x:v>v2.4 §8</x:v>
      </x:c>
      <x:c r="J28" s="44" t="n">
        <x:v>5</x:v>
      </x:c>
      <x:c r="K28" s="41" t="str">
        <x:v>Absent</x:v>
      </x:c>
      <x:c r="L28" s="41" t="str">
        <x:v>None</x:v>
      </x:c>
      <x:c r="M28" s="41" t="n">
        <x:f>COUNTIF('Dependencies'!B$5:B$91,A28)</x:f>
        <x:v>4</x:v>
      </x:c>
      <x:c r="N28" s="41" t="n">
        <x:f>COUNTIF('Dependencies'!A$5:A$91,A28)</x:f>
        <x:v>2</x:v>
      </x:c>
      <x:c r="O28" s="41" t="str">
        <x:f>IF(OR(C28="Root",C28="Terminal"),"OK",IF(AND(M28&gt;0,N28&gt;0),"OK","CHECK"))</x:f>
        <x:v>OK</x:v>
      </x:c>
      <x:c r="P28" s="41" t="str">
        <x:v>Feel, cargo and fallback unproven</x:v>
      </x:c>
      <x:c r="Q28" s="41" t="str">
        <x:v>P1</x:v>
      </x:c>
    </x:row>
    <x:row r="29">
      <x:c r="A29" s="41" t="str">
        <x:v>S25</x:v>
      </x:c>
      <x:c r="B29" s="41" t="str">
        <x:v>Diving &amp; underwater salvage</x:v>
      </x:c>
      <x:c r="C29" s="41" t="str">
        <x:v>Normal</x:v>
      </x:c>
      <x:c r="D29" s="41" t="str">
        <x:v>10–12</x:v>
      </x:c>
      <x:c r="E29" s="41" t="str">
        <x:v>dive / equalize / recover / ascend</x:v>
      </x:c>
      <x:c r="F29" s="41" t="str">
        <x:v>air, thermal, depth, tool, boat</x:v>
      </x:c>
      <x:c r="G29" s="41" t="str">
        <x:v>salvage, evidence, new routes</x:v>
      </x:c>
      <x:c r="H29" s="41" t="str">
        <x:v>Diving resolver</x:v>
      </x:c>
      <x:c r="I29" s="41" t="str">
        <x:v>v0.10</x:v>
      </x:c>
      <x:c r="J29" s="44" t="n">
        <x:v>5</x:v>
      </x:c>
      <x:c r="K29" s="41" t="str">
        <x:v>Absent</x:v>
      </x:c>
      <x:c r="L29" s="41" t="str">
        <x:v>None</x:v>
      </x:c>
      <x:c r="M29" s="41" t="n">
        <x:f>COUNTIF('Dependencies'!B$5:B$91,A29)</x:f>
        <x:v>2</x:v>
      </x:c>
      <x:c r="N29" s="41" t="n">
        <x:f>COUNTIF('Dependencies'!A$5:A$91,A29)</x:f>
        <x:v>2</x:v>
      </x:c>
      <x:c r="O29" s="41" t="str">
        <x:f>IF(OR(C29="Root",C29="Terminal"),"OK",IF(AND(M29&gt;0,N29&gt;0),"OK","CHECK"))</x:f>
        <x:v>OK</x:v>
      </x:c>
      <x:c r="P29" s="41" t="str">
        <x:v>Countdown-only design risk</x:v>
      </x:c>
      <x:c r="Q29" s="41" t="str">
        <x:v>P1</x:v>
      </x:c>
    </x:row>
    <x:row r="30">
      <x:c r="A30" s="41" t="str">
        <x:v>S26</x:v>
      </x:c>
      <x:c r="B30" s="41" t="str">
        <x:v>Home, homestead &amp; legacy site</x:v>
      </x:c>
      <x:c r="C30" s="41" t="str">
        <x:v>Normal</x:v>
      </x:c>
      <x:c r="D30" s="41" t="str">
        <x:v>4–14</x:v>
      </x:c>
      <x:c r="E30" s="41" t="str">
        <x:v>integrate / maintain / arrange</x:v>
      </x:c>
      <x:c r="F30" s="41" t="str">
        <x:v>shelter, water, stores, workspaces</x:v>
      </x:c>
      <x:c r="G30" s="41" t="str">
        <x:v>safety, routes, memory, obligations</x:v>
      </x:c>
      <x:c r="H30" s="41" t="str">
        <x:v>Home ledger</x:v>
      </x:c>
      <x:c r="I30" s="41" t="str">
        <x:v>v0.13–v0.14; v2.2</x:v>
      </x:c>
      <x:c r="J30" s="44" t="n">
        <x:v>5</x:v>
      </x:c>
      <x:c r="K30" s="41" t="str">
        <x:v>Basic shelter only</x:v>
      </x:c>
      <x:c r="L30" s="41" t="str">
        <x:v>Simplified save</x:v>
      </x:c>
      <x:c r="M30" s="41" t="n">
        <x:f>COUNTIF('Dependencies'!B$5:B$91,A30)</x:f>
        <x:v>6</x:v>
      </x:c>
      <x:c r="N30" s="41" t="n">
        <x:f>COUNTIF('Dependencies'!A$5:A$91,A30)</x:f>
        <x:v>2</x:v>
      </x:c>
      <x:c r="O30" s="41" t="str">
        <x:f>IF(OR(C30="Root",C30="Terminal"),"OK",IF(AND(M30&gt;0,N30&gt;0),"OK","CHECK"))</x:f>
        <x:v>OK</x:v>
      </x:c>
      <x:c r="P30" s="41" t="str">
        <x:v>Home may solve need to leave</x:v>
      </x:c>
      <x:c r="Q30" s="41" t="str">
        <x:v>P1</x:v>
      </x:c>
    </x:row>
    <x:row r="31">
      <x:c r="A31" s="41" t="str">
        <x:v>S27</x:v>
      </x:c>
      <x:c r="B31" s="41" t="str">
        <x:v>Expedition &amp; pressure director</x:v>
      </x:c>
      <x:c r="C31" s="41" t="str">
        <x:v>Normal</x:v>
      </x:c>
      <x:c r="D31" s="41" t="str">
        <x:v>5–14</x:v>
      </x:c>
      <x:c r="E31" s="41" t="str">
        <x:v>prepare / cross / abort / return</x:v>
      </x:c>
      <x:c r="F31" s="41" t="str">
        <x:v>home need, route, forecast, reserve</x:v>
      </x:c>
      <x:c r="G31" s="41" t="str">
        <x:v>change returned to home</x:v>
      </x:c>
      <x:c r="H31" s="41" t="str">
        <x:v>Homeward engine</x:v>
      </x:c>
      <x:c r="I31" s="41" t="str">
        <x:v>v0.15; v2.2</x:v>
      </x:c>
      <x:c r="J31" s="44" t="n">
        <x:v>5</x:v>
      </x:c>
      <x:c r="K31" s="41" t="str">
        <x:v>Absent</x:v>
      </x:c>
      <x:c r="L31" s="41" t="str">
        <x:v>None</x:v>
      </x:c>
      <x:c r="M31" s="41" t="n">
        <x:f>COUNTIF('Dependencies'!B$5:B$91,A31)</x:f>
        <x:v>4</x:v>
      </x:c>
      <x:c r="N31" s="41" t="n">
        <x:f>COUNTIF('Dependencies'!A$5:A$91,A31)</x:f>
        <x:v>2</x:v>
      </x:c>
      <x:c r="O31" s="41" t="str">
        <x:f>IF(OR(C31="Root",C31="Terminal"),"OK",IF(AND(M31&gt;0,N31&gt;0),"OK","CHECK"))</x:f>
        <x:v>OK</x:v>
      </x:c>
      <x:c r="P31" s="41" t="str">
        <x:v>Random pressure stacking</x:v>
      </x:c>
      <x:c r="Q31" s="41" t="str">
        <x:v>P0</x:v>
      </x:c>
    </x:row>
    <x:row r="32">
      <x:c r="A32" s="41" t="str">
        <x:v>S28</x:v>
      </x:c>
      <x:c r="B32" s="41" t="str">
        <x:v>Human Thread &amp; personal motive</x:v>
      </x:c>
      <x:c r="C32" s="41" t="str">
        <x:v>Normal</x:v>
      </x:c>
      <x:c r="D32" s="41" t="str">
        <x:v>0–14</x:v>
      </x:c>
      <x:c r="E32" s="41" t="str">
        <x:v>remember / promise / resolve</x:v>
      </x:c>
      <x:c r="F32" s="41" t="str">
        <x:v>identity, objects, evidence, choices</x:v>
      </x:c>
      <x:c r="G32" s="41" t="str">
        <x:v>emotional stakes and ending state</x:v>
      </x:c>
      <x:c r="H32" s="41" t="str">
        <x:v>Narrative state</x:v>
      </x:c>
      <x:c r="I32" s="41" t="str">
        <x:v>v0.15; v2.2</x:v>
      </x:c>
      <x:c r="J32" s="44" t="n">
        <x:v>5</x:v>
      </x:c>
      <x:c r="K32" s="41" t="str">
        <x:v>Absent</x:v>
      </x:c>
      <x:c r="L32" s="41" t="str">
        <x:v>None</x:v>
      </x:c>
      <x:c r="M32" s="41" t="n">
        <x:f>COUNTIF('Dependencies'!B$5:B$91,A32)</x:f>
        <x:v>1</x:v>
      </x:c>
      <x:c r="N32" s="41" t="n">
        <x:f>COUNTIF('Dependencies'!A$5:A$91,A32)</x:f>
        <x:v>2</x:v>
      </x:c>
      <x:c r="O32" s="41" t="str">
        <x:f>IF(OR(C32="Root",C32="Terminal"),"OK",IF(AND(M32&gt;0,N32&gt;0),"OK","CHECK"))</x:f>
        <x:v>OK</x:v>
      </x:c>
      <x:c r="P32" s="41" t="str">
        <x:v>Return can feel mechanical</x:v>
      </x:c>
      <x:c r="Q32" s="41" t="str">
        <x:v>P1</x:v>
      </x:c>
    </x:row>
    <x:row r="33">
      <x:c r="A33" s="41" t="str">
        <x:v>S29</x:v>
      </x:c>
      <x:c r="B33" s="41" t="str">
        <x:v>Return Program &amp; external response</x:v>
      </x:c>
      <x:c r="C33" s="41" t="str">
        <x:v>Normal</x:v>
      </x:c>
      <x:c r="D33" s="41" t="str">
        <x:v>10–14</x:v>
      </x:c>
      <x:c r="E33" s="41" t="str">
        <x:v>hypothesize / authenticate / depart</x:v>
      </x:c>
      <x:c r="F33" s="41" t="str">
        <x:v>evidence, vessel/signal, receiver</x:v>
      </x:c>
      <x:c r="G33" s="41" t="str">
        <x:v>return level, reception, resolution</x:v>
      </x:c>
      <x:c r="H33" s="41" t="str">
        <x:v>Return spine</x:v>
      </x:c>
      <x:c r="I33" s="41" t="str">
        <x:v>v0.15; v2.2</x:v>
      </x:c>
      <x:c r="J33" s="44" t="n">
        <x:v>5</x:v>
      </x:c>
      <x:c r="K33" s="41" t="str">
        <x:v>Text objective only</x:v>
      </x:c>
      <x:c r="L33" s="41" t="str">
        <x:v>None</x:v>
      </x:c>
      <x:c r="M33" s="41" t="n">
        <x:f>COUNTIF('Dependencies'!B$5:B$91,A33)</x:f>
        <x:v>7</x:v>
      </x:c>
      <x:c r="N33" s="41" t="n">
        <x:f>COUNTIF('Dependencies'!A$5:A$91,A33)</x:f>
        <x:v>1</x:v>
      </x:c>
      <x:c r="O33" s="41" t="str">
        <x:f>IF(OR(C33="Root",C33="Terminal"),"OK",IF(AND(M33&gt;0,N33&gt;0),"OK","CHECK"))</x:f>
        <x:v>OK</x:v>
      </x:c>
      <x:c r="P33" s="41" t="str">
        <x:v>Departure mislabeled as home</x:v>
      </x:c>
      <x:c r="Q33" s="41" t="str">
        <x:v>P0</x:v>
      </x:c>
    </x:row>
    <x:row r="34">
      <x:c r="A34" s="41" t="str">
        <x:v>S30</x:v>
      </x:c>
      <x:c r="B34" s="41" t="str">
        <x:v>Death Review &amp; permadeath transaction</x:v>
      </x:c>
      <x:c r="C34" s="41" t="str">
        <x:v>Normal</x:v>
      </x:c>
      <x:c r="D34" s="41" t="str">
        <x:v>0–14</x:v>
      </x:c>
      <x:c r="E34" s="41" t="str">
        <x:v>die / review causality</x:v>
      </x:c>
      <x:c r="F34" s="41" t="str">
        <x:v>fatal chain, warnings, authority</x:v>
      </x:c>
      <x:c r="G34" s="41" t="str">
        <x:v>closed life, memorial, preserved world</x:v>
      </x:c>
      <x:c r="H34" s="41" t="str">
        <x:v>Persistence authority</x:v>
      </x:c>
      <x:c r="I34" s="41" t="str">
        <x:v>v0.15; v2.4 §13</x:v>
      </x:c>
      <x:c r="J34" s="44" t="n">
        <x:v>5</x:v>
      </x:c>
      <x:c r="K34" s="41" t="str">
        <x:v>Absent</x:v>
      </x:c>
      <x:c r="L34" s="41" t="str">
        <x:v>None</x:v>
      </x:c>
      <x:c r="M34" s="41" t="n">
        <x:f>COUNTIF('Dependencies'!B$5:B$91,A34)</x:f>
        <x:v>2</x:v>
      </x:c>
      <x:c r="N34" s="41" t="n">
        <x:f>COUNTIF('Dependencies'!A$5:A$91,A34)</x:f>
        <x:v>2</x:v>
      </x:c>
      <x:c r="O34" s="41" t="str">
        <x:f>IF(OR(C34="Root",C34="Terminal"),"OK",IF(AND(M34&gt;0,N34&gt;0),"OK","CHECK"))</x:f>
        <x:v>OK</x:v>
      </x:c>
      <x:c r="P34" s="41" t="str">
        <x:v>Technical failure vs real death</x:v>
      </x:c>
      <x:c r="Q34" s="41" t="str">
        <x:v>P1</x:v>
      </x:c>
    </x:row>
    <x:row r="35">
      <x:c r="A35" s="41" t="str">
        <x:v>S31</x:v>
      </x:c>
      <x:c r="B35" s="41" t="str">
        <x:v>Successor arrival &amp; legacy gradient</x:v>
      </x:c>
      <x:c r="C35" s="41" t="str">
        <x:v>Normal</x:v>
      </x:c>
      <x:c r="D35" s="41" t="str">
        <x:v>0/14</x:v>
      </x:c>
      <x:c r="E35" s="41" t="str">
        <x:v>arrive / interpret / requalify</x:v>
      </x:c>
      <x:c r="F35" s="41" t="str">
        <x:v>island state, archive, new body</x:v>
      </x:c>
      <x:c r="G35" s="41" t="str">
        <x:v>changed first night and new choice</x:v>
      </x:c>
      <x:c r="H35" s="41" t="str">
        <x:v>Legacy resolver</x:v>
      </x:c>
      <x:c r="I35" s="41" t="str">
        <x:v>v2.4 §13</x:v>
      </x:c>
      <x:c r="J35" s="44" t="n">
        <x:v>5</x:v>
      </x:c>
      <x:c r="K35" s="41" t="str">
        <x:v>Absent</x:v>
      </x:c>
      <x:c r="L35" s="41" t="str">
        <x:v>None</x:v>
      </x:c>
      <x:c r="M35" s="41" t="n">
        <x:f>COUNTIF('Dependencies'!B$5:B$91,A35)</x:f>
        <x:v>3</x:v>
      </x:c>
      <x:c r="N35" s="41" t="n">
        <x:f>COUNTIF('Dependencies'!A$5:A$91,A35)</x:f>
        <x:v>2</x:v>
      </x:c>
      <x:c r="O35" s="41" t="str">
        <x:f>IF(OR(C35="Root",C35="Terminal"),"OK",IF(AND(M35&gt;0,N35&gt;0),"OK","CHECK"))</x:f>
        <x:v>OK</x:v>
      </x:c>
      <x:c r="P35" s="41" t="str">
        <x:v>Inherited chores or magical knowledge</x:v>
      </x:c>
      <x:c r="Q35" s="41" t="str">
        <x:v>P1</x:v>
      </x:c>
    </x:row>
    <x:row r="36">
      <x:c r="A36" s="41" t="str">
        <x:v>S32</x:v>
      </x:c>
      <x:c r="B36" s="41" t="str">
        <x:v>Community Island society</x:v>
      </x:c>
      <x:c r="C36" s="41" t="str">
        <x:v>Normal</x:v>
      </x:c>
      <x:c r="D36" s="41" t="str">
        <x:v>9–14</x:v>
      </x:c>
      <x:c r="E36" s="41" t="str">
        <x:v>meet / trade / teach / cooperate</x:v>
      </x:c>
      <x:c r="F36" s="41" t="str">
        <x:v>population, trust, needs, law</x:v>
      </x:c>
      <x:c r="G36" s="41" t="str">
        <x:v>relationships, projects, conflict</x:v>
      </x:c>
      <x:c r="H36" s="41" t="str">
        <x:v>Society resolver</x:v>
      </x:c>
      <x:c r="I36" s="41" t="str">
        <x:v>v0.9; v0.11; v0.15</x:v>
      </x:c>
      <x:c r="J36" s="44" t="n">
        <x:v>3</x:v>
      </x:c>
      <x:c r="K36" s="41" t="str">
        <x:v>Absent</x:v>
      </x:c>
      <x:c r="L36" s="41" t="str">
        <x:v>None</x:v>
      </x:c>
      <x:c r="M36" s="41" t="n">
        <x:f>COUNTIF('Dependencies'!B$5:B$91,A36)</x:f>
        <x:v>0</x:v>
      </x:c>
      <x:c r="N36" s="41" t="n">
        <x:f>COUNTIF('Dependencies'!A$5:A$91,A36)</x:f>
        <x:v>2</x:v>
      </x:c>
      <x:c r="O36" s="41" t="str">
        <x:f>IF(OR(C36="Root",C36="Terminal"),"OK",IF(AND(M36&gt;0,N36&gt;0),"OK","CHECK"))</x:f>
        <x:v>CHECK</x:v>
      </x:c>
      <x:c r="P36" s="41" t="str">
        <x:v>Product topology unresolved</x:v>
      </x:c>
      <x:c r="Q36" s="41" t="str">
        <x:v>P2</x:v>
      </x:c>
    </x:row>
    <x:row r="37">
      <x:c r="A37" s="41" t="str">
        <x:v>S33</x:v>
      </x:c>
      <x:c r="B37" s="41" t="str">
        <x:v>Trade, teaching &amp; knowledge liability</x:v>
      </x:c>
      <x:c r="C37" s="41" t="str">
        <x:v>Normal</x:v>
      </x:c>
      <x:c r="D37" s="41" t="str">
        <x:v>9–14</x:v>
      </x:c>
      <x:c r="E37" s="41" t="str">
        <x:v>demonstrate / exchange / contract</x:v>
      </x:c>
      <x:c r="F37" s="41" t="str">
        <x:v>proof, carrier, trust, value</x:v>
      </x:c>
      <x:c r="G37" s="41" t="str">
        <x:v>partial transfer, obligation</x:v>
      </x:c>
      <x:c r="H37" s="41" t="str">
        <x:v>Society + knowledge</x:v>
      </x:c>
      <x:c r="I37" s="41" t="str">
        <x:v>v2.3–v2.4</x:v>
      </x:c>
      <x:c r="J37" s="44" t="n">
        <x:v>4</x:v>
      </x:c>
      <x:c r="K37" s="41" t="str">
        <x:v>Absent</x:v>
      </x:c>
      <x:c r="L37" s="41" t="str">
        <x:v>None</x:v>
      </x:c>
      <x:c r="M37" s="41" t="n">
        <x:f>COUNTIF('Dependencies'!B$5:B$91,A37)</x:f>
        <x:v>2</x:v>
      </x:c>
      <x:c r="N37" s="41" t="n">
        <x:f>COUNTIF('Dependencies'!A$5:A$91,A37)</x:f>
        <x:v>1</x:v>
      </x:c>
      <x:c r="O37" s="41" t="str">
        <x:f>IF(OR(C37="Root",C37="Terminal"),"OK",IF(AND(M37&gt;0,N37&gt;0),"OK","CHECK"))</x:f>
        <x:v>OK</x:v>
      </x:c>
      <x:c r="P37" s="41" t="str">
        <x:v>Knowledge can become a currency exploit</x:v>
      </x:c>
      <x:c r="Q37" s="41" t="str">
        <x:v>P2</x:v>
      </x:c>
    </x:row>
    <x:row r="38">
      <x:c r="A38" s="41" t="str">
        <x:v>S34</x:v>
      </x:c>
      <x:c r="B38" s="41" t="str">
        <x:v>Triangle anomaly truth</x:v>
      </x:c>
      <x:c r="C38" s="41" t="str">
        <x:v>Normal</x:v>
      </x:c>
      <x:c r="D38" s="41" t="str">
        <x:v>6–14</x:v>
      </x:c>
      <x:c r="E38" s="41" t="str">
        <x:v>observe / test / model</x:v>
      </x:c>
      <x:c r="F38" s="41" t="str">
        <x:v>wrecks, time, signal, boundary</x:v>
      </x:c>
      <x:c r="G38" s="41" t="str">
        <x:v>questions, stable laws, route evidence</x:v>
      </x:c>
      <x:c r="H38" s="41" t="str">
        <x:v>Private truth ledger</x:v>
      </x:c>
      <x:c r="I38" s="41" t="str">
        <x:v>v0.11; v2.2</x:v>
      </x:c>
      <x:c r="J38" s="44" t="n">
        <x:v>3</x:v>
      </x:c>
      <x:c r="K38" s="41" t="str">
        <x:v>Absent</x:v>
      </x:c>
      <x:c r="L38" s="41" t="str">
        <x:v>None</x:v>
      </x:c>
      <x:c r="M38" s="41" t="n">
        <x:f>COUNTIF('Dependencies'!B$5:B$91,A38)</x:f>
        <x:v>2</x:v>
      </x:c>
      <x:c r="N38" s="41" t="n">
        <x:f>COUNTIF('Dependencies'!A$5:A$91,A38)</x:f>
        <x:v>1</x:v>
      </x:c>
      <x:c r="O38" s="41" t="str">
        <x:f>IF(OR(C38="Root",C38="Terminal"),"OK",IF(AND(M38&gt;0,N38&gt;0),"OK","CHECK"))</x:f>
        <x:v>OK</x:v>
      </x:c>
      <x:c r="P38" s="41" t="str">
        <x:v>Mystery may excuse contradiction</x:v>
      </x:c>
      <x:c r="Q38" s="41" t="str">
        <x:v>P1</x:v>
      </x:c>
    </x:row>
    <x:row r="39">
      <x:c r="A39" s="41" t="str">
        <x:v>S35</x:v>
      </x:c>
      <x:c r="B39" s="41" t="str">
        <x:v>Save, absence &amp; offline continuity</x:v>
      </x:c>
      <x:c r="C39" s="41" t="str">
        <x:v>Normal</x:v>
      </x:c>
      <x:c r="D39" s="41" t="str">
        <x:v>0–14</x:v>
      </x:c>
      <x:c r="E39" s="41" t="str">
        <x:v>save / leave / return</x:v>
      </x:c>
      <x:c r="F39" s="41" t="str">
        <x:v>world state, elapsed time, authority</x:v>
      </x:c>
      <x:c r="G39" s="41" t="str">
        <x:v>persistent causal world</x:v>
      </x:c>
      <x:c r="H39" s="41" t="str">
        <x:v>Save codec + reconciler</x:v>
      </x:c>
      <x:c r="I39" s="41" t="str">
        <x:v>repo; v2.2</x:v>
      </x:c>
      <x:c r="J39" s="44" t="n">
        <x:v>4</x:v>
      </x:c>
      <x:c r="K39" s="41" t="str">
        <x:v>Integrated slice</x:v>
      </x:c>
      <x:c r="L39" s="41" t="str">
        <x:v>Strong automation</x:v>
      </x:c>
      <x:c r="M39" s="41" t="n">
        <x:f>COUNTIF('Dependencies'!B$5:B$91,A39)</x:f>
        <x:v>1</x:v>
      </x:c>
      <x:c r="N39" s="41" t="n">
        <x:f>COUNTIF('Dependencies'!A$5:A$91,A39)</x:f>
        <x:v>3</x:v>
      </x:c>
      <x:c r="O39" s="41" t="str">
        <x:f>IF(OR(C39="Root",C39="Terminal"),"OK",IF(AND(M39&gt;0,N39&gt;0),"OK","CHECK"))</x:f>
        <x:v>OK</x:v>
      </x:c>
      <x:c r="P39" s="41" t="str">
        <x:v>Must scale without offline death errors</x:v>
      </x:c>
      <x:c r="Q39" s="41" t="str">
        <x:v>P1</x:v>
      </x:c>
    </x:row>
    <x:row r="40">
      <x:c r="A40" s="41" t="str">
        <x:v>S36</x:v>
      </x:c>
      <x:c r="B40" s="41" t="str">
        <x:v>Mobile UX &amp; accessibility</x:v>
      </x:c>
      <x:c r="C40" s="41" t="str">
        <x:v>Normal</x:v>
      </x:c>
      <x:c r="D40" s="41" t="str">
        <x:v>0–14</x:v>
      </x:c>
      <x:c r="E40" s="41" t="str">
        <x:v>touch / inspect / configure</x:v>
      </x:c>
      <x:c r="F40" s="41" t="str">
        <x:v>viewport, context, motor/visual needs</x:v>
      </x:c>
      <x:c r="G40" s="41" t="str">
        <x:v>reliable accessible interaction</x:v>
      </x:c>
      <x:c r="H40" s="41" t="str">
        <x:v>UI shell</x:v>
      </x:c>
      <x:c r="I40" s="41" t="str">
        <x:v>v0.15; repo</x:v>
      </x:c>
      <x:c r="J40" s="44" t="n">
        <x:v>3</x:v>
      </x:c>
      <x:c r="K40" s="41" t="str">
        <x:v>Prototype</x:v>
      </x:c>
      <x:c r="L40" s="41" t="str">
        <x:v>Web emulation only</x:v>
      </x:c>
      <x:c r="M40" s="41" t="n">
        <x:f>COUNTIF('Dependencies'!B$5:B$91,A40)</x:f>
        <x:v>0</x:v>
      </x:c>
      <x:c r="N40" s="41" t="n">
        <x:f>COUNTIF('Dependencies'!A$5:A$91,A40)</x:f>
        <x:v>3</x:v>
      </x:c>
      <x:c r="O40" s="41" t="str">
        <x:f>IF(OR(C40="Root",C40="Terminal"),"OK",IF(AND(M40&gt;0,N40&gt;0),"OK","CHECK"))</x:f>
        <x:v>CHECK</x:v>
      </x:c>
      <x:c r="P40" s="41" t="str">
        <x:v>Deep systems can obscure the world</x:v>
      </x:c>
      <x:c r="Q40" s="41" t="str">
        <x:v>P0</x:v>
      </x:c>
    </x:row>
    <x:row r="41">
      <x:c r="A41" s="41" t="str">
        <x:v>S37</x:v>
      </x:c>
      <x:c r="B41" s="41" t="str">
        <x:v>Art, audio, animation &amp; material feedback</x:v>
      </x:c>
      <x:c r="C41" s="41" t="str">
        <x:v>Normal</x:v>
      </x:c>
      <x:c r="D41" s="41" t="str">
        <x:v>0–14</x:v>
      </x:c>
      <x:c r="E41" s="41" t="str">
        <x:v>perceive / enjoy / judge</x:v>
      </x:c>
      <x:c r="F41" s="41" t="str">
        <x:v>state, material, weather, action</x:v>
      </x:c>
      <x:c r="G41" s="41" t="str">
        <x:v>readability, identity, emotion</x:v>
      </x:c>
      <x:c r="H41" s="41" t="str">
        <x:v>Presentation layer</x:v>
      </x:c>
      <x:c r="I41" s="41" t="str">
        <x:v>v0.15</x:v>
      </x:c>
      <x:c r="J41" s="44" t="n">
        <x:v>2</x:v>
      </x:c>
      <x:c r="K41" s="41" t="str">
        <x:v>Placeholder</x:v>
      </x:c>
      <x:c r="L41" s="41" t="str">
        <x:v>Screenshots only</x:v>
      </x:c>
      <x:c r="M41" s="41" t="n">
        <x:f>COUNTIF('Dependencies'!B$5:B$91,A41)</x:f>
        <x:v>0</x:v>
      </x:c>
      <x:c r="N41" s="41" t="n">
        <x:f>COUNTIF('Dependencies'!A$5:A$91,A41)</x:f>
        <x:v>2</x:v>
      </x:c>
      <x:c r="O41" s="41" t="str">
        <x:f>IF(OR(C41="Root",C41="Terminal"),"OK",IF(AND(M41&gt;0,N41&gt;0),"OK","CHECK"))</x:f>
        <x:v>CHECK</x:v>
      </x:c>
      <x:c r="P41" s="41" t="str">
        <x:v>Prose currently carries identity</x:v>
      </x:c>
      <x:c r="Q41" s="41" t="str">
        <x:v>P1</x:v>
      </x:c>
    </x:row>
    <x:row r="42">
      <x:c r="A42" s="42" t="str">
        <x:v>S38</x:v>
      </x:c>
      <x:c r="B42" s="42" t="str">
        <x:v>Performance, telemetry &amp; acceptance</x:v>
      </x:c>
      <x:c r="C42" s="42" t="str">
        <x:v>Terminal</x:v>
      </x:c>
      <x:c r="D42" s="42" t="str">
        <x:v>0–14</x:v>
      </x:c>
      <x:c r="E42" s="42" t="str">
        <x:v>play / measure / decide</x:v>
      </x:c>
      <x:c r="F42" s="42" t="str">
        <x:v>build, device, questions, thresholds</x:v>
      </x:c>
      <x:c r="G42" s="42" t="str">
        <x:v>accepted/rejected/tuned evidence</x:v>
      </x:c>
      <x:c r="H42" s="42" t="str">
        <x:v>Production evidence</x:v>
      </x:c>
      <x:c r="I42" s="42" t="str">
        <x:v>repo; v2.2</x:v>
      </x:c>
      <x:c r="J42" s="45" t="n">
        <x:v>3</x:v>
      </x:c>
      <x:c r="K42" s="42" t="str">
        <x:v>CI integrated</x:v>
      </x:c>
      <x:c r="L42" s="42" t="str">
        <x:v>No Android device</x:v>
      </x:c>
      <x:c r="M42" s="42" t="n">
        <x:f>COUNTIF('Dependencies'!B$5:B$91,A42)</x:f>
        <x:v>3</x:v>
      </x:c>
      <x:c r="N42" s="42" t="n">
        <x:f>COUNTIF('Dependencies'!A$5:A$91,A42)</x:f>
        <x:v>0</x:v>
      </x:c>
      <x:c r="O42" s="42" t="str">
        <x:f>IF(OR(C42="Root",C42="Terminal"),"OK",IF(AND(M42&gt;0,N42&gt;0),"OK","CHECK"))</x:f>
        <x:v>OK</x:v>
      </x:c>
      <x:c r="P42" s="42" t="str">
        <x:v>Automation can overclaim</x:v>
      </x:c>
      <x:c r="Q42" s="42" t="str">
        <x:v>P0</x:v>
      </x:c>
    </x:row>
  </x:sheetData>
  <x:mergeCells>
    <x:mergeCell ref="A1:Q1"/>
    <x:mergeCell ref="A2:Q2"/>
  </x:mergeCells>
  <x:conditionalFormatting sqref="O5:O42">
    <x:cfRule type="containsText" dxfId="1" priority="1" operator="containsText" text="CHECK"/>
  </x:conditionalFormatting>
  <x:conditionalFormatting sqref="Q5:Q42">
    <x:cfRule type="containsText" dxfId="2" priority="2" operator="containsText" text="P0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8" hidden="0" customWidth="1"/>
    <x:col min="4" max="4" width="20" hidden="0" customWidth="1"/>
    <x:col min="5" max="5" width="20" hidden="0" customWidth="1"/>
    <x:col min="6" max="6" width="45" hidden="0" customWidth="1"/>
  </x:cols>
  <x:sheetData>
    <x:row r="1" ht="30" customHeight="1">
      <x:c r="A1" s="3" t="str">
        <x:v>Balance Inputs and Calibration Status</x:v>
      </x:c>
      <x:c r="B1" s="3"/>
      <x:c r="C1" s="3"/>
      <x:c r="D1" s="3"/>
      <x:c r="E1" s="3"/>
      <x:c r="F1" s="3"/>
    </x:row>
    <x:row r="2" ht="34" customHeight="1">
      <x:c r="A2" s="7" t="str">
        <x:v>Current values are extracted from the v0.1.1 prototype. Target/model seeds are editable and are not accepted canon until playtested.</x:v>
      </x:c>
      <x:c r="B2" s="7"/>
      <x:c r="C2" s="7"/>
      <x:c r="D2" s="7"/>
      <x:c r="E2" s="7"/>
      <x:c r="F2" s="7"/>
    </x:row>
    <x:row r="4" ht="30" customHeight="1">
      <x:c r="A4" s="30" t="str">
        <x:v>Category</x:v>
      </x:c>
      <x:c r="B4" s="31" t="str">
        <x:v>Parameter</x:v>
      </x:c>
      <x:c r="C4" s="31" t="str">
        <x:v>Current prototype</x:v>
      </x:c>
      <x:c r="D4" s="31" t="str">
        <x:v>Target / model seed</x:v>
      </x:c>
      <x:c r="E4" s="31" t="str">
        <x:v>Unit</x:v>
      </x:c>
      <x:c r="F4" s="32" t="str">
        <x:v>Basis / status</x:v>
      </x:c>
    </x:row>
    <x:row r="5">
      <x:c r="A5" s="40" t="str">
        <x:v>Body</x:v>
      </x:c>
      <x:c r="B5" s="40" t="str">
        <x:v>Reference body mass</x:v>
      </x:c>
      <x:c r="C5" s="46"/>
      <x:c r="D5" s="46" t="n">
        <x:v>75</x:v>
      </x:c>
      <x:c r="E5" s="40" t="str">
        <x:v>kg</x:v>
      </x:c>
      <x:c r="F5" s="40" t="str">
        <x:v>Model seed; replace with character profile</x:v>
      </x:c>
    </x:row>
    <x:row r="6">
      <x:c r="A6" s="41" t="str">
        <x:v>Workload</x:v>
      </x:c>
      <x:c r="B6" s="41" t="str">
        <x:v>Load modifier coefficient</x:v>
      </x:c>
      <x:c r="C6" s="47"/>
      <x:c r="D6" s="47" t="n">
        <x:v>0.8</x:v>
      </x:c>
      <x:c r="E6" s="41" t="str">
        <x:v>factor</x:v>
      </x:c>
      <x:c r="F6" s="41" t="str">
        <x:v>Model seed</x:v>
      </x:c>
    </x:row>
    <x:row r="7">
      <x:c r="A7" s="41" t="str">
        <x:v>Workload</x:v>
      </x:c>
      <x:c r="B7" s="41" t="str">
        <x:v>Technique inefficiency coefficient</x:v>
      </x:c>
      <x:c r="C7" s="47"/>
      <x:c r="D7" s="47" t="n">
        <x:v>0.35</x:v>
      </x:c>
      <x:c r="E7" s="41" t="str">
        <x:v>factor</x:v>
      </x:c>
      <x:c r="F7" s="41" t="str">
        <x:v>Model seed</x:v>
      </x:c>
    </x:row>
    <x:row r="8">
      <x:c r="A8" s="41" t="str">
        <x:v>Hydration</x:v>
      </x:c>
      <x:c r="B8" s="41" t="str">
        <x:v>Baseline demand during activity</x:v>
      </x:c>
      <x:c r="C8" s="47"/>
      <x:c r="D8" s="47" t="n">
        <x:v>2</x:v>
      </x:c>
      <x:c r="E8" s="41" t="str">
        <x:v>ml/min</x:v>
      </x:c>
      <x:c r="F8" s="41" t="str">
        <x:v>Model seed, not clinical</x:v>
      </x:c>
    </x:row>
    <x:row r="9">
      <x:c r="A9" s="41" t="str">
        <x:v>Hydration</x:v>
      </x:c>
      <x:c r="B9" s="41" t="str">
        <x:v>Exertion water coefficient</x:v>
      </x:c>
      <x:c r="C9" s="47"/>
      <x:c r="D9" s="47" t="n">
        <x:v>0.55</x:v>
      </x:c>
      <x:c r="E9" s="41" t="str">
        <x:v>ml/kcal</x:v>
      </x:c>
      <x:c r="F9" s="41" t="str">
        <x:v>Model seed</x:v>
      </x:c>
    </x:row>
    <x:row r="10">
      <x:c r="A10" s="41" t="str">
        <x:v>Hydration</x:v>
      </x:c>
      <x:c r="B10" s="41" t="str">
        <x:v>Heat hydration multiplier</x:v>
      </x:c>
      <x:c r="C10" s="47"/>
      <x:c r="D10" s="47" t="n">
        <x:v>0.8</x:v>
      </x:c>
      <x:c r="E10" s="41" t="str">
        <x:v>factor</x:v>
      </x:c>
      <x:c r="F10" s="41" t="str">
        <x:v>Model seed</x:v>
      </x:c>
    </x:row>
    <x:row r="11">
      <x:c r="A11" s="41" t="str">
        <x:v>Workload</x:v>
      </x:c>
      <x:c r="B11" s="41" t="str">
        <x:v>Recovery threshold</x:v>
      </x:c>
      <x:c r="C11" s="47"/>
      <x:c r="D11" s="47" t="n">
        <x:v>1.8</x:v>
      </x:c>
      <x:c r="E11" s="41" t="str">
        <x:v>effective MET</x:v>
      </x:c>
      <x:c r="F11" s="41" t="str">
        <x:v>Model seed</x:v>
      </x:c>
    </x:row>
    <x:row r="12">
      <x:c r="A12" s="41" t="str">
        <x:v>Workload</x:v>
      </x:c>
      <x:c r="B12" s="41" t="str">
        <x:v>Stamina cost scale</x:v>
      </x:c>
      <x:c r="C12" s="47"/>
      <x:c r="D12" s="47" t="n">
        <x:v>0.45</x:v>
      </x:c>
      <x:c r="E12" s="41" t="str">
        <x:v>tuning unit</x:v>
      </x:c>
      <x:c r="F12" s="41" t="str">
        <x:v>Model seed</x:v>
      </x:c>
    </x:row>
    <x:row r="13">
      <x:c r="A13" s="41" t="str">
        <x:v>Skill</x:v>
      </x:c>
      <x:c r="B13" s="41" t="str">
        <x:v>Novice skill floor</x:v>
      </x:c>
      <x:c r="C13" s="47"/>
      <x:c r="D13" s="47" t="n">
        <x:v>0.35</x:v>
      </x:c>
      <x:c r="E13" s="41" t="str">
        <x:v>factor</x:v>
      </x:c>
      <x:c r="F13" s="41" t="str">
        <x:v>Prevents total inability</x:v>
      </x:c>
    </x:row>
    <x:row r="14">
      <x:c r="A14" s="41" t="str">
        <x:v>Fatigue</x:v>
      </x:c>
      <x:c r="B14" s="41" t="str">
        <x:v>Maximum output suppression</x:v>
      </x:c>
      <x:c r="C14" s="47"/>
      <x:c r="D14" s="47" t="n">
        <x:v>0.85</x:v>
      </x:c>
      <x:c r="E14" s="41" t="str">
        <x:v>factor</x:v>
      </x:c>
      <x:c r="F14" s="41" t="str">
        <x:v>Model seed</x:v>
      </x:c>
    </x:row>
    <x:row r="15">
      <x:c r="A15" s="41" t="str">
        <x:v>Thermal</x:v>
      </x:c>
      <x:c r="B15" s="41" t="str">
        <x:v>Metabolic cold offset</x:v>
      </x:c>
      <x:c r="C15" s="47"/>
      <x:c r="D15" s="47" t="n">
        <x:v>0.025</x:v>
      </x:c>
      <x:c r="E15" s="41" t="str">
        <x:v>pressure/min/MET</x:v>
      </x:c>
      <x:c r="F15" s="41" t="str">
        <x:v>Model seed</x:v>
      </x:c>
    </x:row>
    <x:row r="16">
      <x:c r="A16" s="41" t="str">
        <x:v>Thermal</x:v>
      </x:c>
      <x:c r="B16" s="41" t="str">
        <x:v>Heat intensity coefficient</x:v>
      </x:c>
      <x:c r="C16" s="47"/>
      <x:c r="D16" s="47" t="n">
        <x:v>0.18</x:v>
      </x:c>
      <x:c r="E16" s="41" t="str">
        <x:v>pressure/MET</x:v>
      </x:c>
      <x:c r="F16" s="41" t="str">
        <x:v>Model seed</x:v>
      </x:c>
    </x:row>
    <x:row r="17">
      <x:c r="A17" s="41" t="str">
        <x:v>Recovery</x:v>
      </x:c>
      <x:c r="B17" s="41" t="str">
        <x:v>Recovery-debt scale</x:v>
      </x:c>
      <x:c r="C17" s="47"/>
      <x:c r="D17" s="47" t="n">
        <x:v>0.35</x:v>
      </x:c>
      <x:c r="E17" s="41" t="str">
        <x:v>tuning unit</x:v>
      </x:c>
      <x:c r="F17" s="41" t="str">
        <x:v>Model seed</x:v>
      </x:c>
    </x:row>
    <x:row r="18">
      <x:c r="A18" s="41" t="str">
        <x:v>Safety</x:v>
      </x:c>
      <x:c r="B18" s="41" t="str">
        <x:v>Routine activity injury-risk target</x:v>
      </x:c>
      <x:c r="C18" s="49"/>
      <x:c r="D18" s="49" t="n">
        <x:v>0.05</x:v>
      </x:c>
      <x:c r="E18" s="41" t="str">
        <x:v>probability</x:v>
      </x:c>
      <x:c r="F18" s="41" t="str">
        <x:v>Design ceiling for ordinary prepared work</x:v>
      </x:c>
    </x:row>
    <x:row r="19">
      <x:c r="A19" s="41" t="str">
        <x:v>Time</x:v>
      </x:c>
      <x:c r="B19" s="41" t="str">
        <x:v>World time scale</x:v>
      </x:c>
      <x:c r="C19" s="47" t="n">
        <x:v>36</x:v>
      </x:c>
      <x:c r="D19" s="47" t="n">
        <x:v>36</x:v>
      </x:c>
      <x:c r="E19" s="41" t="str">
        <x:v>world sec / real sec</x:v>
      </x:c>
      <x:c r="F19" s="41" t="str">
        <x:v>Prototype and current target</x:v>
      </x:c>
    </x:row>
    <x:row r="20">
      <x:c r="A20" s="41" t="str">
        <x:v>Time</x:v>
      </x:c>
      <x:c r="B20" s="41" t="str">
        <x:v>Starting world hour</x:v>
      </x:c>
      <x:c r="C20" s="47" t="n">
        <x:v>18.25</x:v>
      </x:c>
      <x:c r="D20" s="47" t="n">
        <x:v>17.25</x:v>
      </x:c>
      <x:c r="E20" s="41" t="str">
        <x:v>hour</x:v>
      </x:c>
      <x:c r="F20" s="41" t="str">
        <x:v>Target gives ~175 real seconds to 19:00</x:v>
      </x:c>
    </x:row>
    <x:row r="21">
      <x:c r="A21" s="41" t="str">
        <x:v>Time</x:v>
      </x:c>
      <x:c r="B21" s="41" t="str">
        <x:v>Night start</x:v>
      </x:c>
      <x:c r="C21" s="47" t="n">
        <x:v>19</x:v>
      </x:c>
      <x:c r="D21" s="47" t="n">
        <x:v>19</x:v>
      </x:c>
      <x:c r="E21" s="41" t="str">
        <x:v>hour</x:v>
      </x:c>
      <x:c r="F21" s="41" t="str">
        <x:v>Prototype</x:v>
      </x:c>
    </x:row>
    <x:row r="22">
      <x:c r="A22" s="41" t="str">
        <x:v>Time</x:v>
      </x:c>
      <x:c r="B22" s="41" t="str">
        <x:v>Real seconds from control to night</x:v>
      </x:c>
      <x:c r="C22" s="47" t="n">
        <x:f>(C21-C20)*3600/C19</x:f>
        <x:v>75</x:v>
      </x:c>
      <x:c r="D22" s="47" t="n">
        <x:f>(D21-D20)*3600/D19</x:f>
        <x:v>175</x:v>
      </x:c>
      <x:c r="E22" s="41" t="str">
        <x:v>seconds</x:v>
      </x:c>
      <x:c r="F22" s="41" t="str">
        <x:v>Calculated</x:v>
      </x:c>
    </x:row>
    <x:row r="23">
      <x:c r="A23" s="41" t="str">
        <x:v>Arrival</x:v>
      </x:c>
      <x:c r="B23" s="41" t="str">
        <x:v>Starting warmth display</x:v>
      </x:c>
      <x:c r="C23" s="47" t="n">
        <x:v>72</x:v>
      </x:c>
      <x:c r="D23" s="47" t="n">
        <x:v>52</x:v>
      </x:c>
      <x:c r="E23" s="41" t="str">
        <x:v>0–100 display</x:v>
      </x:c>
      <x:c r="F23" s="41" t="str">
        <x:v>v2.4 first-life profile</x:v>
      </x:c>
    </x:row>
    <x:row r="24">
      <x:c r="A24" s="41" t="str">
        <x:v>Arrival</x:v>
      </x:c>
      <x:c r="B24" s="41" t="str">
        <x:v>Starting stamina display</x:v>
      </x:c>
      <x:c r="C24" s="47" t="n">
        <x:v>100</x:v>
      </x:c>
      <x:c r="D24" s="47" t="n">
        <x:v>42</x:v>
      </x:c>
      <x:c r="E24" s="41" t="str">
        <x:v>0–100 display</x:v>
      </x:c>
      <x:c r="F24" s="41" t="str">
        <x:v>v2.4 first-life profile</x:v>
      </x:c>
    </x:row>
    <x:row r="25">
      <x:c r="A25" s="41" t="str">
        <x:v>Thermal</x:v>
      </x:c>
      <x:c r="B25" s="41" t="str">
        <x:v>Shelter heat-loss multiplier</x:v>
      </x:c>
      <x:c r="C25" s="47" t="n">
        <x:v>0.28</x:v>
      </x:c>
      <x:c r="D25" s="47" t="n">
        <x:v>0.55</x:v>
      </x:c>
      <x:c r="E25" s="41" t="str">
        <x:v>factor</x:v>
      </x:c>
      <x:c r="F25" s="41" t="str">
        <x:v>Target = roughly 45% reduction</x:v>
      </x:c>
    </x:row>
    <x:row r="26">
      <x:c r="A26" s="41" t="str">
        <x:v>Fire</x:v>
      </x:c>
      <x:c r="B26" s="41" t="str">
        <x:v>Useful duration per wood load</x:v>
      </x:c>
      <x:c r="C26" s="47" t="n">
        <x:f>75/(0.18*C19)</x:f>
        <x:v>11.574074074074074</x:v>
      </x:c>
      <x:c r="D26" s="47" t="n">
        <x:v>75</x:v>
      </x:c>
      <x:c r="E26" s="41" t="str">
        <x:v>real seconds</x:v>
      </x:c>
      <x:c r="F26" s="41" t="str">
        <x:v>Target band 60–90 seconds</x:v>
      </x:c>
    </x:row>
    <x:row r="27">
      <x:c r="A27" s="41" t="str">
        <x:v>Thermal</x:v>
      </x:c>
      <x:c r="B27" s="41" t="str">
        <x:v>First meaningful cold pressure</x:v>
      </x:c>
      <x:c r="C27" s="47" t="n">
        <x:v>75</x:v>
      </x:c>
      <x:c r="D27" s="47" t="n">
        <x:v>165</x:v>
      </x:c>
      <x:c r="E27" s="41" t="str">
        <x:v>real seconds</x:v>
      </x:c>
      <x:c r="F27" s="41" t="str">
        <x:v>Target band 150–180 seconds</x:v>
      </x:c>
    </x:row>
    <x:row r="28">
      <x:c r="A28" s="41" t="str">
        <x:v>Resources</x:v>
      </x:c>
      <x:c r="B28" s="41" t="str">
        <x:v>Authored driftwood + deadfall</x:v>
      </x:c>
      <x:c r="C28" s="47" t="n">
        <x:v>61</x:v>
      </x:c>
      <x:c r="D28" s="47"/>
      <x:c r="E28" s="41" t="str">
        <x:v>units</x:v>
      </x:c>
      <x:c r="F28" s="41" t="str">
        <x:v>56 driftwood + 5 deadfall</x:v>
      </x:c>
    </x:row>
    <x:row r="29">
      <x:c r="A29" s="41" t="str">
        <x:v>Resources</x:v>
      </x:c>
      <x:c r="B29" s="41" t="str">
        <x:v>Authored stone</x:v>
      </x:c>
      <x:c r="C29" s="47" t="n">
        <x:v>46</x:v>
      </x:c>
      <x:c r="D29" s="47"/>
      <x:c r="E29" s="41" t="str">
        <x:v>units</x:v>
      </x:c>
      <x:c r="F29" s="41" t="str">
        <x:v>Prototype world total</x:v>
      </x:c>
    </x:row>
    <x:row r="30">
      <x:c r="A30" s="42" t="str">
        <x:v>Resources</x:v>
      </x:c>
      <x:c r="B30" s="42" t="str">
        <x:v>Authored plant fiber</x:v>
      </x:c>
      <x:c r="C30" s="48" t="n">
        <x:v>24</x:v>
      </x:c>
      <x:c r="D30" s="48"/>
      <x:c r="E30" s="42" t="str">
        <x:v>units</x:v>
      </x:c>
      <x:c r="F30" s="42" t="str">
        <x:v>Prototype world total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1" hidden="0" customWidth="1"/>
    <x:col min="13" max="13" width="15" hidden="0" customWidth="1"/>
    <x:col min="14" max="14" width="12" hidden="0" customWidth="1"/>
    <x:col min="15" max="15" width="14" hidden="0" customWidth="1"/>
    <x:col min="16" max="16" width="13" hidden="0" customWidth="1"/>
    <x:col min="17" max="17" width="13" hidden="0" customWidth="1"/>
    <x:col min="18" max="18" width="15" hidden="0" customWidth="1"/>
    <x:col min="19" max="19" width="12" hidden="0" customWidth="1"/>
    <x:col min="20" max="20" width="13" hidden="0" customWidth="1"/>
    <x:col min="21" max="21" width="13" hidden="0" customWidth="1"/>
    <x:col min="22" max="22" width="14" hidden="0" customWidth="1"/>
    <x:col min="23" max="23" width="13" hidden="0" customWidth="1"/>
  </x:cols>
  <x:sheetData>
    <x:row r="1" ht="30" customHeight="1">
      <x:c r="A1" s="3" t="str">
        <x:v>Shared Activity Resolution — Seed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7" t="str">
        <x:v>Editable inputs A:L; formula outputs M:W. Outputs are comparative tuning values, not medical predictions.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0" customHeight="1">
      <x:c r="A4" s="30" t="str">
        <x:v>Activity</x:v>
      </x:c>
      <x:c r="B4" s="31" t="str">
        <x:v>Duration min</x:v>
      </x:c>
      <x:c r="C4" s="31" t="str">
        <x:v>Base MET</x:v>
      </x:c>
      <x:c r="D4" s="31" t="str">
        <x:v>Load kg</x:v>
      </x:c>
      <x:c r="E4" s="31" t="str">
        <x:v>Heat 0–1</x:v>
      </x:c>
      <x:c r="F4" s="31" t="str">
        <x:v>Cold 0–1</x:v>
      </x:c>
      <x:c r="G4" s="31" t="str">
        <x:v>Wetness 0–1</x:v>
      </x:c>
      <x:c r="H4" s="31" t="str">
        <x:v>Skill 0–1</x:v>
      </x:c>
      <x:c r="I4" s="31" t="str">
        <x:v>Tool efficiency</x:v>
      </x:c>
      <x:c r="J4" s="31" t="str">
        <x:v>Fatigue 0–1</x:v>
      </x:c>
      <x:c r="K4" s="31" t="str">
        <x:v>Novelty 0–1</x:v>
      </x:c>
      <x:c r="L4" s="31" t="str">
        <x:v>Hazard / hr</x:v>
      </x:c>
      <x:c r="M4" s="31" t="str">
        <x:v>Effective intensity</x:v>
      </x:c>
      <x:c r="N4" s="31" t="str">
        <x:v>Energy kcal</x:v>
      </x:c>
      <x:c r="O4" s="31" t="str">
        <x:v>Hydration ml</x:v>
      </x:c>
      <x:c r="P4" s="31" t="str">
        <x:v>Stamina cost</x:v>
      </x:c>
      <x:c r="Q4" s="31" t="str">
        <x:v>Work output</x:v>
      </x:c>
      <x:c r="R4" s="31" t="str">
        <x:v>Learning stimulus</x:v>
      </x:c>
      <x:c r="S4" s="31" t="str">
        <x:v>Injury risk</x:v>
      </x:c>
      <x:c r="T4" s="31" t="str">
        <x:v>Cold pressure</x:v>
      </x:c>
      <x:c r="U4" s="31" t="str">
        <x:v>Heat pressure</x:v>
      </x:c>
      <x:c r="V4" s="31" t="str">
        <x:v>Recovery-debt delta</x:v>
      </x:c>
      <x:c r="W4" s="32" t="str">
        <x:v>Quality factor</x:v>
      </x:c>
    </x:row>
    <x:row r="5">
      <x:c r="A5" s="40" t="str">
        <x:v>Walk, unladen</x:v>
      </x:c>
      <x:c r="B5" s="40" t="n">
        <x:v>20</x:v>
      </x:c>
      <x:c r="C5" s="40" t="n">
        <x:v>3</x:v>
      </x:c>
      <x:c r="D5" s="40" t="n">
        <x:v>0</x:v>
      </x:c>
      <x:c r="E5" s="46" t="n">
        <x:v>0.2</x:v>
      </x:c>
      <x:c r="F5" s="46" t="n">
        <x:v>0.1</x:v>
      </x:c>
      <x:c r="G5" s="46" t="n">
        <x:v>0</x:v>
      </x:c>
      <x:c r="H5" s="46" t="n">
        <x:v>0.35</x:v>
      </x:c>
      <x:c r="I5" s="46" t="n">
        <x:v>1</x:v>
      </x:c>
      <x:c r="J5" s="46" t="n">
        <x:v>0.15</x:v>
      </x:c>
      <x:c r="K5" s="46" t="n">
        <x:v>0.25</x:v>
      </x:c>
      <x:c r="L5" s="46" t="n">
        <x:v>0.01</x:v>
      </x:c>
      <x:c r="M5" s="46" t="n">
        <x:f>C5*(1+(D5/'Balance Inputs'!D5)*'Balance Inputs'!D6)*(1+(1-H5)*'Balance Inputs'!D7)/MAX(0.25,I5)</x:f>
        <x:v>3.6825</x:v>
      </x:c>
      <x:c r="N5" s="46" t="n">
        <x:f>M5*3.5*'Balance Inputs'!D5/200*B5</x:f>
        <x:v>96.66562499999999</x:v>
      </x:c>
      <x:c r="O5" s="46" t="n">
        <x:f>B5*'Balance Inputs'!D8+N5*'Balance Inputs'!D9*(1+E5*'Balance Inputs'!D10)</x:f>
        <x:v>101.67266875000001</x:v>
      </x:c>
      <x:c r="P5" s="46" t="n">
        <x:f>MAX(0,M5-'Balance Inputs'!D11)*B5*'Balance Inputs'!D12*(1+J5)</x:f>
        <x:v>19.483874999999998</x:v>
      </x:c>
      <x:c r="Q5" s="46" t="n">
        <x:f>B5*I5*('Balance Inputs'!D13+(1-'Balance Inputs'!D13)*H5)*(1-J5*'Balance Inputs'!D14)</x:f>
        <x:v>10.077374999999998</x:v>
      </x:c>
      <x:c r="R5" s="46" t="n">
        <x:f>LN(1+B5)*K5*(0.25+0.75*(1-H5))*(1-J5*0.5)</x:f>
        <x:v>0.5192337876211119</x:v>
      </x:c>
      <x:c r="S5" s="50" t="n">
        <x:f>MIN(1,1-EXP(-L5*(B5/60)*(1+J5)*(1+D5/'Balance Inputs'!D5)*((2-H5)/MAX(0.25,I5))))</x:f>
        <x:v>0.00630503929349524</x:v>
      </x:c>
      <x:c r="T5" s="46" t="n">
        <x:f>MAX(0,B5*F5*(0.5+G5)-B5*M5*'Balance Inputs'!D15)</x:f>
        <x:v>0</x:v>
      </x:c>
      <x:c r="U5" s="46" t="n">
        <x:f>MAX(0,B5*E5*(0.5+M5*'Balance Inputs'!D16)-B5*F5*0.2)</x:f>
        <x:v>4.251399999999999</x:v>
      </x:c>
      <x:c r="V5" s="46" t="n">
        <x:f>IF(C5&lt;1.3,-B5*0.12*MAX(0,1-F5-G5)*(1-J5*0.5)+B5*(F5+G5)*0.08,B5*MAX(0,M5-2)*'Balance Inputs'!D17+J5*B5*0.15)</x:f>
        <x:v>12.227500000000001</x:v>
      </x:c>
      <x:c r="W5" s="46" t="n">
        <x:f>MAX(0.1,MIN(1.5,(0.35+0.65*H5)*I5*(1-0.45*J5)))</x:f>
        <x:v>0.5385187499999999</x:v>
      </x:c>
    </x:row>
    <x:row r="6">
      <x:c r="A6" s="41" t="str">
        <x:v>Walk with 15 kg</x:v>
      </x:c>
      <x:c r="B6" s="41" t="n">
        <x:v>20</x:v>
      </x:c>
      <x:c r="C6" s="41" t="n">
        <x:v>3.3</x:v>
      </x:c>
      <x:c r="D6" s="41" t="n">
        <x:v>15</x:v>
      </x:c>
      <x:c r="E6" s="47" t="n">
        <x:v>0.3</x:v>
      </x:c>
      <x:c r="F6" s="47" t="n">
        <x:v>0.1</x:v>
      </x:c>
      <x:c r="G6" s="47" t="n">
        <x:v>0</x:v>
      </x:c>
      <x:c r="H6" s="47" t="n">
        <x:v>0.35</x:v>
      </x:c>
      <x:c r="I6" s="47" t="n">
        <x:v>1</x:v>
      </x:c>
      <x:c r="J6" s="47" t="n">
        <x:v>0.25</x:v>
      </x:c>
      <x:c r="K6" s="47" t="n">
        <x:v>0.35</x:v>
      </x:c>
      <x:c r="L6" s="47" t="n">
        <x:v>0.02</x:v>
      </x:c>
      <x:c r="M6" s="47" t="n">
        <x:f>C6*(1+(D6/'Balance Inputs'!D5)*'Balance Inputs'!D6)*(1+(1-H6)*'Balance Inputs'!D7)/MAX(0.25,I6)</x:f>
        <x:v>4.69887</x:v>
      </x:c>
      <x:c r="N6" s="47" t="n">
        <x:f>M6*3.5*'Balance Inputs'!D5/200*B6</x:f>
        <x:v>123.3453375</x:v>
      </x:c>
      <x:c r="O6" s="47" t="n">
        <x:f>B6*'Balance Inputs'!D8+N6*'Balance Inputs'!D9*(1+E6*'Balance Inputs'!D10)</x:f>
        <x:v>124.12152017500001</x:v>
      </x:c>
      <x:c r="P6" s="47" t="n">
        <x:f>MAX(0,M6-'Balance Inputs'!D11)*B6*'Balance Inputs'!D12*(1+J6)</x:f>
        <x:v>32.61228750000001</x:v>
      </x:c>
      <x:c r="Q6" s="47" t="n">
        <x:f>B6*I6*('Balance Inputs'!D13+(1-'Balance Inputs'!D13)*H6)*(1-J6*'Balance Inputs'!D14)</x:f>
        <x:v>9.095624999999998</x:v>
      </x:c>
      <x:c r="R6" s="47" t="n">
        <x:f>LN(1+B6)*K6*(0.25+0.75*(1-H6))*(1-J6*0.5)</x:f>
        <x:v>0.6876339349576888</x:v>
      </x:c>
      <x:c r="S6" s="49" t="n">
        <x:f>MIN(1,1-EXP(-L6*(B6/60)*(1+J6)*(1+D6/'Balance Inputs'!D5)*((2-H6)/MAX(0.25,I6))))</x:f>
        <x:v>0.01636462060932764</x:v>
      </x:c>
      <x:c r="T6" s="47" t="n">
        <x:f>MAX(0,B6*F6*(0.5+G6)-B6*M6*'Balance Inputs'!D15)</x:f>
        <x:v>0</x:v>
      </x:c>
      <x:c r="U6" s="47" t="n">
        <x:f>MAX(0,B6*E6*(0.5+M6*'Balance Inputs'!D16)-B6*F6*0.2)</x:f>
        <x:v>7.674779599999999</x:v>
      </x:c>
      <x:c r="V6" s="47" t="n">
        <x:f>IF(C6&lt;1.3,-B6*0.12*MAX(0,1-F6-G6)*(1-J6*0.5)+B6*(F6+G6)*0.08,B6*MAX(0,M6-2)*'Balance Inputs'!D17+J6*B6*0.15)</x:f>
        <x:v>19.64209</x:v>
      </x:c>
      <x:c r="W6" s="47" t="n">
        <x:f>MAX(0.1,MIN(1.5,(0.35+0.65*H6)*I6*(1-0.45*J6)))</x:f>
        <x:v>0.5125312499999999</x:v>
      </x:c>
    </x:row>
    <x:row r="7">
      <x:c r="A7" s="41" t="str">
        <x:v>Carry awkward 30 kg panel</x:v>
      </x:c>
      <x:c r="B7" s="41" t="n">
        <x:v>8</x:v>
      </x:c>
      <x:c r="C7" s="41" t="n">
        <x:v>5</x:v>
      </x:c>
      <x:c r="D7" s="41" t="n">
        <x:v>30</x:v>
      </x:c>
      <x:c r="E7" s="47" t="n">
        <x:v>0.5</x:v>
      </x:c>
      <x:c r="F7" s="47" t="n">
        <x:v>0.1</x:v>
      </x:c>
      <x:c r="G7" s="47" t="n">
        <x:v>0.3</x:v>
      </x:c>
      <x:c r="H7" s="47" t="n">
        <x:v>0.25</x:v>
      </x:c>
      <x:c r="I7" s="47" t="n">
        <x:v>0.65</x:v>
      </x:c>
      <x:c r="J7" s="47" t="n">
        <x:v>0.35</x:v>
      </x:c>
      <x:c r="K7" s="47" t="n">
        <x:v>0.75</x:v>
      </x:c>
      <x:c r="L7" s="47" t="n">
        <x:v>0.1</x:v>
      </x:c>
      <x:c r="M7" s="47" t="n">
        <x:f>C7*(1+(D7/'Balance Inputs'!D5)*'Balance Inputs'!D6)*(1+(1-H7)*'Balance Inputs'!D7)/MAX(0.25,I7)</x:f>
        <x:v>12.819230769230769</x:v>
      </x:c>
      <x:c r="N7" s="47" t="n">
        <x:f>M7*3.5*'Balance Inputs'!D5/200*B7</x:f>
        <x:v>134.60192307692307</x:v>
      </x:c>
      <x:c r="O7" s="47" t="n">
        <x:f>B7*'Balance Inputs'!D8+N7*'Balance Inputs'!D9*(1+E7*'Balance Inputs'!D10)</x:f>
        <x:v>119.64348076923078</x:v>
      </x:c>
      <x:c r="P7" s="47" t="n">
        <x:f>MAX(0,M7-'Balance Inputs'!D11)*B7*'Balance Inputs'!D12*(1+J7)</x:f>
        <x:v>53.553461538461534</x:v>
      </x:c>
      <x:c r="Q7" s="47" t="n">
        <x:f>B7*I7*('Balance Inputs'!D13+(1-'Balance Inputs'!D13)*H7)*(1-J7*'Balance Inputs'!D14)</x:f>
        <x:v>1.8721625</x:v>
      </x:c>
      <x:c r="R7" s="47" t="n">
        <x:f>LN(1+B7)*K7*(0.25+0.75*(1-H7))*(1-J7*0.5)</x:f>
        <x:v>1.1046203246217634</x:v>
      </x:c>
      <x:c r="S7" s="49" t="n">
        <x:f>MIN(1,1-EXP(-L7*(B7/60)*(1+J7)*(1+D7/'Balance Inputs'!D5)*((2-H7)/MAX(0.25,I7))))</x:f>
        <x:v>0.06559578298533209</x:v>
      </x:c>
      <x:c r="T7" s="47" t="n">
        <x:f>MAX(0,B7*F7*(0.5+G7)-B7*M7*'Balance Inputs'!D15)</x:f>
        <x:v>0</x:v>
      </x:c>
      <x:c r="U7" s="47" t="n">
        <x:f>MAX(0,B7*E7*(0.5+M7*'Balance Inputs'!D16)-B7*F7*0.2)</x:f>
        <x:v>11.069846153846154</x:v>
      </x:c>
      <x:c r="V7" s="47" t="n">
        <x:f>IF(C7&lt;1.3,-B7*0.12*MAX(0,1-F7-G7)*(1-J7*0.5)+B7*(F7+G7)*0.08,B7*MAX(0,M7-2)*'Balance Inputs'!D17+J7*B7*0.15)</x:f>
        <x:v>30.713846153846152</x:v>
      </x:c>
      <x:c r="W7" s="47" t="n">
        <x:f>MAX(0.1,MIN(1.5,(0.35+0.65*H7)*I7*(1-0.45*J7)))</x:f>
        <x:v>0.2806578125</x:v>
      </x:c>
    </x:row>
    <x:row r="8">
      <x:c r="A8" s="41" t="str">
        <x:v>Sprint, unladen</x:v>
      </x:c>
      <x:c r="B8" s="41" t="n">
        <x:v>2</x:v>
      </x:c>
      <x:c r="C8" s="41" t="n">
        <x:v>8</x:v>
      </x:c>
      <x:c r="D8" s="41" t="n">
        <x:v>0</x:v>
      </x:c>
      <x:c r="E8" s="47" t="n">
        <x:v>0.35</x:v>
      </x:c>
      <x:c r="F8" s="47" t="n">
        <x:v>0.05</x:v>
      </x:c>
      <x:c r="G8" s="47" t="n">
        <x:v>0</x:v>
      </x:c>
      <x:c r="H8" s="47" t="n">
        <x:v>0.4</x:v>
      </x:c>
      <x:c r="I8" s="47" t="n">
        <x:v>1</x:v>
      </x:c>
      <x:c r="J8" s="47" t="n">
        <x:v>0.25</x:v>
      </x:c>
      <x:c r="K8" s="47" t="n">
        <x:v>0.2</x:v>
      </x:c>
      <x:c r="L8" s="47" t="n">
        <x:v>0.04</x:v>
      </x:c>
      <x:c r="M8" s="47" t="n">
        <x:f>C8*(1+(D8/'Balance Inputs'!D5)*'Balance Inputs'!D6)*(1+(1-H8)*'Balance Inputs'!D7)/MAX(0.25,I8)</x:f>
        <x:v>9.68</x:v>
      </x:c>
      <x:c r="N8" s="47" t="n">
        <x:f>M8*3.5*'Balance Inputs'!D5/200*B8</x:f>
        <x:v>25.409999999999997</x:v>
      </x:c>
      <x:c r="O8" s="47" t="n">
        <x:f>B8*'Balance Inputs'!D8+N8*'Balance Inputs'!D9*(1+E8*'Balance Inputs'!D10)</x:f>
        <x:v>21.88864</x:v>
      </x:c>
      <x:c r="P8" s="47" t="n">
        <x:f>MAX(0,M8-'Balance Inputs'!D11)*B8*'Balance Inputs'!D12*(1+J8)</x:f>
        <x:v>8.865</x:v>
      </x:c>
      <x:c r="Q8" s="47" t="n">
        <x:f>B8*I8*('Balance Inputs'!D13+(1-'Balance Inputs'!D13)*H8)*(1-J8*'Balance Inputs'!D14)</x:f>
        <x:v>0.96075</x:v>
      </x:c>
      <x:c r="R8" s="47" t="n">
        <x:f>LN(1+B8)*K8*(0.25+0.75*(1-H8))*(1-J8*0.5)</x:f>
        <x:v>0.13458000536184342</x:v>
      </x:c>
      <x:c r="S8" s="49" t="n">
        <x:f>MIN(1,1-EXP(-L8*(B8/60)*(1+J8)*(1+D8/'Balance Inputs'!D5)*((2-H8)/MAX(0.25,I8))))</x:f>
        <x:v>0.002663114269499056</x:v>
      </x:c>
      <x:c r="T8" s="47" t="n">
        <x:f>MAX(0,B8*F8*(0.5+G8)-B8*M8*'Balance Inputs'!D15)</x:f>
        <x:v>0</x:v>
      </x:c>
      <x:c r="U8" s="47" t="n">
        <x:f>MAX(0,B8*E8*(0.5+M8*'Balance Inputs'!D16)-B8*F8*0.2)</x:f>
        <x:v>1.54968</x:v>
      </x:c>
      <x:c r="V8" s="47" t="n">
        <x:f>IF(C8&lt;1.3,-B8*0.12*MAX(0,1-F8-G8)*(1-J8*0.5)+B8*(F8+G8)*0.08,B8*MAX(0,M8-2)*'Balance Inputs'!D17+J8*B8*0.15)</x:f>
        <x:v>5.451</x:v>
      </x:c>
      <x:c r="W8" s="47" t="n">
        <x:f>MAX(0.1,MIN(1.5,(0.35+0.65*H8)*I8*(1-0.45*J8)))</x:f>
        <x:v>0.5413749999999999</x:v>
      </x:c>
    </x:row>
    <x:row r="9">
      <x:c r="A9" s="41" t="str">
        <x:v>Chop wood, crude tool</x:v>
      </x:c>
      <x:c r="B9" s="41" t="n">
        <x:v>10</x:v>
      </x:c>
      <x:c r="C9" s="41" t="n">
        <x:v>6</x:v>
      </x:c>
      <x:c r="D9" s="41" t="n">
        <x:v>2</x:v>
      </x:c>
      <x:c r="E9" s="47" t="n">
        <x:v>0.25</x:v>
      </x:c>
      <x:c r="F9" s="47" t="n">
        <x:v>0.15</x:v>
      </x:c>
      <x:c r="G9" s="47" t="n">
        <x:v>0</x:v>
      </x:c>
      <x:c r="H9" s="47" t="n">
        <x:v>0.25</x:v>
      </x:c>
      <x:c r="I9" s="47" t="n">
        <x:v>0.55</x:v>
      </x:c>
      <x:c r="J9" s="47" t="n">
        <x:v>0.25</x:v>
      </x:c>
      <x:c r="K9" s="47" t="n">
        <x:v>0.65</x:v>
      </x:c>
      <x:c r="L9" s="47" t="n">
        <x:v>0.08</x:v>
      </x:c>
      <x:c r="M9" s="47" t="n">
        <x:f>C9*(1+(D9/'Balance Inputs'!D5)*'Balance Inputs'!D6)*(1+(1-H9)*'Balance Inputs'!D7)/MAX(0.25,I9)</x:f>
        <x:v>14.066545454545453</x:v>
      </x:c>
      <x:c r="N9" s="47" t="n">
        <x:f>M9*3.5*'Balance Inputs'!D5/200*B9</x:f>
        <x:v>184.6234090909091</x:v>
      </x:c>
      <x:c r="O9" s="47" t="n">
        <x:f>B9*'Balance Inputs'!D8+N9*'Balance Inputs'!D9*(1+E9*'Balance Inputs'!D10)</x:f>
        <x:v>141.85145</x:v>
      </x:c>
      <x:c r="P9" s="47" t="n">
        <x:f>MAX(0,M9-'Balance Inputs'!D11)*B9*'Balance Inputs'!D12*(1+J9)</x:f>
        <x:v>68.99931818181817</x:v>
      </x:c>
      <x:c r="Q9" s="47" t="n">
        <x:f>B9*I9*('Balance Inputs'!D13+(1-'Balance Inputs'!D13)*H9)*(1-J9*'Balance Inputs'!D14)</x:f>
        <x:v>2.2197656249999995</x:v>
      </x:c>
      <x:c r="R9" s="47" t="n">
        <x:f>LN(1+B9)*K9*(0.25+0.75*(1-H9))*(1-J9*0.5)</x:f>
        <x:v>1.1080898858283097</x:v>
      </x:c>
      <x:c r="S9" s="49" t="n">
        <x:f>MIN(1,1-EXP(-L9*(B9/60)*(1+J9)*(1+D9/'Balance Inputs'!D5)*((2-H9)/MAX(0.25,I9))))</x:f>
        <x:v>0.052988880874744515</x:v>
      </x:c>
      <x:c r="T9" s="47" t="n">
        <x:f>MAX(0,B9*F9*(0.5+G9)-B9*M9*'Balance Inputs'!D15)</x:f>
        <x:v>0</x:v>
      </x:c>
      <x:c r="U9" s="47" t="n">
        <x:f>MAX(0,B9*E9*(0.5+M9*'Balance Inputs'!D16)-B9*F9*0.2)</x:f>
        <x:v>7.279945454545454</x:v>
      </x:c>
      <x:c r="V9" s="47" t="n">
        <x:f>IF(C9&lt;1.3,-B9*0.12*MAX(0,1-F9-G9)*(1-J9*0.5)+B9*(F9+G9)*0.08,B9*MAX(0,M9-2)*'Balance Inputs'!D17+J9*B9*0.15)</x:f>
        <x:v>42.60790909090908</x:v>
      </x:c>
      <x:c r="W9" s="47" t="n">
        <x:f>MAX(0.1,MIN(1.5,(0.35+0.65*H9)*I9*(1-0.45*J9)))</x:f>
        <x:v>0.25016406249999995</x:v>
      </x:c>
    </x:row>
    <x:row r="10">
      <x:c r="A10" s="41" t="str">
        <x:v>Mine stone, crude hammer</x:v>
      </x:c>
      <x:c r="B10" s="41" t="n">
        <x:v>10</x:v>
      </x:c>
      <x:c r="C10" s="41" t="n">
        <x:v>7</x:v>
      </x:c>
      <x:c r="D10" s="41" t="n">
        <x:v>3</x:v>
      </x:c>
      <x:c r="E10" s="47" t="n">
        <x:v>0.35</x:v>
      </x:c>
      <x:c r="F10" s="47" t="n">
        <x:v>0.05</x:v>
      </x:c>
      <x:c r="G10" s="47" t="n">
        <x:v>0</x:v>
      </x:c>
      <x:c r="H10" s="47" t="n">
        <x:v>0.2</x:v>
      </x:c>
      <x:c r="I10" s="47" t="n">
        <x:v>0.5</x:v>
      </x:c>
      <x:c r="J10" s="47" t="n">
        <x:v>0.3</x:v>
      </x:c>
      <x:c r="K10" s="47" t="n">
        <x:v>0.7</x:v>
      </x:c>
      <x:c r="L10" s="47" t="n">
        <x:v>0.1</x:v>
      </x:c>
      <x:c r="M10" s="47" t="n">
        <x:f>C10*(1+(D10/'Balance Inputs'!D5)*'Balance Inputs'!D6)*(1+(1-H10)*'Balance Inputs'!D7)/MAX(0.25,I10)</x:f>
        <x:v>18.49344</x:v>
      </x:c>
      <x:c r="N10" s="47" t="n">
        <x:f>M10*3.5*'Balance Inputs'!D5/200*B10</x:f>
        <x:v>242.7264</x:v>
      </x:c>
      <x:c r="O10" s="47" t="n">
        <x:f>B10*'Balance Inputs'!D8+N10*'Balance Inputs'!D9*(1+E10*'Balance Inputs'!D10)</x:f>
        <x:v>190.87938560000003</x:v>
      </x:c>
      <x:c r="P10" s="47" t="n">
        <x:f>MAX(0,M10-'Balance Inputs'!D11)*B10*'Balance Inputs'!D12*(1+J10)</x:f>
        <x:v>97.65662400000001</x:v>
      </x:c>
      <x:c r="Q10" s="47" t="n">
        <x:f>B10*I10*('Balance Inputs'!D13+(1-'Balance Inputs'!D13)*H10)*(1-J10*'Balance Inputs'!D14)</x:f>
        <x:v>1.788</x:v>
      </x:c>
      <x:c r="R10" s="47" t="n">
        <x:f>LN(1+B10)*K10*(0.25+0.75*(1-H10))*(1-J10*0.5)</x:f>
        <x:v>1.2127355342177761</x:v>
      </x:c>
      <x:c r="S10" s="49" t="n">
        <x:f>MIN(1,1-EXP(-L10*(B10/60)*(1+J10)*(1+D10/'Balance Inputs'!D5)*((2-H10)/MAX(0.25,I10))))</x:f>
        <x:v>0.07791696515883628</x:v>
      </x:c>
      <x:c r="T10" s="47" t="n">
        <x:f>MAX(0,B10*F10*(0.5+G10)-B10*M10*'Balance Inputs'!D15)</x:f>
        <x:v>0</x:v>
      </x:c>
      <x:c r="U10" s="47" t="n">
        <x:f>MAX(0,B10*E10*(0.5+M10*'Balance Inputs'!D16)-B10*F10*0.2)</x:f>
        <x:v>13.3008672</x:v>
      </x:c>
      <x:c r="V10" s="47" t="n">
        <x:f>IF(C10&lt;1.3,-B10*0.12*MAX(0,1-F10-G10)*(1-J10*0.5)+B10*(F10+G10)*0.08,B10*MAX(0,M10-2)*'Balance Inputs'!D17+J10*B10*0.15)</x:f>
        <x:v>58.17703999999999</x:v>
      </x:c>
      <x:c r="W10" s="47" t="n">
        <x:f>MAX(0.1,MIN(1.5,(0.35+0.65*H10)*I10*(1-0.45*J10)))</x:f>
        <x:v>0.20759999999999998</x:v>
      </x:c>
    </x:row>
    <x:row r="11">
      <x:c r="A11" s="41" t="str">
        <x:v>Inspect wreck in shade</x:v>
      </x:c>
      <x:c r="B11" s="41" t="n">
        <x:v>12</x:v>
      </x:c>
      <x:c r="C11" s="41" t="n">
        <x:v>1.8</x:v>
      </x:c>
      <x:c r="D11" s="41" t="n">
        <x:v>0</x:v>
      </x:c>
      <x:c r="E11" s="47" t="n">
        <x:v>0.15</x:v>
      </x:c>
      <x:c r="F11" s="47" t="n">
        <x:v>0.1</x:v>
      </x:c>
      <x:c r="G11" s="47" t="n">
        <x:v>0</x:v>
      </x:c>
      <x:c r="H11" s="47" t="n">
        <x:v>0.3</x:v>
      </x:c>
      <x:c r="I11" s="47" t="n">
        <x:v>1</x:v>
      </x:c>
      <x:c r="J11" s="47" t="n">
        <x:v>0.1</x:v>
      </x:c>
      <x:c r="K11" s="47" t="n">
        <x:v>0.8</x:v>
      </x:c>
      <x:c r="L11" s="47" t="n">
        <x:v>0.02</x:v>
      </x:c>
      <x:c r="M11" s="47" t="n">
        <x:f>C11*(1+(D11/'Balance Inputs'!D5)*'Balance Inputs'!D6)*(1+(1-H11)*'Balance Inputs'!D7)/MAX(0.25,I11)</x:f>
        <x:v>2.2409999999999997</x:v>
      </x:c>
      <x:c r="N11" s="47" t="n">
        <x:f>M11*3.5*'Balance Inputs'!D5/200*B11</x:f>
        <x:v>35.29575</x:v>
      </x:c>
      <x:c r="O11" s="47" t="n">
        <x:f>B11*'Balance Inputs'!D8+N11*'Balance Inputs'!D9*(1+E11*'Balance Inputs'!D10)</x:f>
        <x:v>45.742182</x:v>
      </x:c>
      <x:c r="P11" s="47" t="n">
        <x:f>MAX(0,M11-'Balance Inputs'!D11)*B11*'Balance Inputs'!D12*(1+J11)</x:f>
        <x:v>2.619539999999998</x:v>
      </x:c>
      <x:c r="Q11" s="47" t="n">
        <x:f>B11*I11*('Balance Inputs'!D13+(1-'Balance Inputs'!D13)*H11)*(1-J11*'Balance Inputs'!D14)</x:f>
        <x:v>5.9841</x:v>
      </x:c>
      <x:c r="R11" s="47" t="n">
        <x:f>LN(1+B11)*K11*(0.25+0.75*(1-H11))*(1-J11*0.5)</x:f>
        <x:v>1.510755171544845</x:v>
      </x:c>
      <x:c r="S11" s="49" t="n">
        <x:f>MIN(1,1-EXP(-L11*(B11/60)*(1+J11)*(1+D11/'Balance Inputs'!D5)*((2-H11)/MAX(0.25,I11))))</x:f>
        <x:v>0.007452094421258271</x:v>
      </x:c>
      <x:c r="T11" s="47" t="n">
        <x:f>MAX(0,B11*F11*(0.5+G11)-B11*M11*'Balance Inputs'!D15)</x:f>
        <x:v>0</x:v>
      </x:c>
      <x:c r="U11" s="47" t="n">
        <x:f>MAX(0,B11*E11*(0.5+M11*'Balance Inputs'!D16)-B11*F11*0.2)</x:f>
        <x:v>1.3860839999999996</x:v>
      </x:c>
      <x:c r="V11" s="47" t="n">
        <x:f>IF(C11&lt;1.3,-B11*0.12*MAX(0,1-F11-G11)*(1-J11*0.5)+B11*(F11+G11)*0.08,B11*MAX(0,M11-2)*'Balance Inputs'!D17+J11*B11*0.15)</x:f>
        <x:v>1.1921999999999984</x:v>
      </x:c>
      <x:c r="W11" s="47" t="n">
        <x:f>MAX(0.1,MIN(1.5,(0.35+0.65*H11)*I11*(1-0.45*J11)))</x:f>
        <x:v>0.5204749999999999</x:v>
      </x:c>
    </x:row>
    <x:row r="12">
      <x:c r="A12" s="41" t="str">
        <x:v>Force seized fitting on moving hull</x:v>
      </x:c>
      <x:c r="B12" s="41" t="n">
        <x:v>6</x:v>
      </x:c>
      <x:c r="C12" s="41" t="n">
        <x:v>5.5</x:v>
      </x:c>
      <x:c r="D12" s="41" t="n">
        <x:v>1</x:v>
      </x:c>
      <x:c r="E12" s="47" t="n">
        <x:v>0.45</x:v>
      </x:c>
      <x:c r="F12" s="47" t="n">
        <x:v>0.2</x:v>
      </x:c>
      <x:c r="G12" s="47" t="n">
        <x:v>0.4</x:v>
      </x:c>
      <x:c r="H12" s="47" t="n">
        <x:v>0.25</x:v>
      </x:c>
      <x:c r="I12" s="47" t="n">
        <x:v>0.55</x:v>
      </x:c>
      <x:c r="J12" s="47" t="n">
        <x:v>0.45</x:v>
      </x:c>
      <x:c r="K12" s="47" t="n">
        <x:v>0.65</x:v>
      </x:c>
      <x:c r="L12" s="47" t="n">
        <x:v>0.18</x:v>
      </x:c>
      <x:c r="M12" s="47" t="n">
        <x:f>C12*(1+(D12/'Balance Inputs'!D5)*'Balance Inputs'!D6)*(1+(1-H12)*'Balance Inputs'!D7)/MAX(0.25,I12)</x:f>
        <x:v>12.759666666666664</x:v>
      </x:c>
      <x:c r="N12" s="47" t="n">
        <x:f>M12*3.5*'Balance Inputs'!D5/200*B12</x:f>
        <x:v>100.48237499999999</x:v>
      </x:c>
      <x:c r="O12" s="47" t="n">
        <x:f>B12*'Balance Inputs'!D8+N12*'Balance Inputs'!D9*(1+E12*'Balance Inputs'!D10)</x:f>
        <x:v>87.16081650000001</x:v>
      </x:c>
      <x:c r="P12" s="47" t="n">
        <x:f>MAX(0,M12-'Balance Inputs'!D11)*B12*'Balance Inputs'!D12*(1+J12)</x:f>
        <x:v>42.90709499999999</x:v>
      </x:c>
      <x:c r="Q12" s="47" t="n">
        <x:f>B12*I12*('Balance Inputs'!D13+(1-'Balance Inputs'!D13)*H12)*(1-J12*'Balance Inputs'!D14)</x:f>
        <x:v>1.0443468749999998</x:v>
      </x:c>
      <x:c r="R12" s="47" t="n">
        <x:f>LN(1+B12)*K12*(0.25+0.75*(1-H12))*(1-J12*0.5)</x:f>
        <x:v>0.796454943039124</x:v>
      </x:c>
      <x:c r="S12" s="49" t="n">
        <x:f>MIN(1,1-EXP(-L12*(B12/60)*(1+J12)*(1+D12/'Balance Inputs'!D5)*((2-H12)/MAX(0.25,I12))))</x:f>
        <x:v>0.08070915541047285</x:v>
      </x:c>
      <x:c r="T12" s="47" t="n">
        <x:f>MAX(0,B12*F12*(0.5+G12)-B12*M12*'Balance Inputs'!D15)</x:f>
        <x:v>0</x:v>
      </x:c>
      <x:c r="U12" s="47" t="n">
        <x:f>MAX(0,B12*E12*(0.5+M12*'Balance Inputs'!D16)-B12*F12*0.2)</x:f>
        <x:v>7.311197999999998</x:v>
      </x:c>
      <x:c r="V12" s="47" t="n">
        <x:f>IF(C12&lt;1.3,-B12*0.12*MAX(0,1-F12-G12)*(1-J12*0.5)+B12*(F12+G12)*0.08,B12*MAX(0,M12-2)*'Balance Inputs'!D17+J12*B12*0.15)</x:f>
        <x:v>23.000299999999996</x:v>
      </x:c>
      <x:c r="W12" s="47" t="n">
        <x:f>MAX(0.1,MIN(1.5,(0.35+0.65*H12)*I12*(1-0.45*J12)))</x:f>
        <x:v>0.22479531249999998</x:v>
      </x:c>
    </x:row>
    <x:row r="13">
      <x:c r="A13" s="41" t="str">
        <x:v>Maker Lab experiment</x:v>
      </x:c>
      <x:c r="B13" s="41" t="n">
        <x:v>15</x:v>
      </x:c>
      <x:c r="C13" s="41" t="n">
        <x:v>2</x:v>
      </x:c>
      <x:c r="D13" s="41" t="n">
        <x:v>0</x:v>
      </x:c>
      <x:c r="E13" s="47" t="n">
        <x:v>0.1</x:v>
      </x:c>
      <x:c r="F13" s="47" t="n">
        <x:v>0.05</x:v>
      </x:c>
      <x:c r="G13" s="47" t="n">
        <x:v>0</x:v>
      </x:c>
      <x:c r="H13" s="47" t="n">
        <x:v>0.25</x:v>
      </x:c>
      <x:c r="I13" s="47" t="n">
        <x:v>0.9</x:v>
      </x:c>
      <x:c r="J13" s="47" t="n">
        <x:v>0.15</x:v>
      </x:c>
      <x:c r="K13" s="47" t="n">
        <x:v>0.95</x:v>
      </x:c>
      <x:c r="L13" s="47" t="n">
        <x:v>0.03</x:v>
      </x:c>
      <x:c r="M13" s="47" t="n">
        <x:f>C13*(1+(D13/'Balance Inputs'!D5)*'Balance Inputs'!D6)*(1+(1-H13)*'Balance Inputs'!D7)/MAX(0.25,I13)</x:f>
        <x:v>2.8055555555555554</x:v>
      </x:c>
      <x:c r="N13" s="47" t="n">
        <x:f>M13*3.5*'Balance Inputs'!D5/200*B13</x:f>
        <x:v>55.23437499999999</x:v>
      </x:c>
      <x:c r="O13" s="47" t="n">
        <x:f>B13*'Balance Inputs'!D8+N13*'Balance Inputs'!D9*(1+E13*'Balance Inputs'!D10)</x:f>
        <x:v>62.80921875</x:v>
      </x:c>
      <x:c r="P13" s="47" t="n">
        <x:f>MAX(0,M13-'Balance Inputs'!D11)*B13*'Balance Inputs'!D12*(1+J13)</x:f>
        <x:v>7.805624999999998</x:v>
      </x:c>
      <x:c r="Q13" s="47" t="n">
        <x:f>B13*I13*('Balance Inputs'!D13+(1-'Balance Inputs'!D13)*H13)*(1-J13*'Balance Inputs'!D14)</x:f>
        <x:v>6.036609374999999</x:v>
      </x:c>
      <x:c r="R13" s="47" t="n">
        <x:f>LN(1+B13)*K13*(0.25+0.75*(1-H13))*(1-J13*0.5)</x:f>
        <x:v>1.9795850259804186</x:v>
      </x:c>
      <x:c r="S13" s="49" t="n">
        <x:f>MIN(1,1-EXP(-L13*(B13/60)*(1+J13)*(1+D13/'Balance Inputs'!D5)*((2-H13)/MAX(0.25,I13))))</x:f>
        <x:v>0.016630985786000085</x:v>
      </x:c>
      <x:c r="T13" s="47" t="n">
        <x:f>MAX(0,B13*F13*(0.5+G13)-B13*M13*'Balance Inputs'!D15)</x:f>
        <x:v>0</x:v>
      </x:c>
      <x:c r="U13" s="47" t="n">
        <x:f>MAX(0,B13*E13*(0.5+M13*'Balance Inputs'!D16)-B13*F13*0.2)</x:f>
        <x:v>1.3575</x:v>
      </x:c>
      <x:c r="V13" s="47" t="n">
        <x:f>IF(C13&lt;1.3,-B13*0.12*MAX(0,1-F13-G13)*(1-J13*0.5)+B13*(F13+G13)*0.08,B13*MAX(0,M13-2)*'Balance Inputs'!D17+J13*B13*0.15)</x:f>
        <x:v>4.5666666666666655</x:v>
      </x:c>
      <x:c r="W13" s="47" t="n">
        <x:f>MAX(0.1,MIN(1.5,(0.35+0.65*H13)*I13*(1-0.45*J13)))</x:f>
        <x:v>0.430115625</x:v>
      </x:c>
    </x:row>
    <x:row r="14">
      <x:c r="A14" s="41" t="str">
        <x:v>Build starter roof</x:v>
      </x:c>
      <x:c r="B14" s="41" t="n">
        <x:v>15</x:v>
      </x:c>
      <x:c r="C14" s="41" t="n">
        <x:v>4.5</x:v>
      </x:c>
      <x:c r="D14" s="41" t="n">
        <x:v>8</x:v>
      </x:c>
      <x:c r="E14" s="47" t="n">
        <x:v>0.25</x:v>
      </x:c>
      <x:c r="F14" s="47" t="n">
        <x:v>0.15</x:v>
      </x:c>
      <x:c r="G14" s="47" t="n">
        <x:v>0</x:v>
      </x:c>
      <x:c r="H14" s="47" t="n">
        <x:v>0.3</x:v>
      </x:c>
      <x:c r="I14" s="47" t="n">
        <x:v>0.75</x:v>
      </x:c>
      <x:c r="J14" s="47" t="n">
        <x:v>0.3</x:v>
      </x:c>
      <x:c r="K14" s="47" t="n">
        <x:v>0.65</x:v>
      </x:c>
      <x:c r="L14" s="47" t="n">
        <x:v>0.08</x:v>
      </x:c>
      <x:c r="M14" s="47" t="n">
        <x:f>C14*(1+(D14/'Balance Inputs'!D5)*'Balance Inputs'!D6)*(1+(1-H14)*'Balance Inputs'!D7)/MAX(0.25,I14)</x:f>
        <x:v>8.107439999999999</x:v>
      </x:c>
      <x:c r="N14" s="47" t="n">
        <x:f>M14*3.5*'Balance Inputs'!D5/200*B14</x:f>
        <x:v>159.61522499999995</x:v>
      </x:c>
      <x:c r="O14" s="47" t="n">
        <x:f>B14*'Balance Inputs'!D8+N14*'Balance Inputs'!D9*(1+E14*'Balance Inputs'!D10)</x:f>
        <x:v>135.34604849999997</x:v>
      </x:c>
      <x:c r="P14" s="47" t="n">
        <x:f>MAX(0,M14-'Balance Inputs'!D11)*B14*'Balance Inputs'!D12*(1+J14)</x:f>
        <x:v>55.34778599999999</x:v>
      </x:c>
      <x:c r="Q14" s="47" t="n">
        <x:f>B14*I14*('Balance Inputs'!D13+(1-'Balance Inputs'!D13)*H14)*(1-J14*'Balance Inputs'!D14)</x:f>
        <x:v>4.5677812499999995</x:v>
      </x:c>
      <x:c r="R14" s="47" t="n">
        <x:f>LN(1+B14)*K14*(0.25+0.75*(1-H14))*(1-J14*0.5)</x:f>
        <x:v>1.1871878335040462</x:v>
      </x:c>
      <x:c r="S14" s="49" t="n">
        <x:f>MIN(1,1-EXP(-L14*(B14/60)*(1+J14)*(1+D14/'Balance Inputs'!D5)*((2-H14)/MAX(0.25,I14))))</x:f>
        <x:v>0.06313825240626347</x:v>
      </x:c>
      <x:c r="T14" s="47" t="n">
        <x:f>MAX(0,B14*F14*(0.5+G14)-B14*M14*'Balance Inputs'!D15)</x:f>
        <x:v>0</x:v>
      </x:c>
      <x:c r="U14" s="47" t="n">
        <x:f>MAX(0,B14*E14*(0.5+M14*'Balance Inputs'!D16)-B14*F14*0.2)</x:f>
        <x:v>6.897521999999999</x:v>
      </x:c>
      <x:c r="V14" s="47" t="n">
        <x:f>IF(C14&lt;1.3,-B14*0.12*MAX(0,1-F14-G14)*(1-J14*0.5)+B14*(F14+G14)*0.08,B14*MAX(0,M14-2)*'Balance Inputs'!D17+J14*B14*0.15)</x:f>
        <x:v>32.73905999999999</x:v>
      </x:c>
      <x:c r="W14" s="47" t="n">
        <x:f>MAX(0.1,MIN(1.5,(0.35+0.65*H14)*I14*(1-0.45*J14)))</x:f>
        <x:v>0.35356874999999993</x:v>
      </x:c>
    </x:row>
    <x:row r="15">
      <x:c r="A15" s="41" t="str">
        <x:v>Swim 150 m, no load</x:v>
      </x:c>
      <x:c r="B15" s="41" t="n">
        <x:v>6</x:v>
      </x:c>
      <x:c r="C15" s="41" t="n">
        <x:v>7.5</x:v>
      </x:c>
      <x:c r="D15" s="41" t="n">
        <x:v>0</x:v>
      </x:c>
      <x:c r="E15" s="47" t="n">
        <x:v>0.2</x:v>
      </x:c>
      <x:c r="F15" s="47" t="n">
        <x:v>0.25</x:v>
      </x:c>
      <x:c r="G15" s="47" t="n">
        <x:v>1</x:v>
      </x:c>
      <x:c r="H15" s="47" t="n">
        <x:v>0.35</x:v>
      </x:c>
      <x:c r="I15" s="47" t="n">
        <x:v>1</x:v>
      </x:c>
      <x:c r="J15" s="47" t="n">
        <x:v>0.25</x:v>
      </x:c>
      <x:c r="K15" s="47" t="n">
        <x:v>0.55</x:v>
      </x:c>
      <x:c r="L15" s="47" t="n">
        <x:v>0.08</x:v>
      </x:c>
      <x:c r="M15" s="47" t="n">
        <x:f>C15*(1+(D15/'Balance Inputs'!D5)*'Balance Inputs'!D6)*(1+(1-H15)*'Balance Inputs'!D7)/MAX(0.25,I15)</x:f>
        <x:v>9.20625</x:v>
      </x:c>
      <x:c r="N15" s="47" t="n">
        <x:f>M15*3.5*'Balance Inputs'!D5/200*B15</x:f>
        <x:v>72.49921875000001</x:v>
      </x:c>
      <x:c r="O15" s="47" t="n">
        <x:f>B15*'Balance Inputs'!D8+N15*'Balance Inputs'!D9*(1+E15*'Balance Inputs'!D10)</x:f>
        <x:v>58.25450156250002</x:v>
      </x:c>
      <x:c r="P15" s="47" t="n">
        <x:f>MAX(0,M15-'Balance Inputs'!D11)*B15*'Balance Inputs'!D12*(1+J15)</x:f>
        <x:v>24.996093750000004</x:v>
      </x:c>
      <x:c r="Q15" s="47" t="n">
        <x:f>B15*I15*('Balance Inputs'!D13+(1-'Balance Inputs'!D13)*H15)*(1-J15*'Balance Inputs'!D14)</x:f>
        <x:v>2.7286874999999995</x:v>
      </x:c>
      <x:c r="R15" s="47" t="n">
        <x:f>LN(1+B15)*K15*(0.25+0.75*(1-H15))*(1-J15*0.5)</x:f>
        <x:v>0.6906460786842414</x:v>
      </x:c>
      <x:c r="S15" s="49" t="n">
        <x:f>MIN(1,1-EXP(-L15*(B15/60)*(1+J15)*(1+D15/'Balance Inputs'!D5)*((2-H15)/MAX(0.25,I15))))</x:f>
        <x:v>0.01636462060932764</x:v>
      </x:c>
      <x:c r="T15" s="47" t="n">
        <x:f>MAX(0,B15*F15*(0.5+G15)-B15*M15*'Balance Inputs'!D15)</x:f>
        <x:v>0.8690624999999998</x:v>
      </x:c>
      <x:c r="U15" s="47" t="n">
        <x:f>MAX(0,B15*E15*(0.5+M15*'Balance Inputs'!D16)-B15*F15*0.2)</x:f>
        <x:v>2.28855</x:v>
      </x:c>
      <x:c r="V15" s="47" t="n">
        <x:f>IF(C15&lt;1.3,-B15*0.12*MAX(0,1-F15-G15)*(1-J15*0.5)+B15*(F15+G15)*0.08,B15*MAX(0,M15-2)*'Balance Inputs'!D17+J15*B15*0.15)</x:f>
        <x:v>15.358125</x:v>
      </x:c>
      <x:c r="W15" s="47" t="n">
        <x:f>MAX(0.1,MIN(1.5,(0.35+0.65*H15)*I15*(1-0.45*J15)))</x:f>
        <x:v>0.5125312499999999</x:v>
      </x:c>
    </x:row>
    <x:row r="16">
      <x:c r="A16" s="41" t="str">
        <x:v>Paddle workboat</x:v>
      </x:c>
      <x:c r="B16" s="41" t="n">
        <x:v>20</x:v>
      </x:c>
      <x:c r="C16" s="41" t="n">
        <x:v>5.5</x:v>
      </x:c>
      <x:c r="D16" s="41" t="n">
        <x:v>0</x:v>
      </x:c>
      <x:c r="E16" s="47" t="n">
        <x:v>0.45</x:v>
      </x:c>
      <x:c r="F16" s="47" t="n">
        <x:v>0.1</x:v>
      </x:c>
      <x:c r="G16" s="47" t="n">
        <x:v>0.25</x:v>
      </x:c>
      <x:c r="H16" s="47" t="n">
        <x:v>0.3</x:v>
      </x:c>
      <x:c r="I16" s="47" t="n">
        <x:v>0.8</x:v>
      </x:c>
      <x:c r="J16" s="47" t="n">
        <x:v>0.25</x:v>
      </x:c>
      <x:c r="K16" s="47" t="n">
        <x:v>0.55</x:v>
      </x:c>
      <x:c r="L16" s="47" t="n">
        <x:v>0.06</x:v>
      </x:c>
      <x:c r="M16" s="47" t="n">
        <x:f>C16*(1+(D16/'Balance Inputs'!D5)*'Balance Inputs'!D6)*(1+(1-H16)*'Balance Inputs'!D7)/MAX(0.25,I16)</x:f>
        <x:v>8.559375</x:v>
      </x:c>
      <x:c r="N16" s="47" t="n">
        <x:f>M16*3.5*'Balance Inputs'!D5/200*B16</x:f>
        <x:v>224.68359374999994</x:v>
      </x:c>
      <x:c r="O16" s="47" t="n">
        <x:f>B16*'Balance Inputs'!D8+N16*'Balance Inputs'!D9*(1+E16*'Balance Inputs'!D10)</x:f>
        <x:v>208.06332812499997</x:v>
      </x:c>
      <x:c r="P16" s="47" t="n">
        <x:f>MAX(0,M16-'Balance Inputs'!D11)*B16*'Balance Inputs'!D12*(1+J16)</x:f>
        <x:v>76.04296875</x:v>
      </x:c>
      <x:c r="Q16" s="47" t="n">
        <x:f>B16*I16*('Balance Inputs'!D13+(1-'Balance Inputs'!D13)*H16)*(1-J16*'Balance Inputs'!D14)</x:f>
        <x:v>6.866999999999999</x:v>
      </x:c>
      <x:c r="R16" s="47" t="n">
        <x:f>LN(1+B16)*K16*(0.25+0.75*(1-H16))*(1-J16*0.5)</x:f>
        <x:v>1.1355117279446578</x:v>
      </x:c>
      <x:c r="S16" s="49" t="n">
        <x:f>MIN(1,1-EXP(-L16*(B16/60)*(1+J16)*(1+D16/'Balance Inputs'!D5)*((2-H16)/MAX(0.25,I16))))</x:f>
        <x:v>0.051738527610351914</x:v>
      </x:c>
      <x:c r="T16" s="47" t="n">
        <x:f>MAX(0,B16*F16*(0.5+G16)-B16*M16*'Balance Inputs'!D15)</x:f>
        <x:v>0</x:v>
      </x:c>
      <x:c r="U16" s="47" t="n">
        <x:f>MAX(0,B16*E16*(0.5+M16*'Balance Inputs'!D16)-B16*F16*0.2)</x:f>
        <x:v>17.9661875</x:v>
      </x:c>
      <x:c r="V16" s="47" t="n">
        <x:f>IF(C16&lt;1.3,-B16*0.12*MAX(0,1-F16-G16)*(1-J16*0.5)+B16*(F16+G16)*0.08,B16*MAX(0,M16-2)*'Balance Inputs'!D17+J16*B16*0.15)</x:f>
        <x:v>46.665625</x:v>
      </x:c>
      <x:c r="W16" s="47" t="n">
        <x:f>MAX(0.1,MIN(1.5,(0.35+0.65*H16)*I16*(1-0.45*J16)))</x:f>
        <x:v>0.3869499999999999</x:v>
      </x:c>
    </x:row>
    <x:row r="17">
      <x:c r="A17" s="41" t="str">
        <x:v>Shallow dive recovery</x:v>
      </x:c>
      <x:c r="B17" s="41" t="n">
        <x:v>5</x:v>
      </x:c>
      <x:c r="C17" s="41" t="n">
        <x:v>6</x:v>
      </x:c>
      <x:c r="D17" s="41" t="n">
        <x:v>2</x:v>
      </x:c>
      <x:c r="E17" s="47" t="n">
        <x:v>0.15</x:v>
      </x:c>
      <x:c r="F17" s="47" t="n">
        <x:v>0.35</x:v>
      </x:c>
      <x:c r="G17" s="47" t="n">
        <x:v>1</x:v>
      </x:c>
      <x:c r="H17" s="47" t="n">
        <x:v>0.25</x:v>
      </x:c>
      <x:c r="I17" s="47" t="n">
        <x:v>0.75</x:v>
      </x:c>
      <x:c r="J17" s="47" t="n">
        <x:v>0.3</x:v>
      </x:c>
      <x:c r="K17" s="47" t="n">
        <x:v>0.8</x:v>
      </x:c>
      <x:c r="L17" s="47" t="n">
        <x:v>0.12</x:v>
      </x:c>
      <x:c r="M17" s="47" t="n">
        <x:f>C17*(1+(D17/'Balance Inputs'!D5)*'Balance Inputs'!D6)*(1+(1-H17)*'Balance Inputs'!D7)/MAX(0.25,I17)</x:f>
        <x:v>10.315466666666667</x:v>
      </x:c>
      <x:c r="N17" s="47" t="n">
        <x:f>M17*3.5*'Balance Inputs'!D5/200*B17</x:f>
        <x:v>67.69525</x:v>
      </x:c>
      <x:c r="O17" s="47" t="n">
        <x:f>B17*'Balance Inputs'!D8+N17*'Balance Inputs'!D9*(1+E17*'Balance Inputs'!D10)</x:f>
        <x:v>51.70027400000001</x:v>
      </x:c>
      <x:c r="P17" s="47" t="n">
        <x:f>MAX(0,M17-'Balance Inputs'!D11)*B17*'Balance Inputs'!D12*(1+J17)</x:f>
        <x:v>24.90774</x:v>
      </x:c>
      <x:c r="Q17" s="47" t="n">
        <x:f>B17*I17*('Balance Inputs'!D13+(1-'Balance Inputs'!D13)*H17)*(1-J17*'Balance Inputs'!D14)</x:f>
        <x:v>1.4317968749999999</x:v>
      </x:c>
      <x:c r="R17" s="47" t="n">
        <x:f>LN(1+B17)*K17*(0.25+0.75*(1-H17))*(1-J17*0.5)</x:f>
        <x:v>0.9899471067485004</x:v>
      </x:c>
      <x:c r="S17" s="49" t="n">
        <x:f>MIN(1,1-EXP(-L17*(B17/60)*(1+J17)*(1+D17/'Balance Inputs'!D5)*((2-H17)/MAX(0.25,I17))))</x:f>
        <x:v>0.030662298089962903</x:v>
      </x:c>
      <x:c r="T17" s="47" t="n">
        <x:f>MAX(0,B17*F17*(0.5+G17)-B17*M17*'Balance Inputs'!D15)</x:f>
        <x:v>1.3355666666666666</x:v>
      </x:c>
      <x:c r="U17" s="47" t="n">
        <x:f>MAX(0,B17*E17*(0.5+M17*'Balance Inputs'!D16)-B17*F17*0.2)</x:f>
        <x:v>1.417588</x:v>
      </x:c>
      <x:c r="V17" s="47" t="n">
        <x:f>IF(C17&lt;1.3,-B17*0.12*MAX(0,1-F17-G17)*(1-J17*0.5)+B17*(F17+G17)*0.08,B17*MAX(0,M17-2)*'Balance Inputs'!D17+J17*B17*0.15)</x:f>
        <x:v>14.777066666666666</x:v>
      </x:c>
      <x:c r="W17" s="47" t="n">
        <x:f>MAX(0.1,MIN(1.5,(0.35+0.65*H17)*I17*(1-0.45*J17)))</x:f>
        <x:v>0.33248437499999994</x:v>
      </x:c>
    </x:row>
    <x:row r="18">
      <x:c r="A18" s="41" t="str">
        <x:v>Engine diagnosis on bench</x:v>
      </x:c>
      <x:c r="B18" s="41" t="n">
        <x:v>25</x:v>
      </x:c>
      <x:c r="C18" s="41" t="n">
        <x:v>2</x:v>
      </x:c>
      <x:c r="D18" s="41" t="n">
        <x:v>0</x:v>
      </x:c>
      <x:c r="E18" s="47" t="n">
        <x:v>0.15</x:v>
      </x:c>
      <x:c r="F18" s="47" t="n">
        <x:v>0.1</x:v>
      </x:c>
      <x:c r="G18" s="47" t="n">
        <x:v>0</x:v>
      </x:c>
      <x:c r="H18" s="47" t="n">
        <x:v>0.2</x:v>
      </x:c>
      <x:c r="I18" s="47" t="n">
        <x:v>1.05</x:v>
      </x:c>
      <x:c r="J18" s="47" t="n">
        <x:v>0.2</x:v>
      </x:c>
      <x:c r="K18" s="47" t="n">
        <x:v>0.95</x:v>
      </x:c>
      <x:c r="L18" s="47" t="n">
        <x:v>0.04</x:v>
      </x:c>
      <x:c r="M18" s="47" t="n">
        <x:f>C18*(1+(D18/'Balance Inputs'!D5)*'Balance Inputs'!D6)*(1+(1-H18)*'Balance Inputs'!D7)/MAX(0.25,I18)</x:f>
        <x:v>2.438095238095238</x:v>
      </x:c>
      <x:c r="N18" s="47" t="n">
        <x:f>M18*3.5*'Balance Inputs'!D5/200*B18</x:f>
        <x:v>80</x:v>
      </x:c>
      <x:c r="O18" s="47" t="n">
        <x:f>B18*'Balance Inputs'!D8+N18*'Balance Inputs'!D9*(1+E18*'Balance Inputs'!D10)</x:f>
        <x:v>99.28</x:v>
      </x:c>
      <x:c r="P18" s="47" t="n">
        <x:f>MAX(0,M18-'Balance Inputs'!D11)*B18*'Balance Inputs'!D12*(1+J18)</x:f>
        <x:v>8.61428571428571</x:v>
      </x:c>
      <x:c r="Q18" s="47" t="n">
        <x:f>B18*I18*('Balance Inputs'!D13+(1-'Balance Inputs'!D13)*H18)*(1-J18*'Balance Inputs'!D14)</x:f>
        <x:v>10.457999999999998</x:v>
      </x:c>
      <x:c r="R18" s="47" t="n">
        <x:f>LN(1+B18)*K18*(0.25+0.75*(1-H18))*(1-J18*0.5)</x:f>
        <x:v>2.367821659007112</x:v>
      </x:c>
      <x:c r="S18" s="49" t="n">
        <x:f>MIN(1,1-EXP(-L18*(B18/60)*(1+J18)*(1+D18/'Balance Inputs'!D5)*((2-H18)/MAX(0.25,I18))))</x:f>
        <x:v>0.03370461920139156</x:v>
      </x:c>
      <x:c r="T18" s="47" t="n">
        <x:f>MAX(0,B18*F18*(0.5+G18)-B18*M18*'Balance Inputs'!D15)</x:f>
        <x:v>0</x:v>
      </x:c>
      <x:c r="U18" s="47" t="n">
        <x:f>MAX(0,B18*E18*(0.5+M18*'Balance Inputs'!D16)-B18*F18*0.2)</x:f>
        <x:v>3.0207142857142855</x:v>
      </x:c>
      <x:c r="V18" s="47" t="n">
        <x:f>IF(C18&lt;1.3,-B18*0.12*MAX(0,1-F18-G18)*(1-J18*0.5)+B18*(F18+G18)*0.08,B18*MAX(0,M18-2)*'Balance Inputs'!D17+J18*B18*0.15)</x:f>
        <x:v>4.583333333333331</x:v>
      </x:c>
      <x:c r="W18" s="47" t="n">
        <x:f>MAX(0.1,MIN(1.5,(0.35+0.65*H18)*I18*(1-0.45*J18)))</x:f>
        <x:v>0.45864</x:v>
      </x:c>
    </x:row>
    <x:row r="19">
      <x:c r="A19" s="41" t="str">
        <x:v>Lift engine without rigging</x:v>
      </x:c>
      <x:c r="B19" s="41" t="n">
        <x:v>2</x:v>
      </x:c>
      <x:c r="C19" s="41" t="n">
        <x:v>8.5</x:v>
      </x:c>
      <x:c r="D19" s="41" t="n">
        <x:v>55</x:v>
      </x:c>
      <x:c r="E19" s="47" t="n">
        <x:v>0.3</x:v>
      </x:c>
      <x:c r="F19" s="47" t="n">
        <x:v>0.1</x:v>
      </x:c>
      <x:c r="G19" s="47" t="n">
        <x:v>0</x:v>
      </x:c>
      <x:c r="H19" s="47" t="n">
        <x:v>0.25</x:v>
      </x:c>
      <x:c r="I19" s="47" t="n">
        <x:v>0.4</x:v>
      </x:c>
      <x:c r="J19" s="47" t="n">
        <x:v>0.35</x:v>
      </x:c>
      <x:c r="K19" s="47" t="n">
        <x:v>0.3</x:v>
      </x:c>
      <x:c r="L19" s="47" t="n">
        <x:v>0.3</x:v>
      </x:c>
      <x:c r="M19" s="47" t="n">
        <x:f>C19*(1+(D19/'Balance Inputs'!D5)*'Balance Inputs'!D6)*(1+(1-H19)*'Balance Inputs'!D7)/MAX(0.25,I19)</x:f>
        <x:v>42.56729166666666</x:v>
      </x:c>
      <x:c r="N19" s="47" t="n">
        <x:f>M19*3.5*'Balance Inputs'!D5/200*B19</x:f>
        <x:v>111.73914062499998</x:v>
      </x:c>
      <x:c r="O19" s="47" t="n">
        <x:f>B19*'Balance Inputs'!D8+N19*'Balance Inputs'!D9*(1+E19*'Balance Inputs'!D10)</x:f>
        <x:v>80.20609390624999</x:v>
      </x:c>
      <x:c r="P19" s="47" t="n">
        <x:f>MAX(0,M19-'Balance Inputs'!D11)*B19*'Balance Inputs'!D12*(1+J19)</x:f>
        <x:v>49.532259375</x:v>
      </x:c>
      <x:c r="Q19" s="47" t="n">
        <x:f>B19*I19*('Balance Inputs'!D13+(1-'Balance Inputs'!D13)*H19)*(1-J19*'Balance Inputs'!D14)</x:f>
        <x:v>0.288025</x:v>
      </x:c>
      <x:c r="R19" s="47" t="n">
        <x:f>LN(1+B19)*K19*(0.25+0.75*(1-H19))*(1-J19*0.5)</x:f>
        <x:v>0.22092406492435263</x:v>
      </x:c>
      <x:c r="S19" s="49" t="n">
        <x:f>MIN(1,1-EXP(-L19*(B19/60)*(1+J19)*(1+D19/'Balance Inputs'!D5)*((2-H19)/MAX(0.25,I19))))</x:f>
        <x:v>0.09730902092666971</x:v>
      </x:c>
      <x:c r="T19" s="47" t="n">
        <x:f>MAX(0,B19*F19*(0.5+G19)-B19*M19*'Balance Inputs'!D15)</x:f>
        <x:v>0</x:v>
      </x:c>
      <x:c r="U19" s="47" t="n">
        <x:f>MAX(0,B19*E19*(0.5+M19*'Balance Inputs'!D16)-B19*F19*0.2)</x:f>
        <x:v>4.857267499999999</x:v>
      </x:c>
      <x:c r="V19" s="47" t="n">
        <x:f>IF(C19&lt;1.3,-B19*0.12*MAX(0,1-F19-G19)*(1-J19*0.5)+B19*(F19+G19)*0.08,B19*MAX(0,M19-2)*'Balance Inputs'!D17+J19*B19*0.15)</x:f>
        <x:v>28.502104166666662</x:v>
      </x:c>
      <x:c r="W19" s="47" t="n">
        <x:f>MAX(0.1,MIN(1.5,(0.35+0.65*H19)*I19*(1-0.45*J19)))</x:f>
        <x:v>0.1727125</x:v>
      </x:c>
    </x:row>
    <x:row r="20">
      <x:c r="A20" s="41" t="str">
        <x:v>Lift engine with hoist</x:v>
      </x:c>
      <x:c r="B20" s="41" t="n">
        <x:v>8</x:v>
      </x:c>
      <x:c r="C20" s="41" t="n">
        <x:v>3.5</x:v>
      </x:c>
      <x:c r="D20" s="41" t="n">
        <x:v>8</x:v>
      </x:c>
      <x:c r="E20" s="47" t="n">
        <x:v>0.2</x:v>
      </x:c>
      <x:c r="F20" s="47" t="n">
        <x:v>0.1</x:v>
      </x:c>
      <x:c r="G20" s="47" t="n">
        <x:v>0</x:v>
      </x:c>
      <x:c r="H20" s="47" t="n">
        <x:v>0.35</x:v>
      </x:c>
      <x:c r="I20" s="47" t="n">
        <x:v>1.25</x:v>
      </x:c>
      <x:c r="J20" s="47" t="n">
        <x:v>0.2</x:v>
      </x:c>
      <x:c r="K20" s="47" t="n">
        <x:v>0.65</x:v>
      </x:c>
      <x:c r="L20" s="47" t="n">
        <x:v>0.05</x:v>
      </x:c>
      <x:c r="M20" s="47" t="n">
        <x:f>C20*(1+(D20/'Balance Inputs'!D5)*'Balance Inputs'!D6)*(1+(1-H20)*'Balance Inputs'!D7)/MAX(0.25,I20)</x:f>
        <x:v>3.7302906666666664</x:v>
      </x:c>
      <x:c r="N20" s="47" t="n">
        <x:f>M20*3.5*'Balance Inputs'!D5/200*B20</x:f>
        <x:v>39.168051999999996</x:v>
      </x:c>
      <x:c r="O20" s="47" t="n">
        <x:f>B20*'Balance Inputs'!D8+N20*'Balance Inputs'!D9*(1+E20*'Balance Inputs'!D10)</x:f>
        <x:v>40.989217176000004</x:v>
      </x:c>
      <x:c r="P20" s="47" t="n">
        <x:f>MAX(0,M20-'Balance Inputs'!D11)*B20*'Balance Inputs'!D12*(1+J20)</x:f>
        <x:v>8.338855679999998</x:v>
      </x:c>
      <x:c r="Q20" s="47" t="n">
        <x:f>B20*I20*('Balance Inputs'!D13+(1-'Balance Inputs'!D13)*H20)*(1-J20*'Balance Inputs'!D14)</x:f>
        <x:v>4.793249999999999</x:v>
      </x:c>
      <x:c r="R20" s="47" t="n">
        <x:f>LN(1+B20)*K20*(0.25+0.75*(1-H20))*(1-J20*0.5)</x:f>
        <x:v>0.9479650785844952</x:v>
      </x:c>
      <x:c r="S20" s="49" t="n">
        <x:f>MIN(1,1-EXP(-L20*(B20/60)*(1+J20)*(1+D20/'Balance Inputs'!D5)*((2-H20)/MAX(0.25,I20))))</x:f>
        <x:v>0.011618379257900213</x:v>
      </x:c>
      <x:c r="T20" s="47" t="n">
        <x:f>MAX(0,B20*F20*(0.5+G20)-B20*M20*'Balance Inputs'!D15)</x:f>
        <x:v>0</x:v>
      </x:c>
      <x:c r="U20" s="47" t="n">
        <x:f>MAX(0,B20*E20*(0.5+M20*'Balance Inputs'!D16)-B20*F20*0.2)</x:f>
        <x:v>1.7143237119999997</x:v>
      </x:c>
      <x:c r="V20" s="47" t="n">
        <x:f>IF(C20&lt;1.3,-B20*0.12*MAX(0,1-F20-G20)*(1-J20*0.5)+B20*(F20+G20)*0.08,B20*MAX(0,M20-2)*'Balance Inputs'!D17+J20*B20*0.15)</x:f>
        <x:v>5.084813866666666</x:v>
      </x:c>
      <x:c r="W20" s="47" t="n">
        <x:f>MAX(0.1,MIN(1.5,(0.35+0.65*H20)*I20*(1-0.45*J20)))</x:f>
        <x:v>0.6569062499999999</x:v>
      </x:c>
    </x:row>
    <x:row r="21">
      <x:c r="A21" s="41" t="str">
        <x:v>Sleep rough, wet and cold</x:v>
      </x:c>
      <x:c r="B21" s="41" t="n">
        <x:v>60</x:v>
      </x:c>
      <x:c r="C21" s="41" t="n">
        <x:v>1</x:v>
      </x:c>
      <x:c r="D21" s="41" t="n">
        <x:v>0</x:v>
      </x:c>
      <x:c r="E21" s="47" t="n">
        <x:v>0</x:v>
      </x:c>
      <x:c r="F21" s="47" t="n">
        <x:v>0.9</x:v>
      </x:c>
      <x:c r="G21" s="47" t="n">
        <x:v>0.9</x:v>
      </x:c>
      <x:c r="H21" s="47" t="n">
        <x:v>0.5</x:v>
      </x:c>
      <x:c r="I21" s="47" t="n">
        <x:v>1</x:v>
      </x:c>
      <x:c r="J21" s="47" t="n">
        <x:v>0.55</x:v>
      </x:c>
      <x:c r="K21" s="47" t="n">
        <x:v>0.1</x:v>
      </x:c>
      <x:c r="L21" s="47" t="n">
        <x:v>0.04</x:v>
      </x:c>
      <x:c r="M21" s="47" t="n">
        <x:f>C21*(1+(D21/'Balance Inputs'!D5)*'Balance Inputs'!D6)*(1+(1-H21)*'Balance Inputs'!D7)/MAX(0.25,I21)</x:f>
        <x:v>1.175</x:v>
      </x:c>
      <x:c r="N21" s="47" t="n">
        <x:f>M21*3.5*'Balance Inputs'!D5/200*B21</x:f>
        <x:v>92.53125</x:v>
      </x:c>
      <x:c r="O21" s="47" t="n">
        <x:f>B21*'Balance Inputs'!D8+N21*'Balance Inputs'!D9*(1+E21*'Balance Inputs'!D10)</x:f>
        <x:v>170.8921875</x:v>
      </x:c>
      <x:c r="P21" s="47" t="n">
        <x:f>MAX(0,M21-'Balance Inputs'!D11)*B21*'Balance Inputs'!D12*(1+J21)</x:f>
        <x:v>0</x:v>
      </x:c>
      <x:c r="Q21" s="47" t="n">
        <x:f>B21*I21*('Balance Inputs'!D13+(1-'Balance Inputs'!D13)*H21)*(1-J21*'Balance Inputs'!D14)</x:f>
        <x:v>21.56625</x:v>
      </x:c>
      <x:c r="R21" s="47" t="n">
        <x:f>LN(1+B21)*K21*(0.25+0.75*(1-H21))*(1-J21*0.5)</x:f>
        <x:v>0.18627397197035317</x:v>
      </x:c>
      <x:c r="S21" s="49" t="n">
        <x:f>MIN(1,1-EXP(-L21*(B21/60)*(1+J21)*(1+D21/'Balance Inputs'!D5)*((2-H21)/MAX(0.25,I21))))</x:f>
        <x:v>0.08880649970385945</x:v>
      </x:c>
      <x:c r="T21" s="47" t="n">
        <x:f>MAX(0,B21*F21*(0.5+G21)-B21*M21*'Balance Inputs'!D15)</x:f>
        <x:v>73.83749999999999</x:v>
      </x:c>
      <x:c r="U21" s="47" t="n">
        <x:f>MAX(0,B21*E21*(0.5+M21*'Balance Inputs'!D16)-B21*F21*0.2)</x:f>
        <x:v>0</x:v>
      </x:c>
      <x:c r="V21" s="47" t="n">
        <x:f>IF(C21&lt;1.3,-B21*0.12*MAX(0,1-F21-G21)*(1-J21*0.5)+B21*(F21+G21)*0.08,B21*MAX(0,M21-2)*'Balance Inputs'!D17+J21*B21*0.15)</x:f>
        <x:v>8.64</x:v>
      </x:c>
      <x:c r="W21" s="47" t="n">
        <x:f>MAX(0.1,MIN(1.5,(0.35+0.65*H21)*I21*(1-0.45*J21)))</x:f>
        <x:v>0.5079375</x:v>
      </x:c>
    </x:row>
    <x:row r="22">
      <x:c r="A22" s="42" t="str">
        <x:v>Sleep sheltered, dry and warm</x:v>
      </x:c>
      <x:c r="B22" s="42" t="n">
        <x:v>60</x:v>
      </x:c>
      <x:c r="C22" s="42" t="n">
        <x:v>0.9</x:v>
      </x:c>
      <x:c r="D22" s="42" t="n">
        <x:v>0</x:v>
      </x:c>
      <x:c r="E22" s="48" t="n">
        <x:v>0</x:v>
      </x:c>
      <x:c r="F22" s="48" t="n">
        <x:v>0.1</x:v>
      </x:c>
      <x:c r="G22" s="48" t="n">
        <x:v>0</x:v>
      </x:c>
      <x:c r="H22" s="48" t="n">
        <x:v>0.5</x:v>
      </x:c>
      <x:c r="I22" s="48" t="n">
        <x:v>1</x:v>
      </x:c>
      <x:c r="J22" s="48" t="n">
        <x:v>0.25</x:v>
      </x:c>
      <x:c r="K22" s="48" t="n">
        <x:v>0.1</x:v>
      </x:c>
      <x:c r="L22" s="48" t="n">
        <x:v>0.005</x:v>
      </x:c>
      <x:c r="M22" s="48" t="n">
        <x:f>C22*(1+(D22/'Balance Inputs'!D5)*'Balance Inputs'!D6)*(1+(1-H22)*'Balance Inputs'!D7)/MAX(0.25,I22)</x:f>
        <x:v>1.0575</x:v>
      </x:c>
      <x:c r="N22" s="48" t="n">
        <x:f>M22*3.5*'Balance Inputs'!D5/200*B22</x:f>
        <x:v>83.278125</x:v>
      </x:c>
      <x:c r="O22" s="48" t="n">
        <x:f>B22*'Balance Inputs'!D8+N22*'Balance Inputs'!D9*(1+E22*'Balance Inputs'!D10)</x:f>
        <x:v>165.80296875</x:v>
      </x:c>
      <x:c r="P22" s="48" t="n">
        <x:f>MAX(0,M22-'Balance Inputs'!D11)*B22*'Balance Inputs'!D12*(1+J22)</x:f>
        <x:v>0</x:v>
      </x:c>
      <x:c r="Q22" s="48" t="n">
        <x:f>B22*I22*('Balance Inputs'!D13+(1-'Balance Inputs'!D13)*H22)*(1-J22*'Balance Inputs'!D14)</x:f>
        <x:v>31.89375</x:v>
      </x:c>
      <x:c r="R22" s="48" t="n">
        <x:f>LN(1+B22)*K22*(0.25+0.75*(1-H22))*(1-J22*0.5)</x:f>
        <x:v>0.22481341444697797</x:v>
      </x:c>
      <x:c r="S22" s="51" t="n">
        <x:f>MIN(1,1-EXP(-L22*(B22/60)*(1+J22)*(1+D22/'Balance Inputs'!D5)*((2-H22)/MAX(0.25,I22))))</x:f>
        <x:v>0.009331191695339025</x:v>
      </x:c>
      <x:c r="T22" s="48" t="n">
        <x:f>MAX(0,B22*F22*(0.5+G22)-B22*M22*'Balance Inputs'!D15)</x:f>
        <x:v>1.4137499999999998</x:v>
      </x:c>
      <x:c r="U22" s="48" t="n">
        <x:f>MAX(0,B22*E22*(0.5+M22*'Balance Inputs'!D16)-B22*F22*0.2)</x:f>
        <x:v>0</x:v>
      </x:c>
      <x:c r="V22" s="48" t="n">
        <x:f>IF(C22&lt;1.3,-B22*0.12*MAX(0,1-F22-G22)*(1-J22*0.5)+B22*(F22+G22)*0.08,B22*MAX(0,M22-2)*'Balance Inputs'!D17+J22*B22*0.15)</x:f>
        <x:v>-5.1899999999999995</x:v>
      </x:c>
      <x:c r="W22" s="48" t="n">
        <x:f>MAX(0.1,MIN(1.5,(0.35+0.65*H22)*I22*(1-0.45*J22)))</x:f>
        <x:v>0.5990625</x:v>
      </x:c>
    </x:row>
  </x:sheetData>
  <x:mergeCells>
    <x:mergeCell ref="A1:W1"/>
    <x:mergeCell ref="A2:W2"/>
  </x:mergeCells>
  <x:conditionalFormatting sqref="S5:S22">
    <x:cfRule type="colorScale" priority="1">
      <x:colorScale>
        <x:cfvo type="min"/>
        <x:cfvo type="percentile" val="50"/>
        <x:cfvo type="max"/>
        <x:color rgb="FFB7DFC0"/>
        <x:color rgb="FFF7E6A2"/>
        <x:color rgb="FFF4C7C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1" hidden="0" customWidth="1"/>
    <x:col min="4" max="4" width="35" hidden="0" customWidth="1"/>
    <x:col min="5" max="5" width="42" hidden="0" customWidth="1"/>
    <x:col min="6" max="6" width="32" hidden="0" customWidth="1"/>
    <x:col min="7" max="7" width="13" hidden="0" customWidth="1"/>
  </x:cols>
  <x:sheetData>
    <x:row r="1" ht="30" customHeight="1">
      <x:c r="A1" s="3" t="str">
        <x:v>Thin Complete Campaign Spine</x:v>
      </x:c>
      <x:c r="B1" s="3"/>
      <x:c r="C1" s="3"/>
      <x:c r="D1" s="3"/>
      <x:c r="E1" s="3"/>
      <x:c r="F1" s="3"/>
      <x:c r="G1" s="3"/>
    </x:row>
    <x:row r="2" ht="34" customHeight="1">
      <x:c r="A2" s="7" t="str">
        <x:v>Every system and content family must attach to at least one phase and return a lasting change.</x:v>
      </x:c>
      <x:c r="B2" s="7"/>
      <x:c r="C2" s="7"/>
      <x:c r="D2" s="7"/>
      <x:c r="E2" s="7"/>
      <x:c r="F2" s="7"/>
      <x:c r="G2" s="7"/>
    </x:row>
    <x:row r="4" ht="30" customHeight="1">
      <x:c r="A4" s="30" t="str">
        <x:v>Phase</x:v>
      </x:c>
      <x:c r="B4" s="31" t="str">
        <x:v>Band</x:v>
      </x:c>
      <x:c r="C4" s="31" t="str">
        <x:v>Player problem</x:v>
      </x:c>
      <x:c r="D4" s="31" t="str">
        <x:v>New/deepened verb</x:v>
      </x:c>
      <x:c r="E4" s="31" t="str">
        <x:v>Permanent change</x:v>
      </x:c>
      <x:c r="F4" s="31" t="str">
        <x:v>Dominant pressure</x:v>
      </x:c>
      <x:c r="G4" s="32" t="str">
        <x:v>Owning gate</x:v>
      </x:c>
    </x:row>
    <x:row r="5">
      <x:c r="A5" s="40" t="str">
        <x:v>0</x:v>
      </x:c>
      <x:c r="B5" s="40" t="str">
        <x:v>Translation</x:v>
      </x:c>
      <x:c r="C5" s="40" t="str">
        <x:v>Get out of immediate danger while compromised</x:v>
      </x:c>
      <x:c r="D5" s="40" t="str">
        <x:v>orient / free / inspect</x:v>
      </x:c>
      <x:c r="E5" s="40" t="str">
        <x:v>Body evidence and personal object</x:v>
      </x:c>
      <x:c r="F5" s="40" t="str">
        <x:v>Airway, surf, smoke or impact</x:v>
      </x:c>
      <x:c r="G5" s="40" t="str">
        <x:v>I2</x:v>
      </x:c>
    </x:row>
    <x:row r="6">
      <x:c r="A6" s="41" t="str">
        <x:v>1</x:v>
      </x:c>
      <x:c r="B6" s="41" t="str">
        <x:v>Safe pocket</x:v>
      </x:c>
      <x:c r="C6" s="41" t="str">
        <x:v>Stop deterioration and understand the body</x:v>
      </x:c>
      <x:c r="D6" s="41" t="str">
        <x:v>cover / wring / bind / relocate</x:v>
      </x:c>
      <x:c r="E6" s="41" t="str">
        <x:v>Readable condition and local map</x:v>
      </x:c>
      <x:c r="F6" s="41" t="str">
        <x:v>Wetness, wind and pain</x:v>
      </x:c>
      <x:c r="G6" s="41" t="str">
        <x:v>I2</x:v>
      </x:c>
    </x:row>
    <x:row r="7">
      <x:c r="A7" s="41" t="str">
        <x:v>2</x:v>
      </x:c>
      <x:c r="B7" s="41" t="str">
        <x:v>First relation</x:v>
      </x:c>
      <x:c r="C7" s="41" t="str">
        <x:v>Turn loose matter into controlled action</x:v>
      </x:c>
      <x:c r="D7" s="41" t="str">
        <x:v>stage / strike / bind / test</x:v>
      </x:c>
      <x:c r="E7" s="41" t="str">
        <x:v>First demonstrated tool relation</x:v>
      </x:c>
      <x:c r="F7" s="41" t="str">
        <x:v>Time and failing light</x:v>
      </x:c>
      <x:c r="G7" s="41" t="str">
        <x:v>I4</x:v>
      </x:c>
    </x:row>
    <x:row r="8">
      <x:c r="A8" s="41" t="str">
        <x:v>3</x:v>
      </x:c>
      <x:c r="B8" s="41" t="str">
        <x:v>Fire discovery</x:v>
      </x:c>
      <x:c r="C8" s="41" t="str">
        <x:v>Produce and sustain useful heat</x:v>
      </x:c>
      <x:c r="D8" s="41" t="str">
        <x:v>prepare / ignite / feed / diagnose</x:v>
      </x:c>
      <x:c r="E8" s="41" t="str">
        <x:v>Tentative fire pattern</x:v>
      </x:c>
      <x:c r="F8" s="41" t="str">
        <x:v>Cold, wet fuel and dexterity</x:v>
      </x:c>
      <x:c r="G8" s="41" t="str">
        <x:v>I4</x:v>
      </x:c>
    </x:row>
    <x:row r="9">
      <x:c r="A9" s="41" t="str">
        <x:v>4</x:v>
      </x:c>
      <x:c r="B9" s="41" t="str">
        <x:v>Truthful refuge</x:v>
      </x:c>
      <x:c r="C9" s="41" t="str">
        <x:v>Combine roof, dry interface and wind control</x:v>
      </x:c>
      <x:c r="D9" s="41" t="str">
        <x:v>site / carry / brace / correct</x:v>
      </x:c>
      <x:c r="E9" s="41" t="str">
        <x:v>First attachment to place</x:v>
      </x:c>
      <x:c r="F9" s="41" t="str">
        <x:v>Material commitment</x:v>
      </x:c>
      <x:c r="G9" s="41" t="str">
        <x:v>I2</x:v>
      </x:c>
    </x:row>
    <x:row r="10">
      <x:c r="A10" s="41" t="str">
        <x:v>5</x:v>
      </x:c>
      <x:c r="B10" s="41" t="str">
        <x:v>Water Run</x:v>
      </x:c>
      <x:c r="C10" s="41" t="str">
        <x:v>Establish hydration continuity beyond shelter</x:v>
      </x:c>
      <x:c r="D10" s="41" t="str">
        <x:v>locate / assess / contain / treat</x:v>
      </x:c>
      <x:c r="E10" s="41" t="str">
        <x:v>Home water operation</x:v>
      </x:c>
      <x:c r="F10" s="41" t="str">
        <x:v>Distance, contamination and load</x:v>
      </x:c>
      <x:c r="G10" s="41" t="str">
        <x:v>I3</x:v>
      </x:c>
    </x:row>
    <x:row r="11">
      <x:c r="A11" s="41" t="str">
        <x:v>6</x:v>
      </x:c>
      <x:c r="B11" s="41" t="str">
        <x:v>Wreck Window</x:v>
      </x:c>
      <x:c r="C11" s="41" t="str">
        <x:v>Act on a changing opportunity</x:v>
      </x:c>
      <x:c r="D11" s="41" t="str">
        <x:v>observe / stabilize / access / detach</x:v>
      </x:c>
      <x:c r="E11" s="41" t="str">
        <x:v>Capability-changing object and site consequence</x:v>
      </x:c>
      <x:c r="F11" s="41" t="str">
        <x:v>Tide, weather and injury</x:v>
      </x:c>
      <x:c r="G11" s="41" t="str">
        <x:v>I5</x:v>
      </x:c>
    </x:row>
    <x:row r="12">
      <x:c r="A12" s="41" t="str">
        <x:v>7</x:v>
      </x:c>
      <x:c r="B12" s="41" t="str">
        <x:v>Maker Lab</x:v>
      </x:c>
      <x:c r="C12" s="41" t="str">
        <x:v>Convert evidence into repeatable capability</x:v>
      </x:c>
      <x:c r="D12" s="41" t="str">
        <x:v>compare / measure / jig / document</x:v>
      </x:c>
      <x:c r="E12" s="41" t="str">
        <x:v>Dependable pattern and archive</x:v>
      </x:c>
      <x:c r="F12" s="41" t="str">
        <x:v>Precision and scarcity</x:v>
      </x:c>
      <x:c r="G12" s="41" t="str">
        <x:v>I4–I5</x:v>
      </x:c>
    </x:row>
    <x:row r="13">
      <x:c r="A13" s="41" t="str">
        <x:v>8</x:v>
      </x:c>
      <x:c r="B13" s="41" t="str">
        <x:v>Working home</x:v>
      </x:c>
      <x:c r="C13" s="41" t="str">
        <x:v>Make safety productive but costly</x:v>
      </x:c>
      <x:c r="D13" s="41" t="str">
        <x:v>store / repair / preserve / cultivate</x:v>
      </x:c>
      <x:c r="E13" s="41" t="str">
        <x:v>Routes and obligations</x:v>
      </x:c>
      <x:c r="F13" s="41" t="str">
        <x:v>Maintenance and logistics</x:v>
      </x:c>
      <x:c r="G13" s="41" t="str">
        <x:v>I5+</x:v>
      </x:c>
    </x:row>
    <x:row r="14">
      <x:c r="A14" s="41" t="str">
        <x:v>9</x:v>
      </x:c>
      <x:c r="B14" s="41" t="str">
        <x:v>Fishing boat B0–B3</x:v>
      </x:c>
      <x:c r="C14" s="41" t="str">
        <x:v>Make a partial legacy machine useful</x:v>
      </x:c>
      <x:c r="D14" s="41" t="str">
        <x:v>secure / patch / launch / load / paddle</x:v>
      </x:c>
      <x:c r="E14" s="41" t="str">
        <x:v>Floating/paddled workboat</x:v>
      </x:c>
      <x:c r="F14" s="41" t="str">
        <x:v>Flotation, balance and exposure</x:v>
      </x:c>
      <x:c r="G14" s="41" t="str">
        <x:v>I6</x:v>
      </x:c>
    </x:row>
    <x:row r="15">
      <x:c r="A15" s="41" t="str">
        <x:v>10</x:v>
      </x:c>
      <x:c r="B15" s="41" t="str">
        <x:v>Sea and depth</x:v>
      </x:c>
      <x:c r="C15" s="41" t="str">
        <x:v>Extend reachable world</x:v>
      </x:c>
      <x:c r="D15" s="41" t="str">
        <x:v>navigate / reboard / dive / recover</x:v>
      </x:c>
      <x:c r="E15" s="41" t="str">
        <x:v>New material, evidence and routes</x:v>
      </x:c>
      <x:c r="F15" s="41" t="str">
        <x:v>Weather, air and return reserve</x:v>
      </x:c>
      <x:c r="G15" s="41" t="str">
        <x:v>I6+</x:v>
      </x:c>
    </x:row>
    <x:row r="16">
      <x:c r="A16" s="41" t="str">
        <x:v>11</x:v>
      </x:c>
      <x:c r="B16" s="41" t="str">
        <x:v>Return Program</x:v>
      </x:c>
      <x:c r="C16" s="41" t="str">
        <x:v>Build one credible way outward</x:v>
      </x:c>
      <x:c r="D16" s="41" t="str">
        <x:v>authenticate / repair / test / provision</x:v>
      </x:c>
      <x:c r="E16" s="41" t="str">
        <x:v>Actionable return hypothesis</x:v>
      </x:c>
      <x:c r="F16" s="41" t="str">
        <x:v>Proof, compatibility and timing</x:v>
      </x:c>
      <x:c r="G16" s="41" t="str">
        <x:v>I7</x:v>
      </x:c>
    </x:row>
    <x:row r="17">
      <x:c r="A17" s="41" t="str">
        <x:v>12</x:v>
      </x:c>
      <x:c r="B17" s="41" t="str">
        <x:v>Boundary operation</x:v>
      </x:c>
      <x:c r="C17" s="41" t="str">
        <x:v>Leave through play, not a cutscene</x:v>
      </x:c>
      <x:c r="D17" s="41" t="str">
        <x:v>launch / transmit / cross / rendezvous</x:v>
      </x:c>
      <x:c r="E17" s="41" t="str">
        <x:v>External commitment</x:v>
      </x:c>
      <x:c r="F17" s="41" t="str">
        <x:v>Navigation and irreversibility</x:v>
      </x:c>
      <x:c r="G17" s="41" t="str">
        <x:v>I7</x:v>
      </x:c>
    </x:row>
    <x:row r="18">
      <x:c r="A18" s="41" t="str">
        <x:v>13</x:v>
      </x:c>
      <x:c r="B18" s="41" t="str">
        <x:v>Reception</x:v>
      </x:c>
      <x:c r="C18" s="41" t="str">
        <x:v>Survive the world beyond the anomaly</x:v>
      </x:c>
      <x:c r="D18" s="41" t="str">
        <x:v>identify / explain / travel</x:v>
      </x:c>
      <x:c r="E18" s="41" t="str">
        <x:v>Recognized person and resolved thread</x:v>
      </x:c>
      <x:c r="F18" s="41" t="str">
        <x:v>Credibility, time and jurisdiction</x:v>
      </x:c>
      <x:c r="G18" s="41" t="str">
        <x:v>I7</x:v>
      </x:c>
    </x:row>
    <x:row r="19">
      <x:c r="A19" s="42" t="str">
        <x:v>14</x:v>
      </x:c>
      <x:c r="B19" s="42" t="str">
        <x:v>Chosen ending / successor</x:v>
      </x:c>
      <x:c r="C19" s="42" t="str">
        <x:v>Decide what home means or continue legacy</x:v>
      </x:c>
      <x:c r="D19" s="42" t="str">
        <x:v>return / remain / prepare / arrive</x:v>
      </x:c>
      <x:c r="E19" s="42" t="str">
        <x:v>Campaign statement and changed world</x:v>
      </x:c>
      <x:c r="F19" s="42" t="str">
        <x:v>Attachment, obligation and loss</x:v>
      </x:c>
      <x:c r="G19" s="42" t="str">
        <x:v>I8+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9" hidden="0" customWidth="1"/>
    <x:col min="3" max="3" width="52" hidden="0" customWidth="1"/>
    <x:col min="4" max="4" width="68" hidden="0" customWidth="1"/>
  </x:cols>
  <x:sheetData>
    <x:row r="1" ht="30" customHeight="1">
      <x:c r="A1" s="3" t="str">
        <x:v>Sources and Evidence</x:v>
      </x:c>
      <x:c r="B1" s="3"/>
      <x:c r="C1" s="3"/>
      <x:c r="D1" s="3"/>
    </x:row>
    <x:row r="2" ht="34" customHeight="1">
      <x:c r="A2" s="7" t="str">
        <x:v>Primary project files and official game/developer references used for the audit. URLs are plain text for auditability.</x:v>
      </x:c>
      <x:c r="B2" s="7"/>
      <x:c r="C2" s="7"/>
      <x:c r="D2" s="7"/>
    </x:row>
    <x:row r="4" ht="30" customHeight="1">
      <x:c r="A4" s="30" t="str">
        <x:v>Source</x:v>
      </x:c>
      <x:c r="B4" s="31" t="str">
        <x:v>Capability</x:v>
      </x:c>
      <x:c r="C4" s="31" t="str">
        <x:v>Use in model</x:v>
      </x:c>
      <x:c r="D4" s="32" t="str">
        <x:v>URL / file</x:v>
      </x:c>
    </x:row>
    <x:row r="5">
      <x:c r="A5" s="40" t="str">
        <x:v>Design Bible v2.4</x:v>
      </x:c>
      <x:c r="B5" s="40" t="str">
        <x:v>Crash, thermal, wreckfall, boat, legacy</x:v>
      </x:c>
      <x:c r="C5" s="40" t="str">
        <x:v>First-life profile and governing laws</x:v>
      </x:c>
      <x:c r="D5" s="40" t="str">
        <x:v>the_first_night_design_bible_v2_4_crash_wreckfall_thermal_boat_and_legacy_civilization.md</x:v>
      </x:c>
    </x:row>
    <x:row r="6">
      <x:c r="A6" s="41" t="str">
        <x:v>Design Bible v2.3</x:v>
      </x:c>
      <x:c r="B6" s="41" t="str">
        <x:v>Invention, dependency, activity</x:v>
      </x:c>
      <x:c r="C6" s="41" t="str">
        <x:v>Empty book, tool ancestry and workload contract</x:v>
      </x:c>
      <x:c r="D6" s="41" t="str">
        <x:v>the_first_night_design_bible_v2_3_invention_manufacture_and_embodied_growth.md</x:v>
      </x:c>
    </x:row>
    <x:row r="7">
      <x:c r="A7" s="41" t="str">
        <x:v>Design Bible v2.2</x:v>
      </x:c>
      <x:c r="B7" s="41" t="str">
        <x:v>Homeward Engine and truth status</x:v>
      </x:c>
      <x:c r="C7" s="41" t="str">
        <x:v>Campaign structure and production evidence</x:v>
      </x:c>
      <x:c r="D7" s="41" t="str">
        <x:v>the_first_night_design_bible_v2_2_signature_edition.md</x:v>
      </x:c>
    </x:row>
    <x:row r="8">
      <x:c r="A8" s="41" t="str">
        <x:v>v0.14</x:v>
      </x:c>
      <x:c r="B8" s="41" t="str">
        <x:v>Shelter-world balance</x:v>
      </x:c>
      <x:c r="C8" s="41" t="str">
        <x:v>First-night target bands</x:v>
      </x:c>
      <x:c r="D8" s="41" t="str">
        <x:v>the_first_night_shelter_world_balance_constitution_v0_14.md</x:v>
      </x:c>
    </x:row>
    <x:row r="9">
      <x:c r="A9" s="41" t="str">
        <x:v>Repository</x:v>
      </x:c>
      <x:c r="B9" s="41" t="str">
        <x:v>As-built state</x:v>
      </x:c>
      <x:c r="C9" s="41" t="str">
        <x:v>Implementation and acceptance truth</x:v>
      </x:c>
      <x:c r="D9" s="41" t="str">
        <x:v>the-first-night-3d/docs/AS_BUILT.md | AUDIT.md | KNOWN_LIMITATIONS.md</x:v>
      </x:c>
    </x:row>
    <x:row r="10">
      <x:c r="A10" s="41" t="str">
        <x:v>The Long Dark</x:v>
      </x:c>
      <x:c r="B10" s="41" t="str">
        <x:v>Environmental survival</x:v>
      </x:c>
      <x:c r="C10" s="41" t="str">
        <x:v>Time, cold, hunger, thirst and fatigue as a connected survival economy</x:v>
      </x:c>
      <x:c r="D10" s="41" t="str">
        <x:v>https://www.thelongdark.com/survival-mode/</x:v>
      </x:c>
    </x:row>
    <x:row r="11">
      <x:c r="A11" s="41" t="str">
        <x:v>Green Hell</x:v>
      </x:c>
      <x:c r="B11" s="41" t="str">
        <x:v>Body inspection</x:v>
      </x:c>
      <x:c r="C11" s="41" t="str">
        <x:v>Actionable physical and psychological survival state</x:v>
      </x:c>
      <x:c r="D11" s="41" t="str">
        <x:v>https://greenhell-game.com/</x:v>
      </x:c>
    </x:row>
    <x:row r="12">
      <x:c r="A12" s="41" t="str">
        <x:v>Vintage Story</x:v>
      </x:c>
      <x:c r="B12" s="41" t="str">
        <x:v>Embodied technology</x:v>
      </x:c>
      <x:c r="C12" s="41" t="str">
        <x:v>Knapping, clay, metallurgy, simulation and civilization progression</x:v>
      </x:c>
      <x:c r="D12" s="41" t="str">
        <x:v>https://www.vintagestory.at/</x:v>
      </x:c>
    </x:row>
    <x:row r="13">
      <x:c r="A13" s="41" t="str">
        <x:v>Project Zomboid</x:v>
      </x:c>
      <x:c r="B13" s="41" t="str">
        <x:v>Long-world manufacture</x:v>
      </x:c>
      <x:c r="C13" s="41" t="str">
        <x:v>Workstations, skills, sustainability and anti-recipe-bloat goals</x:v>
      </x:c>
      <x:c r="D13" s="41" t="str">
        <x:v>https://projectzomboid.com/blog/features-overview-build-42-20/</x:v>
      </x:c>
    </x:row>
    <x:row r="14">
      <x:c r="A14" s="41" t="str">
        <x:v>Project Zomboid</x:v>
      </x:c>
      <x:c r="B14" s="41" t="str">
        <x:v>Crafting design</x:v>
      </x:c>
      <x:c r="C14" s="41" t="str">
        <x:v>Long-world self-sufficiency and sensible gating</x:v>
      </x:c>
      <x:c r="D14" s="41" t="str">
        <x:v>https://projectzomboid.com/blog/news/2023/04/crafting-ramblz/</x:v>
      </x:c>
    </x:row>
    <x:row r="15">
      <x:c r="A15" s="41" t="str">
        <x:v>Valheim</x:v>
      </x:c>
      <x:c r="B15" s="41" t="str">
        <x:v>Building/home/expedition</x:v>
      </x:c>
      <x:c r="C15" s="41" t="str">
        <x:v>Expressive home and sailing progression</x:v>
      </x:c>
      <x:c r="D15" s="41" t="str">
        <x:v>https://www.valheimgame.com/</x:v>
      </x:c>
    </x:row>
    <x:row r="16">
      <x:c r="A16" s="41" t="str">
        <x:v>Rust</x:v>
      </x:c>
      <x:c r="B16" s="41" t="str">
        <x:v>Reasons to leave base</x:v>
      </x:c>
      <x:c r="C16" s="41" t="str">
        <x:v>Spatial progression pressure and discovery pacing</x:v>
      </x:c>
      <x:c r="D16" s="41" t="str">
        <x:v>https://rust.facepunch.com/news/meta-shift</x:v>
      </x:c>
    </x:row>
    <x:row r="17">
      <x:c r="A17" s="41" t="str">
        <x:v>Subnautica</x:v>
      </x:c>
      <x:c r="B17" s="41" t="str">
        <x:v>Underwater exploration</x:v>
      </x:c>
      <x:c r="C17" s="41" t="str">
        <x:v>Wonder/fear, bases, tools and mystery</x:v>
      </x:c>
      <x:c r="D17" s="41" t="str">
        <x:v>https://subnautica.com/en</x:v>
      </x:c>
    </x:row>
    <x:row r="18">
      <x:c r="A18" s="41" t="str">
        <x:v>Outer Wilds</x:v>
      </x:c>
      <x:c r="B18" s="41" t="str">
        <x:v>Knowledge-led mystery</x:v>
      </x:c>
      <x:c r="C18" s="41" t="str">
        <x:v>Curiosity, changing world and early ending prototype</x:v>
      </x:c>
      <x:c r="D18" s="41" t="str">
        <x:v>https://www.mobiusdigitalgames.com/outer-wilds.html</x:v>
      </x:c>
    </x:row>
    <x:row r="19">
      <x:c r="A19" s="41" t="str">
        <x:v>Raft</x:v>
      </x:c>
      <x:c r="B19" s="41" t="str">
        <x:v>Vessel progression</x:v>
      </x:c>
      <x:c r="C19" s="41" t="str">
        <x:v>Build/research/navigate/dive nested maritime loop</x:v>
      </x:c>
      <x:c r="D19" s="41" t="str">
        <x:v>https://raft.itch.io/raft</x:v>
      </x:c>
    </x:row>
    <x:row r="20">
      <x:c r="A20" s="42" t="str">
        <x:v>Stranded Deep</x:v>
      </x:c>
      <x:c r="B20" s="42" t="str">
        <x:v>Crash-island escape</x:v>
      </x:c>
      <x:c r="C20" s="42" t="str">
        <x:v>Legible survival-and-escape fantasy</x:v>
      </x:c>
      <x:c r="D20" s="42" t="str">
        <x:v>https://store.steampowered.com/app/313120/Stranded_Deep/</x:v>
      </x:c>
    </x:row>
  </x:sheetData>
  <x:mergeCells>
    <x:mergeCell ref="A1:D1"/>
    <x:mergeCell ref="A2:D2"/>
  </x:mergeCells>
  <x:pageMargins left="0.7" right="0.7" top="0.75" bottom="0.75" header="0.3" footer="0.3"/>
</x:worksheet>
</file>