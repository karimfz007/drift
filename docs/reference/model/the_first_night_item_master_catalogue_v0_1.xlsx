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0bb580823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cc0af9bf514f7c"/>
    <x:sheet xmlns:r="http://schemas.openxmlformats.org/officeDocument/2006/relationships" name="All Current Names" sheetId="2" r:id="Rd963041fa2234ec7"/>
    <x:sheet xmlns:r="http://schemas.openxmlformats.org/officeDocument/2006/relationships" name="Master Catalogue" sheetId="3" r:id="R3a023432421f4194"/>
    <x:sheet xmlns:r="http://schemas.openxmlformats.org/officeDocument/2006/relationships" name="Tools" sheetId="4" r:id="R9d187d2ea9b04280"/>
    <x:sheet xmlns:r="http://schemas.openxmlformats.org/officeDocument/2006/relationships" name="Weapons Audit" sheetId="5" r:id="Rac418c9199a34b1a"/>
    <x:sheet xmlns:r="http://schemas.openxmlformats.org/officeDocument/2006/relationships" name="Steam-Electric" sheetId="6" r:id="R86fa697e2c034c4d"/>
    <x:sheet xmlns:r="http://schemas.openxmlformats.org/officeDocument/2006/relationships" name="Canon Gaps" sheetId="7" r:id="R3fc4cbf6db304a04"/>
    <x:sheet xmlns:r="http://schemas.openxmlformats.org/officeDocument/2006/relationships" name="Director Additions" sheetId="8" r:id="Ref4ac4f5044a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03247"/>
      <x:name val="Carlito"/>
    </x:font>
    <x:font>
      <x:b/>
      <x:sz val="10"/>
      <x:color rgb="FFFFFFFF"/>
      <x:name val="Carlito"/>
    </x:font>
    <x:font>
      <x:sz val="10"/>
      <x:color rgb="FF182230"/>
      <x:name val="Carlito"/>
    </x:font>
    <x:font>
      <x:b/>
      <x:sz val="11"/>
      <x:color rgb="FFFFFFFF"/>
      <x:name val="Carlito"/>
    </x:font>
    <x:font>
      <x:b/>
      <x:sz val="10"/>
      <x:color rgb="FFD9663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B2638"/>
      </x:patternFill>
    </x:fill>
    <x:fill>
      <x:patternFill patternType="solid">
        <x:fgColor rgb="FFF6F0E6"/>
      </x:patternFill>
    </x:fill>
    <x:fill>
      <x:patternFill patternType="solid">
        <x:fgColor rgb="FF203247"/>
      </x:patternFill>
    </x:fill>
    <x:fill>
      <x:patternFill patternType="solid">
        <x:fgColor rgb="FFEEF2F5"/>
      </x:patternFill>
    </x:fill>
    <x:fill>
      <x:patternFill patternType="solid">
        <x:fgColor rgb="FFD96632"/>
      </x:patternFill>
    </x:fill>
    <x:fill>
      <x:patternFill patternType="solid">
        <x:fgColor rgb="FFFBFAF7"/>
      </x:patternFill>
    </x:fill>
    <x:fill>
      <x:patternFill patternType="solid">
        <x:fgColor rgb="FFFFF0CF"/>
      </x:patternFill>
    </x:fill>
  </x:fills>
  <x:borders count="9">
    <x:border/>
    <x:border>
      <x:left style="thin">
        <x:color rgb="FFCCD4DC"/>
      </x:left>
      <x:top style="thin">
        <x:color rgb="FFCCD4DC"/>
      </x:top>
      <x:bottom style="thin">
        <x:color rgb="FFCCD4DC"/>
      </x:bottom>
    </x:border>
    <x:border>
      <x:top style="thin">
        <x:color rgb="FFCCD4DC"/>
      </x:top>
      <x:bottom style="thin">
        <x:color rgb="FFCCD4DC"/>
      </x:bottom>
    </x:border>
    <x:border>
      <x:right style="thin">
        <x:color rgb="FFCCD4DC"/>
      </x:right>
      <x:top style="thin">
        <x:color rgb="FFCCD4DC"/>
      </x:top>
      <x:bottom style="thin">
        <x:color rgb="FFCCD4DC"/>
      </x:bottom>
    </x:border>
    <x:border>
      <x:left style="thin">
        <x:color rgb="FFCCD4DC"/>
      </x:left>
      <x:right style="thin">
        <x:color rgb="FFCCD4DC"/>
      </x:right>
      <x:top style="thin">
        <x:color rgb="FFCCD4DC"/>
      </x:top>
      <x:bottom style="thin">
        <x:color rgb="FFCCD4DC"/>
      </x:bottom>
    </x:border>
    <x:border>
      <x:bottom style="thin">
        <x:color rgb="FFCCD4DC"/>
      </x:bottom>
    </x:border>
    <x:border>
      <x:top style="thin">
        <x:color rgb="FFCCD4DC"/>
      </x:top>
    </x:border>
    <x:border>
      <x:bottom style="thin">
        <x:color rgb="FFE1E6EA"/>
      </x:bottom>
    </x:border>
    <x:border>
      <x:top style="thin">
        <x:color rgb="FFE1E6EA"/>
      </x:top>
      <x:bottom style="thin">
        <x:color rgb="FFE1E6EA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200" fontId="4" fillId="5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5" xfId="0" applyNumberFormat="1" applyFont="1" applyFill="1" applyBorder="1"/>
    <x:xf numFmtId="0" fontId="4" fillId="7" borderId="2" xfId="0" applyNumberFormat="1" applyFont="1" applyFill="1" applyBorder="1"/>
    <x:xf numFmtId="0" fontId="4" fillId="7" borderId="6" xfId="0" applyNumberFormat="1" applyFont="1" applyFill="1" applyBorder="1"/>
    <x:xf numFmtId="0" fontId="4" fillId="7" borderId="5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8" xfId="0" applyNumberFormat="1" applyFont="1" applyFill="1" applyBorder="1" applyAlignment="1">
      <x:alignment vertical="top" wrapText="1"/>
    </x:xf>
    <x:xf numFmtId="200" fontId="4" fillId="0" borderId="7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8" borderId="7" xfId="0" applyNumberFormat="1" applyFont="1" applyFill="1" applyBorder="1" applyAlignment="1">
      <x:alignment vertical="top" wrapText="1"/>
    </x:xf>
    <x:xf numFmtId="200" fontId="4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8B1E17"/>
      </x:font>
      <x:fill>
        <x:patternFill patternType="solid">
          <x:bgColor rgb="FFF7D9D5"/>
        </x:patternFill>
      </x:fill>
    </x:dxf>
    <x:dxf>
      <x:font>
        <x:color rgb="FF155C45"/>
      </x:font>
      <x:fill>
        <x:patternFill patternType="solid">
          <x:bgColor rgb="FFDDEFE8"/>
        </x:patternFill>
      </x:fill>
    </x:dxf>
    <x:dxf>
      <x:font>
        <x:b/>
        <x:color rgb="FF8B1E17"/>
      </x:font>
      <x:fill>
        <x:patternFill patternType="solid">
          <x:bgColor rgb="FFF7D9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762a843184992" /><Relationship Type="http://schemas.openxmlformats.org/officeDocument/2006/relationships/theme" Target="/xl/theme/theme1.xml" Id="R609deab522da4224" /><Relationship Type="http://schemas.openxmlformats.org/officeDocument/2006/relationships/sharedStrings" Target="/xl/sharedStrings.xml" Id="R652deb1ba04b47ca" /><Relationship Type="http://schemas.openxmlformats.org/officeDocument/2006/relationships/worksheet" Target="/xl/worksheets/sheet1.xml" Id="Reacc0af9bf514f7c" /><Relationship Type="http://schemas.openxmlformats.org/officeDocument/2006/relationships/worksheet" Target="/xl/worksheets/sheet2.xml" Id="Rd963041fa2234ec7" /><Relationship Type="http://schemas.openxmlformats.org/officeDocument/2006/relationships/worksheet" Target="/xl/worksheets/sheet3.xml" Id="R3a023432421f4194" /><Relationship Type="http://schemas.openxmlformats.org/officeDocument/2006/relationships/worksheet" Target="/xl/worksheets/sheet4.xml" Id="R9d187d2ea9b04280" /><Relationship Type="http://schemas.openxmlformats.org/officeDocument/2006/relationships/worksheet" Target="/xl/worksheets/sheet5.xml" Id="Rac418c9199a34b1a" /><Relationship Type="http://schemas.openxmlformats.org/officeDocument/2006/relationships/worksheet" Target="/xl/worksheets/sheet6.xml" Id="R86fa697e2c034c4d" /><Relationship Type="http://schemas.openxmlformats.org/officeDocument/2006/relationships/worksheet" Target="/xl/worksheets/sheet7.xml" Id="R3fc4cbf6db304a04" /><Relationship Type="http://schemas.openxmlformats.org/officeDocument/2006/relationships/worksheet" Target="/xl/worksheets/sheet8.xml" Id="Ref4ac4f5044a4d03" /></Relationships>
</file>

<file path=xl/tables/table1.xml><?xml version="1.0" encoding="utf-8"?>
<x:table xmlns:x="http://schemas.openxmlformats.org/spreadsheetml/2006/main" id="1" name="AllCurrentNamesTable" displayName="AllCurrentNamesTable" ref="A4:I226" headerRowCount="1" totalsRowCount="0" totalsRowShown="0">
  <x:autoFilter ref="A4:I226"/>
  <x:tableColumns count="9">
    <x:tableColumn id="1" name="#"/>
    <x:tableColumn id="2" name="Name"/>
    <x:tableColumn id="3" name="Domain"/>
    <x:tableColumn id="4" name="Class"/>
    <x:tableColumn id="5" name="Threshold"/>
    <x:tableColumn id="6" name="Player-facing form"/>
    <x:tableColumn id="7" name="Catalogue status"/>
    <x:tableColumn id="8" name="Director action"/>
    <x:tableColumn id="9" name="Director notes / missing varia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CatalogueTable" displayName="MasterCatalogueTable" ref="A4:W226" headerRowCount="1" totalsRowCount="0" totalsRowShown="0">
  <x:autoFilter ref="A4:W226"/>
  <x:tableColumns count="23">
    <x:tableColumn id="1" name="Node ID"/>
    <x:tableColumn id="2" name="Name"/>
    <x:tableColumn id="3" name="Domain"/>
    <x:tableColumn id="4" name="Class"/>
    <x:tableColumn id="5" name="Threshold"/>
    <x:tableColumn id="6" name="Player-facing form"/>
    <x:tableColumn id="7" name="Carryable?"/>
    <x:tableColumn id="8" name="Current pathway"/>
    <x:tableColumn id="9" name="Inputs"/>
    <x:tableColumn id="10" name="Operations"/>
    <x:tableColumn id="11" name="Required tools"/>
    <x:tableColumn id="12" name="Workspace"/>
    <x:tableColumn id="13" name="Skills / knowledge"/>
    <x:tableColumn id="14" name="Body demand"/>
    <x:tableColumn id="15" name="Active min"/>
    <x:tableColumn id="16" name="Passive min"/>
    <x:tableColumn id="17" name="Qualification test"/>
    <x:tableColumn id="18" name="Failure"/>
    <x:tableColumn id="19" name="Weapon relation"/>
    <x:tableColumn id="20" name="Steam/electric relation"/>
    <x:tableColumn id="21" name="Catalogue status"/>
    <x:tableColumn id="22" name="Director action"/>
    <x:tableColumn id="23" name="Directo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rentToolsTable" displayName="CurrentToolsTable" ref="A4:L36" headerRowCount="1" totalsRowCount="0" totalsRowShown="0">
  <x:autoFilter ref="A4:L36"/>
  <x:tableColumns count="12">
    <x:tableColumn id="1" name="#"/>
    <x:tableColumn id="2" name="Node ID"/>
    <x:tableColumn id="3" name="Name"/>
    <x:tableColumn id="4" name="Domain"/>
    <x:tableColumn id="5" name="Threshold"/>
    <x:tableColumn id="6" name="Inputs"/>
    <x:tableColumn id="7" name="Required tools"/>
    <x:tableColumn id="8" name="Workspace"/>
    <x:tableColumn id="9" name="Skills / knowledge"/>
    <x:tableColumn id="10" name="Active min"/>
    <x:tableColumn id="11" name="Qualification"/>
    <x:tableColumn id="12" name="Audit not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urrentWeaponsTable" displayName="CurrentWeaponsTable" ref="A4:H11" headerRowCount="1" totalsRowCount="0" totalsRowShown="0">
  <x:autoFilter ref="A4:H11"/>
  <x:tableColumns count="8">
    <x:tableColumn id="1" name="Node ID"/>
    <x:tableColumn id="2" name="Current name"/>
    <x:tableColumn id="3" name="Domain"/>
    <x:tableColumn id="4" name="Class"/>
    <x:tableColumn id="5" name="Threshold"/>
    <x:tableColumn id="6" name="Combat relation"/>
    <x:tableColumn id="7" name="Inputs"/>
    <x:tableColumn id="8" name="Qualification"/>
  </x:tableColumns>
  <x:tableStyleInfo name="TableStyleMedium3" showFirstColumn="0" showLastColumn="0" showRowStripes="1" showColumnStripes="0"/>
</x:table>
</file>

<file path=xl/tables/table5.xml><?xml version="1.0" encoding="utf-8"?>
<x:table xmlns:x="http://schemas.openxmlformats.org/spreadsheetml/2006/main" id="5" name="MissingWeaponsTable" displayName="MissingWeaponsTable" ref="A15:G41" headerRowCount="1" totalsRowCount="0" totalsRowShown="0">
  <x:autoFilter ref="A15:G41"/>
  <x:tableColumns count="7">
    <x:tableColumn id="1" name="Earlier-canon name"/>
    <x:tableColumn id="2" name="Family"/>
    <x:tableColumn id="3" name="Source"/>
    <x:tableColumn id="4" name="v2.8 status"/>
    <x:tableColumn id="5" name="Closest node"/>
    <x:tableColumn id="6" name="Director action"/>
    <x:tableColumn id="7" name="Director notes"/>
  </x:tableColumns>
  <x:tableStyleInfo name="TableStyleMedium6" showFirstColumn="0" showLastColumn="0" showRowStripes="1" showColumnStripes="0"/>
</x:table>
</file>

<file path=xl/tables/table6.xml><?xml version="1.0" encoding="utf-8"?>
<x:table xmlns:x="http://schemas.openxmlformats.org/spreadsheetml/2006/main" id="6" name="CurrentSteamPowerTable" displayName="CurrentSteamPowerTable" ref="A4:K15" headerRowCount="1" totalsRowCount="0" totalsRowShown="0">
  <x:autoFilter ref="A4:K15"/>
  <x:tableColumns count="11">
    <x:tableColumn id="1" name="Node ID"/>
    <x:tableColumn id="2" name="Current name"/>
    <x:tableColumn id="3" name="Class"/>
    <x:tableColumn id="4" name="Threshold"/>
    <x:tableColumn id="5" name="Inputs"/>
    <x:tableColumn id="6" name="Required tools"/>
    <x:tableColumn id="7" name="Workspace"/>
    <x:tableColumn id="8" name="Skills / knowledge"/>
    <x:tableColumn id="9" name="Active min"/>
    <x:tableColumn id="10" name="Qualification"/>
    <x:tableColumn id="11" name="Audi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SteamDecompositionTable" displayName="SteamDecompositionTable" ref="A19:G57" headerRowCount="1" totalsRowCount="0" totalsRowShown="0">
  <x:autoFilter ref="A19:G57"/>
  <x:tableColumns count="7">
    <x:tableColumn id="1" name="Proposed ID"/>
    <x:tableColumn id="2" name="Required subassembly"/>
    <x:tableColumn id="3" name="System"/>
    <x:tableColumn id="4" name="Knowledge / skill"/>
    <x:tableColumn id="5" name="Qualification role"/>
    <x:tableColumn id="6" name="Director action"/>
    <x:tableColumn id="7" name="Director notes"/>
  </x:tableColumns>
  <x:tableStyleInfo name="TableStyleMedium6" showFirstColumn="0" showLastColumn="0" showRowStripes="1" showColumnStripes="0"/>
</x:table>
</file>

<file path=xl/tables/table8.xml><?xml version="1.0" encoding="utf-8"?>
<x:table xmlns:x="http://schemas.openxmlformats.org/spreadsheetml/2006/main" id="8" name="CanonGapTable" displayName="CanonGapTable" ref="A4:H86" headerRowCount="1" totalsRowCount="0" totalsRowShown="0">
  <x:autoFilter ref="A4:H86"/>
  <x:tableColumns count="8">
    <x:tableColumn id="1" name="Earlier-canon name"/>
    <x:tableColumn id="2" name="Category"/>
    <x:tableColumn id="3" name="Source"/>
    <x:tableColumn id="4" name="Closest current node / treatment"/>
    <x:tableColumn id="5" name="Exact v2.8 name?"/>
    <x:tableColumn id="6" name="Director action"/>
    <x:tableColumn id="7" name="Director notes"/>
    <x:tableColumn id="8" name="Priority"/>
  </x:tableColumns>
  <x:tableStyleInfo name="TableStyleMedium5" showFirstColumn="0" showLastColumn="0" showRowStripes="1" showColumnStripes="0"/>
</x:table>
</file>

<file path=xl/tables/table9.xml><?xml version="1.0" encoding="utf-8"?>
<x:table xmlns:x="http://schemas.openxmlformats.org/spreadsheetml/2006/main" id="9" name="DirectorAdditionsTable" displayName="DirectorAdditionsTable" ref="A4:Q104" headerRowCount="1" totalsRowCount="0" totalsRowShown="0">
  <x:autoFilter ref="A4:Q104"/>
  <x:tableColumns count="17">
    <x:tableColumn id="1" name="Draft ID"/>
    <x:tableColumn id="2" name="Item / object name"/>
    <x:tableColumn id="3" name="Category"/>
    <x:tableColumn id="4" name="Found ready?"/>
    <x:tableColumn id="5" name="Repairable?"/>
    <x:tableColumn id="6" name="Craftable?"/>
    <x:tableColumn id="7" name="Earliest horizon"/>
    <x:tableColumn id="8" name="Inputs / donor parts"/>
    <x:tableColumn id="9" name="Required tools"/>
    <x:tableColumn id="10" name="Workspace"/>
    <x:tableColumn id="11" name="Knowledge"/>
    <x:tableColumn id="12" name="Practical skill"/>
    <x:tableColumn id="13" name="Active min"/>
    <x:tableColumn id="14" name="Passive min"/>
    <x:tableColumn id="15" name="Qualification / proof"/>
    <x:tableColumn id="16" name="Director notes"/>
    <x:tableColumn id="17" name="Status"/>
  </x:tableColumns>
  <x:tableStyleInfo name="TableStyleMedium7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55830d5d5241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f10bcade7f43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1355ff444e4b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4d4e7f8f9d422f" /><Relationship Type="http://schemas.openxmlformats.org/officeDocument/2006/relationships/table" Target="/xl/tables/table5.xml" Id="Rfc14ee1ec21a4b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34d8058c29241e3" /><Relationship Type="http://schemas.openxmlformats.org/officeDocument/2006/relationships/table" Target="/xl/tables/table7.xml" Id="Rd473bf25ce2140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2b81fe932b9946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3aed0b49632340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3" t="str">
        <x:v>THE FIRST NIGHT — Item Master Catalogue v0.1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2" customHeight="1">
      <x:c r="A2" s="7" t="str">
        <x:v>Exact extraction from the v2.8 222-node capability graph, plus a weapon audit, steam-to-electricity decomposition, recovered earlier-canon gaps, and Director-editable review fields. This catalogue does not claim that every graph node is an inventory item.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6" t="str">
        <x:v>Current graph</x:v>
      </x:c>
      <x:c r="B4" s="17" t="str">
        <x:v>Count</x:v>
      </x:c>
      <x:c r="C4" s="17" t="str">
        <x:v>Classification</x:v>
      </x:c>
      <x:c r="D4" s="17" t="str">
        <x:v>Count</x:v>
      </x:c>
      <x:c r="E4" s="17" t="str">
        <x:v>Combat</x:v>
      </x:c>
      <x:c r="F4" s="17" t="str">
        <x:v>Count</x:v>
      </x:c>
      <x:c r="G4" s="17" t="str">
        <x:v>Industrial</x:v>
      </x:c>
      <x:c r="H4" s="17" t="str">
        <x:v>Count</x:v>
      </x:c>
      <x:c r="I4" s="17" t="str">
        <x:v>Review</x:v>
      </x:c>
      <x:c r="J4" s="18" t="str">
        <x:v>Count</x:v>
      </x:c>
    </x:row>
    <x:row r="5">
      <x:c r="A5" s="22" t="str">
        <x:v>All named nodes</x:v>
      </x:c>
      <x:c r="B5" s="23" t="n">
        <x:f>COUNTA('Master Catalogue'!$A$5:$A$304)</x:f>
        <x:v>222</x:v>
      </x:c>
      <x:c r="C5" s="22" t="str">
        <x:v>Tool-class nodes</x:v>
      </x:c>
      <x:c r="D5" s="23" t="n">
        <x:f>COUNTIF('Master Catalogue'!$D$5:$D$304,"Tool")</x:f>
        <x:v>32</x:v>
      </x:c>
      <x:c r="E5" s="22" t="str">
        <x:v>Formal Weapons-domain nodes</x:v>
      </x:c>
      <x:c r="F5" s="23" t="n">
        <x:f>COUNTIF('Master Catalogue'!$C$5:$C$304,"Weapons")</x:f>
        <x:v>3</x:v>
      </x:c>
      <x:c r="G5" s="22" t="str">
        <x:v>Current power-chain nodes</x:v>
      </x:c>
      <x:c r="H5" s="23" t="n">
        <x:f>COUNTA('Steam-Electric'!$A$5:$A$15)</x:f>
        <x:v>11</x:v>
      </x:c>
      <x:c r="I5" s="22" t="str">
        <x:v>Director decisions entered</x:v>
      </x:c>
      <x:c r="J5" s="23" t="n">
        <x:f>COUNTIF('All Current Names'!$H$5:$H$304,"?*")</x:f>
        <x:v>0</x:v>
      </x:c>
    </x:row>
    <x:row r="6">
      <x:c r="A6" s="22" t="str">
        <x:v>Sources</x:v>
      </x:c>
      <x:c r="B6" s="23" t="n">
        <x:f>COUNTIF('Master Catalogue'!$D$5:$D$304,"Source")</x:f>
        <x:v>48</x:v>
      </x:c>
      <x:c r="C6" s="22" t="str">
        <x:v>General Tools-domain tools</x:v>
      </x:c>
      <x:c r="D6" s="23" t="n">
        <x:f>COUNTIFS('Master Catalogue'!$C$5:$C$304,"Tools",'Master Catalogue'!$D$5:$D$304,"Tool")</x:f>
        <x:v>23</x:v>
      </x:c>
      <x:c r="E6" s="22" t="str">
        <x:v>True weapon families</x:v>
      </x:c>
      <x:c r="F6" s="23" t="n">
        <x:v>2</x:v>
      </x:c>
      <x:c r="G6" s="22" t="str">
        <x:v>Core steam nodes</x:v>
      </x:c>
      <x:c r="H6" s="23" t="n">
        <x:v>6</x:v>
      </x:c>
      <x:c r="I6" s="22" t="str">
        <x:v>Recovered exact-name gaps</x:v>
      </x:c>
      <x:c r="J6" s="23" t="n">
        <x:f>COUNTIF('Canon Gaps'!$E$5:$E$160,"No")</x:f>
        <x:v>82</x:v>
      </x:c>
    </x:row>
    <x:row r="7">
      <x:c r="A7" s="22" t="str">
        <x:v>Production outputs</x:v>
      </x:c>
      <x:c r="B7" s="23" t="n">
        <x:f>COUNTIF('Master Catalogue'!$D$5:$D$304,"&lt;&gt;Source")-COUNTBLANK('Master Catalogue'!$D$5:$D$304)-COUNTIF('Master Catalogue'!$D$5:$D$304,"Process")-COUNTIF('Master Catalogue'!$D$5:$D$304,"Capability")</x:f>
        <x:v>167</x:v>
      </x:c>
      <x:c r="C7" s="22" t="str">
        <x:v>Workspaces</x:v>
      </x:c>
      <x:c r="D7" s="23" t="n">
        <x:f>COUNTIF('Master Catalogue'!$D$5:$D$304,"Workspace")</x:f>
        <x:v>14</x:v>
      </x:c>
      <x:c r="E7" s="22" t="str">
        <x:v>Ammunition families</x:v>
      </x:c>
      <x:c r="F7" s="23" t="n">
        <x:v>1</x:v>
      </x:c>
      <x:c r="G7" s="22" t="str">
        <x:v>Proposed steam/electric subassemblies</x:v>
      </x:c>
      <x:c r="H7" s="23" t="n">
        <x:f>COUNTA('Steam-Electric'!$A$20:$A$60)</x:f>
        <x:v>38</x:v>
      </x:c>
      <x:c r="I7" s="22" t="str">
        <x:v>Director additions entered</x:v>
      </x:c>
      <x:c r="J7" s="23" t="n">
        <x:f>COUNTIF('Director Additions'!$B$5:$B$104,"?*")</x:f>
        <x:v>0</x:v>
      </x:c>
    </x:row>
    <x:row r="9">
      <x:c r="A9" s="26" t="str">
        <x:v>Decisive audit</x:v>
      </x:c>
      <x:c r="B9" s="26"/>
      <x:c r="C9" s="26"/>
      <x:c r="D9" s="26"/>
      <x:c r="E9" s="26"/>
      <x:c r="F9" s="26"/>
      <x:c r="G9" s="26"/>
      <x:c r="H9" s="26"/>
      <x:c r="I9" s="26"/>
      <x:c r="J9" s="26"/>
    </x:row>
    <x:row r="10">
      <x:c r="A10" s="38" t="str">
        <x:v>Tool count</x:v>
      </x:c>
      <x:c r="B10" s="35" t="str">
        <x:v>32 is correct only as a graph class. It combines 23 general work tools with nine specialist/equipment nodes.</x:v>
      </x:c>
      <x:c r="C10" s="35"/>
      <x:c r="D10" s="35"/>
      <x:c r="E10" s="35"/>
      <x:c r="F10" s="35"/>
      <x:c r="G10" s="35"/>
      <x:c r="H10" s="35"/>
      <x:c r="I10" s="35"/>
      <x:c r="J10" s="35"/>
    </x:row>
    <x:row r="11">
      <x:c r="A11" s="39" t="str">
        <x:v>Weapons</x:v>
      </x:c>
      <x:c r="B11" s="36" t="str">
        <x:v>Only bow and spear/harpoon are governed weapon families. Arrows, bowstring and one snare add support, but the earlier weapon roster was not carried into v2.8.</x:v>
      </x:c>
      <x:c r="C11" s="36"/>
      <x:c r="D11" s="36"/>
      <x:c r="E11" s="36"/>
      <x:c r="F11" s="36"/>
      <x:c r="G11" s="36"/>
      <x:c r="H11" s="36"/>
      <x:c r="I11" s="36"/>
      <x:c r="J11" s="36"/>
    </x:row>
    <x:row r="12">
      <x:c r="A12" s="39" t="str">
        <x:v>Steam engine</x:v>
      </x:c>
      <x:c r="B12" s="36" t="str">
        <x:v>The endpoint exists, but the engine is too compressed to be honestly craftable. The Steam-Electric sheet supplies the missing decomposition for Director review.</x:v>
      </x:c>
      <x:c r="C12" s="36"/>
      <x:c r="D12" s="36"/>
      <x:c r="E12" s="36"/>
      <x:c r="F12" s="36"/>
      <x:c r="G12" s="36"/>
      <x:c r="H12" s="36"/>
      <x:c r="I12" s="36"/>
      <x:c r="J12" s="36"/>
    </x:row>
    <x:row r="13">
      <x:c r="A13" s="39" t="str">
        <x:v>Item count</x:v>
      </x:c>
      <x:c r="B13" s="36" t="str">
        <x:v>The 222 names include sources, processes, workspaces, projects and abstract capabilities. Use All Current Names for rapid markup and Master Catalogue for the governing details.</x:v>
      </x:c>
      <x:c r="C13" s="36"/>
      <x:c r="D13" s="36"/>
      <x:c r="E13" s="36"/>
      <x:c r="F13" s="36"/>
      <x:c r="G13" s="36"/>
      <x:c r="H13" s="36"/>
      <x:c r="I13" s="36"/>
      <x:c r="J13" s="36"/>
    </x:row>
    <x:row r="14">
      <x:c r="A14" s="40" t="str">
        <x:v>Director workflow</x:v>
      </x:c>
      <x:c r="B14" s="37" t="str">
        <x:v>Mark Keep / Rename / Expand family / Split variants / Remove / Needs review in All Current Names. Add absent objects in Director Additions.</x:v>
      </x:c>
      <x:c r="C14" s="37"/>
      <x:c r="D14" s="37"/>
      <x:c r="E14" s="37"/>
      <x:c r="F14" s="37"/>
      <x:c r="G14" s="37"/>
      <x:c r="H14" s="37"/>
      <x:c r="I14" s="37"/>
      <x:c r="J14" s="37"/>
    </x:row>
  </x:sheetData>
  <x:mergeCells>
    <x:mergeCell ref="A1:J1"/>
    <x:mergeCell ref="A2:J2"/>
    <x:mergeCell ref="A9:J9"/>
    <x:mergeCell ref="B10:J10"/>
    <x:mergeCell ref="B11:J11"/>
    <x:mergeCell ref="B12:J12"/>
    <x:mergeCell ref="B13:J13"/>
    <x:mergeCell ref="B14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28" hidden="0" customWidth="1"/>
    <x:col min="8" max="8" width="18" hidden="0" customWidth="1"/>
    <x:col min="9" max="9" width="42" hidden="0" customWidth="1"/>
  </x:cols>
  <x:sheetData>
    <x:row r="1" ht="28" customHeight="1">
      <x:c r="A1" s="3" t="str">
        <x:v>All 222 Current Names</x:v>
      </x:c>
      <x:c r="B1" s="3"/>
      <x:c r="C1" s="3"/>
      <x:c r="D1" s="3"/>
      <x:c r="E1" s="3"/>
      <x:c r="F1" s="3"/>
      <x:c r="G1" s="3"/>
      <x:c r="H1" s="3"/>
      <x:c r="I1" s="3"/>
    </x:row>
    <x:row r="2" ht="42" customHeight="1">
      <x:c r="A2" s="7" t="str">
        <x:v>Every exact v2.8 node name in one filterable list. The orange columns are intended for Director markup; blank notes do not alter canon until reconciled.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6" t="str">
        <x:v>#</x:v>
      </x:c>
      <x:c r="B4" s="17" t="str">
        <x:v>Name</x:v>
      </x:c>
      <x:c r="C4" s="17" t="str">
        <x:v>Domain</x:v>
      </x:c>
      <x:c r="D4" s="17" t="str">
        <x:v>Class</x:v>
      </x:c>
      <x:c r="E4" s="17" t="str">
        <x:v>Threshold</x:v>
      </x:c>
      <x:c r="F4" s="17" t="str">
        <x:v>Player-facing form</x:v>
      </x:c>
      <x:c r="G4" s="17" t="str">
        <x:v>Catalogue status</x:v>
      </x:c>
      <x:c r="H4" s="17" t="str">
        <x:v>Director action</x:v>
      </x:c>
      <x:c r="I4" s="18" t="str">
        <x:v>Director notes / missing variant</x:v>
      </x:c>
    </x:row>
    <x:row r="5">
      <x:c r="A5" s="46" t="n">
        <x:v>1</x:v>
      </x:c>
      <x:c r="B5" s="46" t="str">
        <x:v>Triangle investigation apparatus</x:v>
      </x:c>
      <x:c r="C5" s="46" t="str">
        <x:v>Anomaly</x:v>
      </x:c>
      <x:c r="D5" s="46" t="str">
        <x:v>Endpoint</x:v>
      </x:c>
      <x:c r="E5" s="46" t="str">
        <x:v>H7</x:v>
      </x:c>
      <x:c r="F5" s="46" t="str">
        <x:v>Major end capability</x:v>
      </x:c>
      <x:c r="G5" s="46" t="str">
        <x:v>Governed node; variants not separated</x:v>
      </x:c>
      <x:c r="H5" s="48"/>
      <x:c r="I5" s="48"/>
    </x:row>
    <x:row r="6">
      <x:c r="A6" s="47" t="n">
        <x:v>2</x:v>
      </x:c>
      <x:c r="B6" s="47" t="str">
        <x:v>Anomaly matter/evidence</x:v>
      </x:c>
      <x:c r="C6" s="47" t="str">
        <x:v>Anomaly</x:v>
      </x:c>
      <x:c r="D6" s="47" t="str">
        <x:v>Source</x:v>
      </x:c>
      <x:c r="E6" s="47" t="str">
        <x:v>H0</x:v>
      </x:c>
      <x:c r="F6" s="47" t="str">
        <x:v>Recoverable/harvested resource</x:v>
      </x:c>
      <x:c r="G6" s="47" t="str">
        <x:v>Compressed family/assembly</x:v>
      </x:c>
      <x:c r="H6" s="49"/>
      <x:c r="I6" s="49"/>
    </x:row>
    <x:row r="7">
      <x:c r="A7" s="47" t="n">
        <x:v>3</x:v>
      </x:c>
      <x:c r="B7" s="47" t="str">
        <x:v>Bone/shell</x:v>
      </x:c>
      <x:c r="C7" s="47" t="str">
        <x:v>Biological</x:v>
      </x:c>
      <x:c r="D7" s="47" t="str">
        <x:v>Source</x:v>
      </x:c>
      <x:c r="E7" s="47" t="str">
        <x:v>H0</x:v>
      </x:c>
      <x:c r="F7" s="47" t="str">
        <x:v>Recoverable/harvested resource</x:v>
      </x:c>
      <x:c r="G7" s="47" t="str">
        <x:v>Compressed family/assembly</x:v>
      </x:c>
      <x:c r="H7" s="49"/>
      <x:c r="I7" s="49"/>
    </x:row>
    <x:row r="8">
      <x:c r="A8" s="47" t="n">
        <x:v>4</x:v>
      </x:c>
      <x:c r="B8" s="47" t="str">
        <x:v>Coconut</x:v>
      </x:c>
      <x:c r="C8" s="47" t="str">
        <x:v>Biological</x:v>
      </x:c>
      <x:c r="D8" s="47" t="str">
        <x:v>Source</x:v>
      </x:c>
      <x:c r="E8" s="47" t="str">
        <x:v>H0</x:v>
      </x:c>
      <x:c r="F8" s="47" t="str">
        <x:v>Recoverable/harvested resource</x:v>
      </x:c>
      <x:c r="G8" s="47" t="str">
        <x:v>Governed node; variants not separated</x:v>
      </x:c>
      <x:c r="H8" s="49"/>
      <x:c r="I8" s="49"/>
    </x:row>
    <x:row r="9">
      <x:c r="A9" s="47" t="n">
        <x:v>5</x:v>
      </x:c>
      <x:c r="B9" s="47" t="str">
        <x:v>Hide/skin</x:v>
      </x:c>
      <x:c r="C9" s="47" t="str">
        <x:v>Biological</x:v>
      </x:c>
      <x:c r="D9" s="47" t="str">
        <x:v>Source</x:v>
      </x:c>
      <x:c r="E9" s="47" t="str">
        <x:v>H0</x:v>
      </x:c>
      <x:c r="F9" s="47" t="str">
        <x:v>Recoverable/harvested resource</x:v>
      </x:c>
      <x:c r="G9" s="47" t="str">
        <x:v>Compressed family/assembly</x:v>
      </x:c>
      <x:c r="H9" s="49"/>
      <x:c r="I9" s="49"/>
    </x:row>
    <x:row r="10">
      <x:c r="A10" s="47" t="n">
        <x:v>6</x:v>
      </x:c>
      <x:c r="B10" s="47" t="str">
        <x:v>Resin/pitch source</x:v>
      </x:c>
      <x:c r="C10" s="47" t="str">
        <x:v>Biological</x:v>
      </x:c>
      <x:c r="D10" s="47" t="str">
        <x:v>Source</x:v>
      </x:c>
      <x:c r="E10" s="47" t="str">
        <x:v>H0</x:v>
      </x:c>
      <x:c r="F10" s="47" t="str">
        <x:v>Recoverable/harvested resource</x:v>
      </x:c>
      <x:c r="G10" s="47" t="str">
        <x:v>Compressed family/assembly</x:v>
      </x:c>
      <x:c r="H10" s="49"/>
      <x:c r="I10" s="49"/>
    </x:row>
    <x:row r="11">
      <x:c r="A11" s="47" t="n">
        <x:v>7</x:v>
      </x:c>
      <x:c r="B11" s="47" t="str">
        <x:v>Fired ceramic/refractory</x:v>
      </x:c>
      <x:c r="C11" s="47" t="str">
        <x:v>Ceramic</x:v>
      </x:c>
      <x:c r="D11" s="47" t="str">
        <x:v>Processed</x:v>
      </x:c>
      <x:c r="E11" s="47" t="str">
        <x:v>H4</x:v>
      </x:c>
      <x:c r="F11" s="47" t="str">
        <x:v>Processed material/consumable</x:v>
      </x:c>
      <x:c r="G11" s="47" t="str">
        <x:v>Compressed family/assembly</x:v>
      </x:c>
      <x:c r="H11" s="49"/>
      <x:c r="I11" s="49"/>
    </x:row>
    <x:row r="12">
      <x:c r="A12" s="47" t="n">
        <x:v>8</x:v>
      </x:c>
      <x:c r="B12" s="47" t="str">
        <x:v>Prepared clay body</x:v>
      </x:c>
      <x:c r="C12" s="47" t="str">
        <x:v>Ceramic</x:v>
      </x:c>
      <x:c r="D12" s="47" t="str">
        <x:v>Processed</x:v>
      </x:c>
      <x:c r="E12" s="47" t="str">
        <x:v>H2</x:v>
      </x:c>
      <x:c r="F12" s="47" t="str">
        <x:v>Processed material/consumable</x:v>
      </x:c>
      <x:c r="G12" s="47" t="str">
        <x:v>Governed node; variants not separated</x:v>
      </x:c>
      <x:c r="H12" s="49"/>
      <x:c r="I12" s="49"/>
    </x:row>
    <x:row r="13">
      <x:c r="A13" s="47" t="n">
        <x:v>9</x:v>
      </x:c>
      <x:c r="B13" s="47" t="str">
        <x:v>Kiln/firing hearth</x:v>
      </x:c>
      <x:c r="C13" s="47" t="str">
        <x:v>Ceramic</x:v>
      </x:c>
      <x:c r="D13" s="47" t="str">
        <x:v>Workspace</x:v>
      </x:c>
      <x:c r="E13" s="47" t="str">
        <x:v>H4</x:v>
      </x:c>
      <x:c r="F13" s="47" t="str">
        <x:v>Placeable workspace</x:v>
      </x:c>
      <x:c r="G13" s="47" t="str">
        <x:v>Compressed family/assembly</x:v>
      </x:c>
      <x:c r="H13" s="49"/>
      <x:c r="I13" s="49"/>
    </x:row>
    <x:row r="14">
      <x:c r="A14" s="47" t="n">
        <x:v>10</x:v>
      </x:c>
      <x:c r="B14" s="47" t="str">
        <x:v>Pump/drain/reposition marine operation</x:v>
      </x:c>
      <x:c r="C14" s="47" t="str">
        <x:v>Diving</x:v>
      </x:c>
      <x:c r="D14" s="47" t="str">
        <x:v>Endpoint</x:v>
      </x:c>
      <x:c r="E14" s="47" t="str">
        <x:v>H4</x:v>
      </x:c>
      <x:c r="F14" s="47" t="str">
        <x:v>Placeable system/capability</x:v>
      </x:c>
      <x:c r="G14" s="47" t="str">
        <x:v>Compressed family/assembly</x:v>
      </x:c>
      <x:c r="H14" s="49"/>
      <x:c r="I14" s="49"/>
    </x:row>
    <x:row r="15">
      <x:c r="A15" s="47" t="n">
        <x:v>11</x:v>
      </x:c>
      <x:c r="B15" s="47" t="str">
        <x:v>Remote camera/sonar survey</x:v>
      </x:c>
      <x:c r="C15" s="47" t="str">
        <x:v>Diving</x:v>
      </x:c>
      <x:c r="D15" s="47" t="str">
        <x:v>Endpoint</x:v>
      </x:c>
      <x:c r="E15" s="47" t="str">
        <x:v>H5</x:v>
      </x:c>
      <x:c r="F15" s="47" t="str">
        <x:v>Placeable system/capability</x:v>
      </x:c>
      <x:c r="G15" s="47" t="str">
        <x:v>Compressed family/assembly</x:v>
      </x:c>
      <x:c r="H15" s="49"/>
      <x:c r="I15" s="49"/>
    </x:row>
    <x:row r="16">
      <x:c r="A16" s="47" t="n">
        <x:v>12</x:v>
      </x:c>
      <x:c r="B16" s="47" t="str">
        <x:v>Snorkel survey capability</x:v>
      </x:c>
      <x:c r="C16" s="47" t="str">
        <x:v>Diving</x:v>
      </x:c>
      <x:c r="D16" s="47" t="str">
        <x:v>Endpoint</x:v>
      </x:c>
      <x:c r="E16" s="47" t="str">
        <x:v>H2</x:v>
      </x:c>
      <x:c r="F16" s="47" t="str">
        <x:v>Placeable system/capability</x:v>
      </x:c>
      <x:c r="G16" s="47" t="str">
        <x:v>Compressed family/assembly</x:v>
      </x:c>
      <x:c r="H16" s="49"/>
      <x:c r="I16" s="49"/>
    </x:row>
    <x:row r="17">
      <x:c r="A17" s="47" t="n">
        <x:v>13</x:v>
      </x:c>
      <x:c r="B17" s="47" t="str">
        <x:v>Tended shallow-dive line system</x:v>
      </x:c>
      <x:c r="C17" s="47" t="str">
        <x:v>Diving</x:v>
      </x:c>
      <x:c r="D17" s="47" t="str">
        <x:v>Endpoint</x:v>
      </x:c>
      <x:c r="E17" s="47" t="str">
        <x:v>H3</x:v>
      </x:c>
      <x:c r="F17" s="47" t="str">
        <x:v>Placeable system/capability</x:v>
      </x:c>
      <x:c r="G17" s="47" t="str">
        <x:v>Compressed family/assembly</x:v>
      </x:c>
      <x:c r="H17" s="49"/>
      <x:c r="I17" s="49"/>
    </x:row>
    <x:row r="18">
      <x:c r="A18" s="47" t="n">
        <x:v>14</x:v>
      </x:c>
      <x:c r="B18" s="47" t="str">
        <x:v>Qualified mask/snorkel/fin kit</x:v>
      </x:c>
      <x:c r="C18" s="47" t="str">
        <x:v>Diving</x:v>
      </x:c>
      <x:c r="D18" s="47" t="str">
        <x:v>Tool</x:v>
      </x:c>
      <x:c r="E18" s="47" t="str">
        <x:v>H2</x:v>
      </x:c>
      <x:c r="F18" s="47" t="str">
        <x:v>Carryable tool/equipment</x:v>
      </x:c>
      <x:c r="G18" s="47" t="str">
        <x:v>Compressed family/assembly</x:v>
      </x:c>
      <x:c r="H18" s="49"/>
      <x:c r="I18" s="49"/>
    </x:row>
    <x:row r="19">
      <x:c r="A19" s="47" t="n">
        <x:v>15</x:v>
      </x:c>
      <x:c r="B19" s="47" t="str">
        <x:v>Protected conductor/terminal</x:v>
      </x:c>
      <x:c r="C19" s="47" t="str">
        <x:v>Electrical</x:v>
      </x:c>
      <x:c r="D19" s="47" t="str">
        <x:v>Processed</x:v>
      </x:c>
      <x:c r="E19" s="47" t="str">
        <x:v>H4</x:v>
      </x:c>
      <x:c r="F19" s="47" t="str">
        <x:v>Processed material/consumable</x:v>
      </x:c>
      <x:c r="G19" s="47" t="str">
        <x:v>Compressed family/assembly</x:v>
      </x:c>
      <x:c r="H19" s="49"/>
      <x:c r="I19" s="49"/>
    </x:row>
    <x:row r="20">
      <x:c r="A20" s="47" t="n">
        <x:v>16</x:v>
      </x:c>
      <x:c r="B20" s="47" t="str">
        <x:v>Battery/cell</x:v>
      </x:c>
      <x:c r="C20" s="47" t="str">
        <x:v>Electrical</x:v>
      </x:c>
      <x:c r="D20" s="47" t="str">
        <x:v>Source</x:v>
      </x:c>
      <x:c r="E20" s="47" t="str">
        <x:v>H0</x:v>
      </x:c>
      <x:c r="F20" s="47" t="str">
        <x:v>Recoverable/harvested resource</x:v>
      </x:c>
      <x:c r="G20" s="47" t="str">
        <x:v>Compressed family/assembly</x:v>
      </x:c>
      <x:c r="H20" s="49"/>
      <x:c r="I20" s="49"/>
    </x:row>
    <x:row r="21">
      <x:c r="A21" s="47" t="n">
        <x:v>17</x:v>
      </x:c>
      <x:c r="B21" s="47" t="str">
        <x:v>Radio/electronic core</x:v>
      </x:c>
      <x:c r="C21" s="47" t="str">
        <x:v>Electrical</x:v>
      </x:c>
      <x:c r="D21" s="47" t="str">
        <x:v>Source</x:v>
      </x:c>
      <x:c r="E21" s="47" t="str">
        <x:v>H0</x:v>
      </x:c>
      <x:c r="F21" s="47" t="str">
        <x:v>Recoverable/harvested resource</x:v>
      </x:c>
      <x:c r="G21" s="47" t="str">
        <x:v>Compressed family/assembly</x:v>
      </x:c>
      <x:c r="H21" s="49"/>
      <x:c r="I21" s="49"/>
    </x:row>
    <x:row r="22">
      <x:c r="A22" s="47" t="n">
        <x:v>18</x:v>
      </x:c>
      <x:c r="B22" s="47" t="str">
        <x:v>Wire/switch/fuse</x:v>
      </x:c>
      <x:c r="C22" s="47" t="str">
        <x:v>Electrical</x:v>
      </x:c>
      <x:c r="D22" s="47" t="str">
        <x:v>Source</x:v>
      </x:c>
      <x:c r="E22" s="47" t="str">
        <x:v>H0</x:v>
      </x:c>
      <x:c r="F22" s="47" t="str">
        <x:v>Recoverable/harvested resource</x:v>
      </x:c>
      <x:c r="G22" s="47" t="str">
        <x:v>Compressed family/assembly</x:v>
      </x:c>
      <x:c r="H22" s="49"/>
      <x:c r="I22" s="49"/>
    </x:row>
    <x:row r="23">
      <x:c r="A23" s="47" t="n">
        <x:v>19</x:v>
      </x:c>
      <x:c r="B23" s="47" t="str">
        <x:v>Protected electrical bench</x:v>
      </x:c>
      <x:c r="C23" s="47" t="str">
        <x:v>Electrical</x:v>
      </x:c>
      <x:c r="D23" s="47" t="str">
        <x:v>Workspace</x:v>
      </x:c>
      <x:c r="E23" s="47" t="str">
        <x:v>H5</x:v>
      </x:c>
      <x:c r="F23" s="47" t="str">
        <x:v>Placeable workspace</x:v>
      </x:c>
      <x:c r="G23" s="47" t="str">
        <x:v>Governed node; variants not separated</x:v>
      </x:c>
      <x:c r="H23" s="49"/>
      <x:c r="I23" s="49"/>
    </x:row>
    <x:row r="24">
      <x:c r="A24" s="47" t="n">
        <x:v>20</x:v>
      </x:c>
      <x:c r="B24" s="47" t="str">
        <x:v>Load-tested net/mesh</x:v>
      </x:c>
      <x:c r="C24" s="47" t="str">
        <x:v>Fiber</x:v>
      </x:c>
      <x:c r="D24" s="47" t="str">
        <x:v>Assembly</x:v>
      </x:c>
      <x:c r="E24" s="47" t="str">
        <x:v>H2</x:v>
      </x:c>
      <x:c r="F24" s="47" t="str">
        <x:v>Deployable/carryable assembly</x:v>
      </x:c>
      <x:c r="G24" s="47" t="str">
        <x:v>Compressed family/assembly</x:v>
      </x:c>
      <x:c r="H24" s="49"/>
      <x:c r="I24" s="49"/>
    </x:row>
    <x:row r="25">
      <x:c r="A25" s="47" t="n">
        <x:v>21</x:v>
      </x:c>
      <x:c r="B25" s="47" t="str">
        <x:v>Clean graded fiber</x:v>
      </x:c>
      <x:c r="C25" s="47" t="str">
        <x:v>Fiber</x:v>
      </x:c>
      <x:c r="D25" s="47" t="str">
        <x:v>Process</x:v>
      </x:c>
      <x:c r="E25" s="47" t="str">
        <x:v>H1</x:v>
      </x:c>
      <x:c r="F25" s="47" t="str">
        <x:v>Process output (family)</x:v>
      </x:c>
      <x:c r="G25" s="47" t="str">
        <x:v>Abstract; not a discrete item</x:v>
      </x:c>
      <x:c r="H25" s="49"/>
      <x:c r="I25" s="49"/>
    </x:row>
    <x:row r="26">
      <x:c r="A26" s="47" t="n">
        <x:v>22</x:v>
      </x:c>
      <x:c r="B26" s="47" t="str">
        <x:v>Consistent yarn/strand</x:v>
      </x:c>
      <x:c r="C26" s="47" t="str">
        <x:v>Fiber</x:v>
      </x:c>
      <x:c r="D26" s="47" t="str">
        <x:v>Process</x:v>
      </x:c>
      <x:c r="E26" s="47" t="str">
        <x:v>H1</x:v>
      </x:c>
      <x:c r="F26" s="47" t="str">
        <x:v>Process output (family)</x:v>
      </x:c>
      <x:c r="G26" s="47" t="str">
        <x:v>Abstract; not a discrete item</x:v>
      </x:c>
      <x:c r="H26" s="49"/>
      <x:c r="I26" s="49"/>
    </x:row>
    <x:row r="27">
      <x:c r="A27" s="47" t="n">
        <x:v>23</x:v>
      </x:c>
      <x:c r="B27" s="47" t="str">
        <x:v>Woven textile panel</x:v>
      </x:c>
      <x:c r="C27" s="47" t="str">
        <x:v>Fiber</x:v>
      </x:c>
      <x:c r="D27" s="47" t="str">
        <x:v>Process</x:v>
      </x:c>
      <x:c r="E27" s="47" t="str">
        <x:v>H2</x:v>
      </x:c>
      <x:c r="F27" s="47" t="str">
        <x:v>Process output (family)</x:v>
      </x:c>
      <x:c r="G27" s="47" t="str">
        <x:v>Abstract; not a discrete item</x:v>
      </x:c>
      <x:c r="H27" s="49"/>
      <x:c r="I27" s="49"/>
    </x:row>
    <x:row r="28">
      <x:c r="A28" s="47" t="n">
        <x:v>24</x:v>
      </x:c>
      <x:c r="B28" s="47" t="str">
        <x:v>Bast/stem-fiber plant</x:v>
      </x:c>
      <x:c r="C28" s="47" t="str">
        <x:v>Fiber</x:v>
      </x:c>
      <x:c r="D28" s="47" t="str">
        <x:v>Source</x:v>
      </x:c>
      <x:c r="E28" s="47" t="str">
        <x:v>H1</x:v>
      </x:c>
      <x:c r="F28" s="47" t="str">
        <x:v>Recoverable/harvested resource</x:v>
      </x:c>
      <x:c r="G28" s="47" t="str">
        <x:v>Compressed family/assembly</x:v>
      </x:c>
      <x:c r="H28" s="49"/>
      <x:c r="I28" s="49"/>
    </x:row>
    <x:row r="29">
      <x:c r="A29" s="47" t="n">
        <x:v>25</x:v>
      </x:c>
      <x:c r="B29" s="47" t="str">
        <x:v>Coir/coconut husk fiber</x:v>
      </x:c>
      <x:c r="C29" s="47" t="str">
        <x:v>Fiber</x:v>
      </x:c>
      <x:c r="D29" s="47" t="str">
        <x:v>Source</x:v>
      </x:c>
      <x:c r="E29" s="47" t="str">
        <x:v>H0</x:v>
      </x:c>
      <x:c r="F29" s="47" t="str">
        <x:v>Recoverable/harvested resource</x:v>
      </x:c>
      <x:c r="G29" s="47" t="str">
        <x:v>Compressed family/assembly</x:v>
      </x:c>
      <x:c r="H29" s="49"/>
      <x:c r="I29" s="49"/>
    </x:row>
    <x:row r="30">
      <x:c r="A30" s="47" t="n">
        <x:v>26</x:v>
      </x:c>
      <x:c r="B30" s="47" t="str">
        <x:v>Leaf-fiber plant</x:v>
      </x:c>
      <x:c r="C30" s="47" t="str">
        <x:v>Fiber</x:v>
      </x:c>
      <x:c r="D30" s="47" t="str">
        <x:v>Source</x:v>
      </x:c>
      <x:c r="E30" s="47" t="str">
        <x:v>H0</x:v>
      </x:c>
      <x:c r="F30" s="47" t="str">
        <x:v>Recoverable/harvested resource</x:v>
      </x:c>
      <x:c r="G30" s="47" t="str">
        <x:v>Governed node; variants not separated</x:v>
      </x:c>
      <x:c r="H30" s="49"/>
      <x:c r="I30" s="49"/>
    </x:row>
    <x:row r="31">
      <x:c r="A31" s="47" t="n">
        <x:v>27</x:v>
      </x:c>
      <x:c r="B31" s="47" t="str">
        <x:v>Frame loom/net gauge</x:v>
      </x:c>
      <x:c r="C31" s="47" t="str">
        <x:v>Fiber</x:v>
      </x:c>
      <x:c r="D31" s="47" t="str">
        <x:v>Tool</x:v>
      </x:c>
      <x:c r="E31" s="47" t="str">
        <x:v>H2</x:v>
      </x:c>
      <x:c r="F31" s="47" t="str">
        <x:v>Carryable tool/equipment</x:v>
      </x:c>
      <x:c r="G31" s="47" t="str">
        <x:v>Compressed family/assembly</x:v>
      </x:c>
      <x:c r="H31" s="49"/>
      <x:c r="I31" s="49"/>
    </x:row>
    <x:row r="32">
      <x:c r="A32" s="47" t="n">
        <x:v>28</x:v>
      </x:c>
      <x:c r="B32" s="47" t="str">
        <x:v>Spindle/twisting tool</x:v>
      </x:c>
      <x:c r="C32" s="47" t="str">
        <x:v>Fiber</x:v>
      </x:c>
      <x:c r="D32" s="47" t="str">
        <x:v>Tool</x:v>
      </x:c>
      <x:c r="E32" s="47" t="str">
        <x:v>H1</x:v>
      </x:c>
      <x:c r="F32" s="47" t="str">
        <x:v>Carryable tool/equipment</x:v>
      </x:c>
      <x:c r="G32" s="47" t="str">
        <x:v>Compressed family/assembly</x:v>
      </x:c>
      <x:c r="H32" s="49"/>
      <x:c r="I32" s="49"/>
    </x:row>
    <x:row r="33">
      <x:c r="A33" s="47" t="n">
        <x:v>29</x:v>
      </x:c>
      <x:c r="B33" s="47" t="str">
        <x:v>Efficient enclosed stove</x:v>
      </x:c>
      <x:c r="C33" s="47" t="str">
        <x:v>Fire</x:v>
      </x:c>
      <x:c r="D33" s="47" t="str">
        <x:v>Assembly</x:v>
      </x:c>
      <x:c r="E33" s="47" t="str">
        <x:v>H3</x:v>
      </x:c>
      <x:c r="F33" s="47" t="str">
        <x:v>Placeable/deployable assembly</x:v>
      </x:c>
      <x:c r="G33" s="47" t="str">
        <x:v>Governed node; variants not separated</x:v>
      </x:c>
      <x:c r="H33" s="49"/>
      <x:c r="I33" s="49"/>
    </x:row>
    <x:row r="34">
      <x:c r="A34" s="47" t="n">
        <x:v>30</x:v>
      </x:c>
      <x:c r="B34" s="47" t="str">
        <x:v>Open-steam process station</x:v>
      </x:c>
      <x:c r="C34" s="47" t="str">
        <x:v>Fire</x:v>
      </x:c>
      <x:c r="D34" s="47" t="str">
        <x:v>Endpoint</x:v>
      </x:c>
      <x:c r="E34" s="47" t="str">
        <x:v>H4</x:v>
      </x:c>
      <x:c r="F34" s="47" t="str">
        <x:v>Placeable system/capability</x:v>
      </x:c>
      <x:c r="G34" s="47" t="str">
        <x:v>Named; requires component decomposition</x:v>
      </x:c>
      <x:c r="H34" s="49"/>
      <x:c r="I34" s="49"/>
    </x:row>
    <x:row r="35">
      <x:c r="A35" s="47" t="n">
        <x:v>31</x:v>
      </x:c>
      <x:c r="B35" s="47" t="str">
        <x:v>Thermal-mass oven</x:v>
      </x:c>
      <x:c r="C35" s="47" t="str">
        <x:v>Fire</x:v>
      </x:c>
      <x:c r="D35" s="47" t="str">
        <x:v>Endpoint</x:v>
      </x:c>
      <x:c r="E35" s="47" t="str">
        <x:v>H3</x:v>
      </x:c>
      <x:c r="F35" s="47" t="str">
        <x:v>Placeable system/capability</x:v>
      </x:c>
      <x:c r="G35" s="47" t="str">
        <x:v>Governed node; variants not separated</x:v>
      </x:c>
      <x:c r="H35" s="49"/>
      <x:c r="I35" s="49"/>
    </x:row>
    <x:row r="36">
      <x:c r="A36" s="47" t="n">
        <x:v>32</x:v>
      </x:c>
      <x:c r="B36" s="47" t="str">
        <x:v>Controlled cooking system</x:v>
      </x:c>
      <x:c r="C36" s="47" t="str">
        <x:v>Food</x:v>
      </x:c>
      <x:c r="D36" s="47" t="str">
        <x:v>Assembly</x:v>
      </x:c>
      <x:c r="E36" s="47" t="str">
        <x:v>H2</x:v>
      </x:c>
      <x:c r="F36" s="47" t="str">
        <x:v>Placeable/deployable assembly</x:v>
      </x:c>
      <x:c r="G36" s="47" t="str">
        <x:v>Compressed family/assembly</x:v>
      </x:c>
      <x:c r="H36" s="49"/>
      <x:c r="I36" s="49"/>
    </x:row>
    <x:row r="37">
      <x:c r="A37" s="47" t="n">
        <x:v>33</x:v>
      </x:c>
      <x:c r="B37" s="47" t="str">
        <x:v>Garden bed</x:v>
      </x:c>
      <x:c r="C37" s="47" t="str">
        <x:v>Food</x:v>
      </x:c>
      <x:c r="D37" s="47" t="str">
        <x:v>Assembly</x:v>
      </x:c>
      <x:c r="E37" s="47" t="str">
        <x:v>H3</x:v>
      </x:c>
      <x:c r="F37" s="47" t="str">
        <x:v>Placeable/deployable assembly</x:v>
      </x:c>
      <x:c r="G37" s="47" t="str">
        <x:v>Governed node; variants not separated</x:v>
      </x:c>
      <x:c r="H37" s="49"/>
      <x:c r="I37" s="49"/>
    </x:row>
    <x:row r="38">
      <x:c r="A38" s="47" t="n">
        <x:v>34</x:v>
      </x:c>
      <x:c r="B38" s="47" t="str">
        <x:v>Managed compost</x:v>
      </x:c>
      <x:c r="C38" s="47" t="str">
        <x:v>Food</x:v>
      </x:c>
      <x:c r="D38" s="47" t="str">
        <x:v>Assembly</x:v>
      </x:c>
      <x:c r="E38" s="47" t="str">
        <x:v>H3</x:v>
      </x:c>
      <x:c r="F38" s="47" t="str">
        <x:v>Placeable/deployable assembly</x:v>
      </x:c>
      <x:c r="G38" s="47" t="str">
        <x:v>Governed node; variants not separated</x:v>
      </x:c>
      <x:c r="H38" s="49"/>
      <x:c r="I38" s="49"/>
    </x:row>
    <x:row r="39">
      <x:c r="A39" s="47" t="n">
        <x:v>35</x:v>
      </x:c>
      <x:c r="B39" s="47" t="str">
        <x:v>Selective fish/crab trap</x:v>
      </x:c>
      <x:c r="C39" s="47" t="str">
        <x:v>Food</x:v>
      </x:c>
      <x:c r="D39" s="47" t="str">
        <x:v>Assembly</x:v>
      </x:c>
      <x:c r="E39" s="47" t="str">
        <x:v>H3</x:v>
      </x:c>
      <x:c r="F39" s="47" t="str">
        <x:v>Placeable/deployable assembly</x:v>
      </x:c>
      <x:c r="G39" s="47" t="str">
        <x:v>Compressed family/assembly</x:v>
      </x:c>
      <x:c r="H39" s="49"/>
      <x:c r="I39" s="49"/>
    </x:row>
    <x:row r="40">
      <x:c r="A40" s="47" t="n">
        <x:v>36</x:v>
      </x:c>
      <x:c r="B40" s="47" t="str">
        <x:v>Food continuity store</x:v>
      </x:c>
      <x:c r="C40" s="47" t="str">
        <x:v>Food</x:v>
      </x:c>
      <x:c r="D40" s="47" t="str">
        <x:v>Endpoint</x:v>
      </x:c>
      <x:c r="E40" s="47" t="str">
        <x:v>H4</x:v>
      </x:c>
      <x:c r="F40" s="47" t="str">
        <x:v>Placeable system/capability</x:v>
      </x:c>
      <x:c r="G40" s="47" t="str">
        <x:v>Governed node; variants not separated</x:v>
      </x:c>
      <x:c r="H40" s="49"/>
      <x:c r="I40" s="49"/>
    </x:row>
    <x:row r="41">
      <x:c r="A41" s="47" t="n">
        <x:v>37</x:v>
      </x:c>
      <x:c r="B41" s="47" t="str">
        <x:v>Documented seed lot</x:v>
      </x:c>
      <x:c r="C41" s="47" t="str">
        <x:v>Food</x:v>
      </x:c>
      <x:c r="D41" s="47" t="str">
        <x:v>Processed</x:v>
      </x:c>
      <x:c r="E41" s="47" t="str">
        <x:v>H3</x:v>
      </x:c>
      <x:c r="F41" s="47" t="str">
        <x:v>Processed material/consumable</x:v>
      </x:c>
      <x:c r="G41" s="47" t="str">
        <x:v>Governed node; variants not separated</x:v>
      </x:c>
      <x:c r="H41" s="49"/>
      <x:c r="I41" s="49"/>
    </x:row>
    <x:row r="42">
      <x:c r="A42" s="47" t="n">
        <x:v>38</x:v>
      </x:c>
      <x:c r="B42" s="47" t="str">
        <x:v>Preserved food lot</x:v>
      </x:c>
      <x:c r="C42" s="47" t="str">
        <x:v>Food</x:v>
      </x:c>
      <x:c r="D42" s="47" t="str">
        <x:v>Processed</x:v>
      </x:c>
      <x:c r="E42" s="47" t="str">
        <x:v>H3</x:v>
      </x:c>
      <x:c r="F42" s="47" t="str">
        <x:v>Processed material/consumable</x:v>
      </x:c>
      <x:c r="G42" s="47" t="str">
        <x:v>Governed node; variants not separated</x:v>
      </x:c>
      <x:c r="H42" s="49"/>
      <x:c r="I42" s="49"/>
    </x:row>
    <x:row r="43">
      <x:c r="A43" s="47" t="n">
        <x:v>39</x:v>
      </x:c>
      <x:c r="B43" s="47" t="str">
        <x:v>Salt stock/source</x:v>
      </x:c>
      <x:c r="C43" s="47" t="str">
        <x:v>Food</x:v>
      </x:c>
      <x:c r="D43" s="47" t="str">
        <x:v>Source</x:v>
      </x:c>
      <x:c r="E43" s="47" t="str">
        <x:v>H0</x:v>
      </x:c>
      <x:c r="F43" s="47" t="str">
        <x:v>Recoverable/harvested resource</x:v>
      </x:c>
      <x:c r="G43" s="47" t="str">
        <x:v>Compressed family/assembly</x:v>
      </x:c>
      <x:c r="H43" s="49"/>
      <x:c r="I43" s="49"/>
    </x:row>
    <x:row r="44">
      <x:c r="A44" s="47" t="n">
        <x:v>40</x:v>
      </x:c>
      <x:c r="B44" s="47" t="str">
        <x:v>Sugar/carbohydrate stock</x:v>
      </x:c>
      <x:c r="C44" s="47" t="str">
        <x:v>Food</x:v>
      </x:c>
      <x:c r="D44" s="47" t="str">
        <x:v>Source</x:v>
      </x:c>
      <x:c r="E44" s="47" t="str">
        <x:v>H0</x:v>
      </x:c>
      <x:c r="F44" s="47" t="str">
        <x:v>Recoverable/harvested resource</x:v>
      </x:c>
      <x:c r="G44" s="47" t="str">
        <x:v>Compressed family/assembly</x:v>
      </x:c>
      <x:c r="H44" s="49"/>
      <x:c r="I44" s="49"/>
    </x:row>
    <x:row r="45">
      <x:c r="A45" s="47" t="n">
        <x:v>41</x:v>
      </x:c>
      <x:c r="B45" s="47" t="str">
        <x:v>Wild/harvested food</x:v>
      </x:c>
      <x:c r="C45" s="47" t="str">
        <x:v>Food</x:v>
      </x:c>
      <x:c r="D45" s="47" t="str">
        <x:v>Source</x:v>
      </x:c>
      <x:c r="E45" s="47" t="str">
        <x:v>H0</x:v>
      </x:c>
      <x:c r="F45" s="47" t="str">
        <x:v>Recoverable/harvested resource</x:v>
      </x:c>
      <x:c r="G45" s="47" t="str">
        <x:v>Compressed family/assembly</x:v>
      </x:c>
      <x:c r="H45" s="49"/>
      <x:c r="I45" s="49"/>
    </x:row>
    <x:row r="46">
      <x:c r="A46" s="47" t="n">
        <x:v>42</x:v>
      </x:c>
      <x:c r="B46" s="47" t="str">
        <x:v>Fishing line/hook</x:v>
      </x:c>
      <x:c r="C46" s="47" t="str">
        <x:v>Food</x:v>
      </x:c>
      <x:c r="D46" s="47" t="str">
        <x:v>Tool</x:v>
      </x:c>
      <x:c r="E46" s="47" t="str">
        <x:v>H2</x:v>
      </x:c>
      <x:c r="F46" s="47" t="str">
        <x:v>Carryable tool/equipment</x:v>
      </x:c>
      <x:c r="G46" s="47" t="str">
        <x:v>Compressed family/assembly</x:v>
      </x:c>
      <x:c r="H46" s="49"/>
      <x:c r="I46" s="49"/>
    </x:row>
    <x:row r="47">
      <x:c r="A47" s="47" t="n">
        <x:v>43</x:v>
      </x:c>
      <x:c r="B47" s="47" t="str">
        <x:v>Spear/harpoon</x:v>
      </x:c>
      <x:c r="C47" s="47" t="str">
        <x:v>Food</x:v>
      </x:c>
      <x:c r="D47" s="47" t="str">
        <x:v>Tool</x:v>
      </x:c>
      <x:c r="E47" s="47" t="str">
        <x:v>H2</x:v>
      </x:c>
      <x:c r="F47" s="47" t="str">
        <x:v>Carryable weapon/tool</x:v>
      </x:c>
      <x:c r="G47" s="47" t="str">
        <x:v>Compressed family/assembly</x:v>
      </x:c>
      <x:c r="H47" s="49"/>
      <x:c r="I47" s="49"/>
    </x:row>
    <x:row r="48">
      <x:c r="A48" s="47" t="n">
        <x:v>44</x:v>
      </x:c>
      <x:c r="B48" s="47" t="str">
        <x:v>Smoking/drying station</x:v>
      </x:c>
      <x:c r="C48" s="47" t="str">
        <x:v>Food</x:v>
      </x:c>
      <x:c r="D48" s="47" t="str">
        <x:v>Workspace</x:v>
      </x:c>
      <x:c r="E48" s="47" t="str">
        <x:v>H3</x:v>
      </x:c>
      <x:c r="F48" s="47" t="str">
        <x:v>Placeable workspace</x:v>
      </x:c>
      <x:c r="G48" s="47" t="str">
        <x:v>Compressed family/assembly</x:v>
      </x:c>
      <x:c r="H48" s="49"/>
      <x:c r="I48" s="49"/>
    </x:row>
    <x:row r="49">
      <x:c r="A49" s="47" t="n">
        <x:v>45</x:v>
      </x:c>
      <x:c r="B49" s="47" t="str">
        <x:v>Selective checked snare/trap</x:v>
      </x:c>
      <x:c r="C49" s="47" t="str">
        <x:v>Hunting</x:v>
      </x:c>
      <x:c r="D49" s="47" t="str">
        <x:v>Endpoint</x:v>
      </x:c>
      <x:c r="E49" s="47" t="str">
        <x:v>H2</x:v>
      </x:c>
      <x:c r="F49" s="47" t="str">
        <x:v>Deployable hunting device</x:v>
      </x:c>
      <x:c r="G49" s="47" t="str">
        <x:v>Compressed family/assembly</x:v>
      </x:c>
      <x:c r="H49" s="49"/>
      <x:c r="I49" s="49"/>
    </x:row>
    <x:row r="50">
      <x:c r="A50" s="47" t="n">
        <x:v>46</x:v>
      </x:c>
      <x:c r="B50" s="47" t="str">
        <x:v>Peg/wedge/wood fastener</x:v>
      </x:c>
      <x:c r="C50" s="47" t="str">
        <x:v>Joining</x:v>
      </x:c>
      <x:c r="D50" s="47" t="str">
        <x:v>Processed</x:v>
      </x:c>
      <x:c r="E50" s="47" t="str">
        <x:v>H1</x:v>
      </x:c>
      <x:c r="F50" s="47" t="str">
        <x:v>Processed material/consumable</x:v>
      </x:c>
      <x:c r="G50" s="47" t="str">
        <x:v>Compressed family/assembly</x:v>
      </x:c>
      <x:c r="H50" s="49"/>
      <x:c r="I50" s="49"/>
    </x:row>
    <x:row r="51">
      <x:c r="A51" s="47" t="n">
        <x:v>47</x:v>
      </x:c>
      <x:c r="B51" s="47" t="str">
        <x:v>Prepared sealant</x:v>
      </x:c>
      <x:c r="C51" s="47" t="str">
        <x:v>Joining</x:v>
      </x:c>
      <x:c r="D51" s="47" t="str">
        <x:v>Processed</x:v>
      </x:c>
      <x:c r="E51" s="47" t="str">
        <x:v>H2</x:v>
      </x:c>
      <x:c r="F51" s="47" t="str">
        <x:v>Processed material/consumable</x:v>
      </x:c>
      <x:c r="G51" s="47" t="str">
        <x:v>Governed node; variants not separated</x:v>
      </x:c>
      <x:c r="H51" s="49"/>
      <x:c r="I51" s="49"/>
    </x:row>
    <x:row r="52">
      <x:c r="A52" s="47" t="n">
        <x:v>48</x:v>
      </x:c>
      <x:c r="B52" s="47" t="str">
        <x:v>Seal/gasket set</x:v>
      </x:c>
      <x:c r="C52" s="47" t="str">
        <x:v>Joining</x:v>
      </x:c>
      <x:c r="D52" s="47" t="str">
        <x:v>Processed</x:v>
      </x:c>
      <x:c r="E52" s="47" t="str">
        <x:v>H4</x:v>
      </x:c>
      <x:c r="F52" s="47" t="str">
        <x:v>Processed material/consumable</x:v>
      </x:c>
      <x:c r="G52" s="47" t="str">
        <x:v>Compressed family/assembly</x:v>
      </x:c>
      <x:c r="H52" s="49"/>
      <x:c r="I52" s="49"/>
    </x:row>
    <x:row r="53">
      <x:c r="A53" s="47" t="n">
        <x:v>49</x:v>
      </x:c>
      <x:c r="B53" s="47" t="str">
        <x:v>Suitable rivet/fastener</x:v>
      </x:c>
      <x:c r="C53" s="47" t="str">
        <x:v>Joining</x:v>
      </x:c>
      <x:c r="D53" s="47" t="str">
        <x:v>Processed</x:v>
      </x:c>
      <x:c r="E53" s="47" t="str">
        <x:v>H4</x:v>
      </x:c>
      <x:c r="F53" s="47" t="str">
        <x:v>Processed material/consumable</x:v>
      </x:c>
      <x:c r="G53" s="47" t="str">
        <x:v>Compressed family/assembly</x:v>
      </x:c>
      <x:c r="H53" s="49"/>
      <x:c r="I53" s="49"/>
    </x:row>
    <x:row r="54">
      <x:c r="A54" s="47" t="n">
        <x:v>50</x:v>
      </x:c>
      <x:c r="B54" s="47" t="str">
        <x:v>Manual/label/diagram</x:v>
      </x:c>
      <x:c r="C54" s="47" t="str">
        <x:v>Knowledge</x:v>
      </x:c>
      <x:c r="D54" s="47" t="str">
        <x:v>Source</x:v>
      </x:c>
      <x:c r="E54" s="47" t="str">
        <x:v>H0</x:v>
      </x:c>
      <x:c r="F54" s="47" t="str">
        <x:v>Knowledge carrier</x:v>
      </x:c>
      <x:c r="G54" s="47" t="str">
        <x:v>Compressed family/assembly</x:v>
      </x:c>
      <x:c r="H54" s="49"/>
      <x:c r="I54" s="49"/>
    </x:row>
    <x:row r="55">
      <x:c r="A55" s="47" t="n">
        <x:v>51</x:v>
      </x:c>
      <x:c r="B55" s="47" t="str">
        <x:v>Arrival Station</x:v>
      </x:c>
      <x:c r="C55" s="47" t="str">
        <x:v>Legacy</x:v>
      </x:c>
      <x:c r="D55" s="47" t="str">
        <x:v>Endpoint</x:v>
      </x:c>
      <x:c r="E55" s="47" t="str">
        <x:v>H6</x:v>
      </x:c>
      <x:c r="F55" s="47" t="str">
        <x:v>Major end capability</x:v>
      </x:c>
      <x:c r="G55" s="47" t="str">
        <x:v>Compressed family/assembly</x:v>
      </x:c>
      <x:c r="H55" s="49"/>
      <x:c r="I55" s="49"/>
    </x:row>
    <x:row r="56">
      <x:c r="A56" s="47" t="n">
        <x:v>52</x:v>
      </x:c>
      <x:c r="B56" s="47" t="str">
        <x:v>Legacy compound</x:v>
      </x:c>
      <x:c r="C56" s="47" t="str">
        <x:v>Legacy</x:v>
      </x:c>
      <x:c r="D56" s="47" t="str">
        <x:v>Endpoint</x:v>
      </x:c>
      <x:c r="E56" s="47" t="str">
        <x:v>H6</x:v>
      </x:c>
      <x:c r="F56" s="47" t="str">
        <x:v>Major end capability</x:v>
      </x:c>
      <x:c r="G56" s="47" t="str">
        <x:v>Governed node; variants not separated</x:v>
      </x:c>
      <x:c r="H56" s="49"/>
      <x:c r="I56" s="49"/>
    </x:row>
    <x:row r="57">
      <x:c r="A57" s="47" t="n">
        <x:v>53</x:v>
      </x:c>
      <x:c r="B57" s="47" t="str">
        <x:v>Continuity archive</x:v>
      </x:c>
      <x:c r="C57" s="47" t="str">
        <x:v>Legacy</x:v>
      </x:c>
      <x:c r="D57" s="47" t="str">
        <x:v>Workspace</x:v>
      </x:c>
      <x:c r="E57" s="47" t="str">
        <x:v>H6</x:v>
      </x:c>
      <x:c r="F57" s="47" t="str">
        <x:v>Placeable workspace</x:v>
      </x:c>
      <x:c r="G57" s="47" t="str">
        <x:v>Governed node; variants not separated</x:v>
      </x:c>
      <x:c r="H57" s="49"/>
      <x:c r="I57" s="49"/>
    </x:row>
    <x:row r="58">
      <x:c r="A58" s="47" t="n">
        <x:v>54</x:v>
      </x:c>
      <x:c r="B58" s="47" t="str">
        <x:v>Braked winch/capstan</x:v>
      </x:c>
      <x:c r="C58" s="47" t="str">
        <x:v>Logistics</x:v>
      </x:c>
      <x:c r="D58" s="47" t="str">
        <x:v>Assembly</x:v>
      </x:c>
      <x:c r="E58" s="47" t="str">
        <x:v>H5</x:v>
      </x:c>
      <x:c r="F58" s="47" t="str">
        <x:v>Deployable/carryable assembly</x:v>
      </x:c>
      <x:c r="G58" s="47" t="str">
        <x:v>Compressed family/assembly</x:v>
      </x:c>
      <x:c r="H58" s="49"/>
      <x:c r="I58" s="49"/>
    </x:row>
    <x:row r="59">
      <x:c r="A59" s="47" t="n">
        <x:v>55</x:v>
      </x:c>
      <x:c r="B59" s="47" t="str">
        <x:v>Drag sled/travois</x:v>
      </x:c>
      <x:c r="C59" s="47" t="str">
        <x:v>Logistics</x:v>
      </x:c>
      <x:c r="D59" s="47" t="str">
        <x:v>Assembly</x:v>
      </x:c>
      <x:c r="E59" s="47" t="str">
        <x:v>H2</x:v>
      </x:c>
      <x:c r="F59" s="47" t="str">
        <x:v>Deployable/carryable assembly</x:v>
      </x:c>
      <x:c r="G59" s="47" t="str">
        <x:v>Compressed family/assembly</x:v>
      </x:c>
      <x:c r="H59" s="49"/>
      <x:c r="I59" s="49"/>
    </x:row>
    <x:row r="60">
      <x:c r="A60" s="47" t="n">
        <x:v>56</x:v>
      </x:c>
      <x:c r="B60" s="47" t="str">
        <x:v>Handcart</x:v>
      </x:c>
      <x:c r="C60" s="47" t="str">
        <x:v>Logistics</x:v>
      </x:c>
      <x:c r="D60" s="47" t="str">
        <x:v>Assembly</x:v>
      </x:c>
      <x:c r="E60" s="47" t="str">
        <x:v>H4</x:v>
      </x:c>
      <x:c r="F60" s="47" t="str">
        <x:v>Deployable/carryable assembly</x:v>
      </x:c>
      <x:c r="G60" s="47" t="str">
        <x:v>Governed node; variants not separated</x:v>
      </x:c>
      <x:c r="H60" s="49"/>
      <x:c r="I60" s="49"/>
    </x:row>
    <x:row r="61">
      <x:c r="A61" s="47" t="n">
        <x:v>57</x:v>
      </x:c>
      <x:c r="B61" s="47" t="str">
        <x:v>Pulley/tackle</x:v>
      </x:c>
      <x:c r="C61" s="47" t="str">
        <x:v>Logistics</x:v>
      </x:c>
      <x:c r="D61" s="47" t="str">
        <x:v>Assembly</x:v>
      </x:c>
      <x:c r="E61" s="47" t="str">
        <x:v>H4</x:v>
      </x:c>
      <x:c r="F61" s="47" t="str">
        <x:v>Deployable/carryable assembly</x:v>
      </x:c>
      <x:c r="G61" s="47" t="str">
        <x:v>Compressed family/assembly</x:v>
      </x:c>
      <x:c r="H61" s="49"/>
      <x:c r="I61" s="49"/>
    </x:row>
    <x:row r="62">
      <x:c r="A62" s="47" t="n">
        <x:v>58</x:v>
      </x:c>
      <x:c r="B62" s="47" t="str">
        <x:v>Tripod/A-frame lift</x:v>
      </x:c>
      <x:c r="C62" s="47" t="str">
        <x:v>Logistics</x:v>
      </x:c>
      <x:c r="D62" s="47" t="str">
        <x:v>Assembly</x:v>
      </x:c>
      <x:c r="E62" s="47" t="str">
        <x:v>H3</x:v>
      </x:c>
      <x:c r="F62" s="47" t="str">
        <x:v>Deployable/carryable assembly</x:v>
      </x:c>
      <x:c r="G62" s="47" t="str">
        <x:v>Compressed family/assembly</x:v>
      </x:c>
      <x:c r="H62" s="49"/>
      <x:c r="I62" s="49"/>
    </x:row>
    <x:row r="63">
      <x:c r="A63" s="47" t="n">
        <x:v>59</x:v>
      </x:c>
      <x:c r="B63" s="47" t="str">
        <x:v>Carry basket</x:v>
      </x:c>
      <x:c r="C63" s="47" t="str">
        <x:v>Logistics</x:v>
      </x:c>
      <x:c r="D63" s="47" t="str">
        <x:v>Tool</x:v>
      </x:c>
      <x:c r="E63" s="47" t="str">
        <x:v>H1</x:v>
      </x:c>
      <x:c r="F63" s="47" t="str">
        <x:v>Carryable tool/equipment</x:v>
      </x:c>
      <x:c r="G63" s="47" t="str">
        <x:v>Governed node; variants not separated</x:v>
      </x:c>
      <x:c r="H63" s="49"/>
      <x:c r="I63" s="49"/>
    </x:row>
    <x:row r="64">
      <x:c r="A64" s="47" t="n">
        <x:v>60</x:v>
      </x:c>
      <x:c r="B64" s="47" t="str">
        <x:v>Pack frame/harness</x:v>
      </x:c>
      <x:c r="C64" s="47" t="str">
        <x:v>Logistics</x:v>
      </x:c>
      <x:c r="D64" s="47" t="str">
        <x:v>Tool</x:v>
      </x:c>
      <x:c r="E64" s="47" t="str">
        <x:v>H3</x:v>
      </x:c>
      <x:c r="F64" s="47" t="str">
        <x:v>Carryable tool/equipment</x:v>
      </x:c>
      <x:c r="G64" s="47" t="str">
        <x:v>Compressed family/assembly</x:v>
      </x:c>
      <x:c r="H64" s="49"/>
      <x:c r="I64" s="49"/>
    </x:row>
    <x:row r="65">
      <x:c r="A65" s="47" t="n">
        <x:v>61</x:v>
      </x:c>
      <x:c r="B65" s="47" t="str">
        <x:v>Dock/landing</x:v>
      </x:c>
      <x:c r="C65" s="47" t="str">
        <x:v>Maritime</x:v>
      </x:c>
      <x:c r="D65" s="47" t="str">
        <x:v>Assembly</x:v>
      </x:c>
      <x:c r="E65" s="47" t="str">
        <x:v>H4</x:v>
      </x:c>
      <x:c r="F65" s="47" t="str">
        <x:v>Deployable/carryable assembly</x:v>
      </x:c>
      <x:c r="G65" s="47" t="str">
        <x:v>Compressed family/assembly</x:v>
      </x:c>
      <x:c r="H65" s="49"/>
      <x:c r="I65" s="49"/>
    </x:row>
    <x:row r="66">
      <x:c r="A66" s="47" t="n">
        <x:v>62</x:v>
      </x:c>
      <x:c r="B66" s="47" t="str">
        <x:v>Shore-dive station</x:v>
      </x:c>
      <x:c r="C66" s="47" t="str">
        <x:v>Maritime</x:v>
      </x:c>
      <x:c r="D66" s="47" t="str">
        <x:v>Assembly</x:v>
      </x:c>
      <x:c r="E66" s="47" t="str">
        <x:v>H5</x:v>
      </x:c>
      <x:c r="F66" s="47" t="str">
        <x:v>Deployable/carryable assembly</x:v>
      </x:c>
      <x:c r="G66" s="47" t="str">
        <x:v>Compressed family/assembly</x:v>
      </x:c>
      <x:c r="H66" s="49"/>
      <x:c r="I66" s="49"/>
    </x:row>
    <x:row r="67">
      <x:c r="A67" s="47" t="n">
        <x:v>63</x:v>
      </x:c>
      <x:c r="B67" s="47" t="str">
        <x:v>Submerged lift system</x:v>
      </x:c>
      <x:c r="C67" s="47" t="str">
        <x:v>Maritime</x:v>
      </x:c>
      <x:c r="D67" s="47" t="str">
        <x:v>Assembly</x:v>
      </x:c>
      <x:c r="E67" s="47" t="str">
        <x:v>H5</x:v>
      </x:c>
      <x:c r="F67" s="47" t="str">
        <x:v>Deployable/carryable assembly</x:v>
      </x:c>
      <x:c r="G67" s="47" t="str">
        <x:v>Compressed family/assembly</x:v>
      </x:c>
      <x:c r="H67" s="49"/>
      <x:c r="I67" s="49"/>
    </x:row>
    <x:row r="68">
      <x:c r="A68" s="47" t="n">
        <x:v>64</x:v>
      </x:c>
      <x:c r="B68" s="47" t="str">
        <x:v>Surface raft</x:v>
      </x:c>
      <x:c r="C68" s="47" t="str">
        <x:v>Maritime</x:v>
      </x:c>
      <x:c r="D68" s="47" t="str">
        <x:v>Assembly</x:v>
      </x:c>
      <x:c r="E68" s="47" t="str">
        <x:v>H3</x:v>
      </x:c>
      <x:c r="F68" s="47" t="str">
        <x:v>Deployable/carryable assembly</x:v>
      </x:c>
      <x:c r="G68" s="47" t="str">
        <x:v>Governed node; variants not separated</x:v>
      </x:c>
      <x:c r="H68" s="49"/>
      <x:c r="I68" s="49"/>
    </x:row>
    <x:row r="69">
      <x:c r="A69" s="47" t="n">
        <x:v>65</x:v>
      </x:c>
      <x:c r="B69" s="47" t="str">
        <x:v>Floating/paddled workboat</x:v>
      </x:c>
      <x:c r="C69" s="47" t="str">
        <x:v>Maritime</x:v>
      </x:c>
      <x:c r="D69" s="47" t="str">
        <x:v>Endpoint</x:v>
      </x:c>
      <x:c r="E69" s="47" t="str">
        <x:v>H4</x:v>
      </x:c>
      <x:c r="F69" s="47" t="str">
        <x:v>Vehicle/maritime system</x:v>
      </x:c>
      <x:c r="G69" s="47" t="str">
        <x:v>Compressed family/assembly</x:v>
      </x:c>
      <x:c r="H69" s="49"/>
      <x:c r="I69" s="49"/>
    </x:row>
    <x:row r="70">
      <x:c r="A70" s="47" t="n">
        <x:v>66</x:v>
      </x:c>
      <x:c r="B70" s="47" t="str">
        <x:v>Powered expedition boat</x:v>
      </x:c>
      <x:c r="C70" s="47" t="str">
        <x:v>Maritime</x:v>
      </x:c>
      <x:c r="D70" s="47" t="str">
        <x:v>Endpoint</x:v>
      </x:c>
      <x:c r="E70" s="47" t="str">
        <x:v>H5</x:v>
      </x:c>
      <x:c r="F70" s="47" t="str">
        <x:v>Vehicle/maritime system</x:v>
      </x:c>
      <x:c r="G70" s="47" t="str">
        <x:v>Governed node; variants not separated</x:v>
      </x:c>
      <x:c r="H70" s="49"/>
      <x:c r="I70" s="49"/>
    </x:row>
    <x:row r="71">
      <x:c r="A71" s="47" t="n">
        <x:v>67</x:v>
      </x:c>
      <x:c r="B71" s="47" t="str">
        <x:v>Sail-assisted crossing craft</x:v>
      </x:c>
      <x:c r="C71" s="47" t="str">
        <x:v>Maritime</x:v>
      </x:c>
      <x:c r="D71" s="47" t="str">
        <x:v>Endpoint</x:v>
      </x:c>
      <x:c r="E71" s="47" t="str">
        <x:v>H5</x:v>
      </x:c>
      <x:c r="F71" s="47" t="str">
        <x:v>Vehicle/maritime system</x:v>
      </x:c>
      <x:c r="G71" s="47" t="str">
        <x:v>Governed node; variants not separated</x:v>
      </x:c>
      <x:c r="H71" s="49"/>
      <x:c r="I71" s="49"/>
    </x:row>
    <x:row r="72">
      <x:c r="A72" s="47" t="n">
        <x:v>68</x:v>
      </x:c>
      <x:c r="B72" s="47" t="str">
        <x:v>Secured fishing-boat wreck</x:v>
      </x:c>
      <x:c r="C72" s="47" t="str">
        <x:v>Maritime</x:v>
      </x:c>
      <x:c r="D72" s="47" t="str">
        <x:v>Project</x:v>
      </x:c>
      <x:c r="E72" s="47" t="str">
        <x:v>H2</x:v>
      </x:c>
      <x:c r="F72" s="47" t="str">
        <x:v>Persistent world project</x:v>
      </x:c>
      <x:c r="G72" s="47" t="str">
        <x:v>Governed node; variants not separated</x:v>
      </x:c>
      <x:c r="H72" s="49"/>
      <x:c r="I72" s="49"/>
    </x:row>
    <x:row r="73">
      <x:c r="A73" s="47" t="n">
        <x:v>69</x:v>
      </x:c>
      <x:c r="B73" s="47" t="str">
        <x:v>Stabilized boat shell</x:v>
      </x:c>
      <x:c r="C73" s="47" t="str">
        <x:v>Maritime</x:v>
      </x:c>
      <x:c r="D73" s="47" t="str">
        <x:v>Project</x:v>
      </x:c>
      <x:c r="E73" s="47" t="str">
        <x:v>H3</x:v>
      </x:c>
      <x:c r="F73" s="47" t="str">
        <x:v>Persistent world project</x:v>
      </x:c>
      <x:c r="G73" s="47" t="str">
        <x:v>Governed node; variants not separated</x:v>
      </x:c>
      <x:c r="H73" s="49"/>
      <x:c r="I73" s="49"/>
    </x:row>
    <x:row r="74">
      <x:c r="A74" s="47" t="n">
        <x:v>70</x:v>
      </x:c>
      <x:c r="B74" s="47" t="str">
        <x:v>Flotation aid</x:v>
      </x:c>
      <x:c r="C74" s="47" t="str">
        <x:v>Maritime</x:v>
      </x:c>
      <x:c r="D74" s="47" t="str">
        <x:v>Tool</x:v>
      </x:c>
      <x:c r="E74" s="47" t="str">
        <x:v>H1</x:v>
      </x:c>
      <x:c r="F74" s="47" t="str">
        <x:v>Carryable tool/equipment</x:v>
      </x:c>
      <x:c r="G74" s="47" t="str">
        <x:v>Governed node; variants not separated</x:v>
      </x:c>
      <x:c r="H74" s="49"/>
      <x:c r="I74" s="49"/>
    </x:row>
    <x:row r="75">
      <x:c r="A75" s="47" t="n">
        <x:v>71</x:v>
      </x:c>
      <x:c r="B75" s="47" t="str">
        <x:v>Boatyard</x:v>
      </x:c>
      <x:c r="C75" s="47" t="str">
        <x:v>Maritime</x:v>
      </x:c>
      <x:c r="D75" s="47" t="str">
        <x:v>Workspace</x:v>
      </x:c>
      <x:c r="E75" s="47" t="str">
        <x:v>H5</x:v>
      </x:c>
      <x:c r="F75" s="47" t="str">
        <x:v>Placeable workspace</x:v>
      </x:c>
      <x:c r="G75" s="47" t="str">
        <x:v>Governed node; variants not separated</x:v>
      </x:c>
      <x:c r="H75" s="49"/>
      <x:c r="I75" s="49"/>
    </x:row>
    <x:row r="76">
      <x:c r="A76" s="47" t="n">
        <x:v>72</x:v>
      </x:c>
      <x:c r="B76" s="47" t="str">
        <x:v>Clay</x:v>
      </x:c>
      <x:c r="C76" s="47" t="str">
        <x:v>Material</x:v>
      </x:c>
      <x:c r="D76" s="47" t="str">
        <x:v>Source</x:v>
      </x:c>
      <x:c r="E76" s="47" t="str">
        <x:v>H0</x:v>
      </x:c>
      <x:c r="F76" s="47" t="str">
        <x:v>Recoverable/harvested resource</x:v>
      </x:c>
      <x:c r="G76" s="47" t="str">
        <x:v>Governed node; variants not separated</x:v>
      </x:c>
      <x:c r="H76" s="49"/>
      <x:c r="I76" s="49"/>
    </x:row>
    <x:row r="77">
      <x:c r="A77" s="47" t="n">
        <x:v>73</x:v>
      </x:c>
      <x:c r="B77" s="47" t="str">
        <x:v>Natural fiber</x:v>
      </x:c>
      <x:c r="C77" s="47" t="str">
        <x:v>Material</x:v>
      </x:c>
      <x:c r="D77" s="47" t="str">
        <x:v>Source</x:v>
      </x:c>
      <x:c r="E77" s="47" t="str">
        <x:v>H0</x:v>
      </x:c>
      <x:c r="F77" s="47" t="str">
        <x:v>Recoverable/harvested resource</x:v>
      </x:c>
      <x:c r="G77" s="47" t="str">
        <x:v>Governed node; variants not separated</x:v>
      </x:c>
      <x:c r="H77" s="49"/>
      <x:c r="I77" s="49"/>
    </x:row>
    <x:row r="78">
      <x:c r="A78" s="47" t="n">
        <x:v>74</x:v>
      </x:c>
      <x:c r="B78" s="47" t="str">
        <x:v>Sand/gravel</x:v>
      </x:c>
      <x:c r="C78" s="47" t="str">
        <x:v>Material</x:v>
      </x:c>
      <x:c r="D78" s="47" t="str">
        <x:v>Source</x:v>
      </x:c>
      <x:c r="E78" s="47" t="str">
        <x:v>H0</x:v>
      </x:c>
      <x:c r="F78" s="47" t="str">
        <x:v>Recoverable/harvested resource</x:v>
      </x:c>
      <x:c r="G78" s="47" t="str">
        <x:v>Compressed family/assembly</x:v>
      </x:c>
      <x:c r="H78" s="49"/>
      <x:c r="I78" s="49"/>
    </x:row>
    <x:row r="79">
      <x:c r="A79" s="47" t="n">
        <x:v>75</x:v>
      </x:c>
      <x:c r="B79" s="47" t="str">
        <x:v>Stone/mineral</x:v>
      </x:c>
      <x:c r="C79" s="47" t="str">
        <x:v>Material</x:v>
      </x:c>
      <x:c r="D79" s="47" t="str">
        <x:v>Source</x:v>
      </x:c>
      <x:c r="E79" s="47" t="str">
        <x:v>H0</x:v>
      </x:c>
      <x:c r="F79" s="47" t="str">
        <x:v>Recoverable/harvested resource</x:v>
      </x:c>
      <x:c r="G79" s="47" t="str">
        <x:v>Compressed family/assembly</x:v>
      </x:c>
      <x:c r="H79" s="49"/>
      <x:c r="I79" s="49"/>
    </x:row>
    <x:row r="80">
      <x:c r="A80" s="47" t="n">
        <x:v>76</x:v>
      </x:c>
      <x:c r="B80" s="47" t="str">
        <x:v>Timber/driftwood</x:v>
      </x:c>
      <x:c r="C80" s="47" t="str">
        <x:v>Material</x:v>
      </x:c>
      <x:c r="D80" s="47" t="str">
        <x:v>Source</x:v>
      </x:c>
      <x:c r="E80" s="47" t="str">
        <x:v>H0</x:v>
      </x:c>
      <x:c r="F80" s="47" t="str">
        <x:v>Recoverable/harvested resource</x:v>
      </x:c>
      <x:c r="G80" s="47" t="str">
        <x:v>Compressed family/assembly</x:v>
      </x:c>
      <x:c r="H80" s="49"/>
      <x:c r="I80" s="49"/>
    </x:row>
    <x:row r="81">
      <x:c r="A81" s="47" t="n">
        <x:v>77</x:v>
      </x:c>
      <x:c r="B81" s="47" t="str">
        <x:v>Handwashing station</x:v>
      </x:c>
      <x:c r="C81" s="47" t="str">
        <x:v>Medicine</x:v>
      </x:c>
      <x:c r="D81" s="47" t="str">
        <x:v>Assembly</x:v>
      </x:c>
      <x:c r="E81" s="47" t="str">
        <x:v>H3</x:v>
      </x:c>
      <x:c r="F81" s="47" t="str">
        <x:v>Deployable/carryable assembly</x:v>
      </x:c>
      <x:c r="G81" s="47" t="str">
        <x:v>Compressed family/assembly</x:v>
      </x:c>
      <x:c r="H81" s="49"/>
      <x:c r="I81" s="49"/>
    </x:row>
    <x:row r="82">
      <x:c r="A82" s="47" t="n">
        <x:v>78</x:v>
      </x:c>
      <x:c r="B82" s="47" t="str">
        <x:v>Latrine/waste separation</x:v>
      </x:c>
      <x:c r="C82" s="47" t="str">
        <x:v>Medicine</x:v>
      </x:c>
      <x:c r="D82" s="47" t="str">
        <x:v>Assembly</x:v>
      </x:c>
      <x:c r="E82" s="47" t="str">
        <x:v>H2</x:v>
      </x:c>
      <x:c r="F82" s="47" t="str">
        <x:v>Deployable/carryable assembly</x:v>
      </x:c>
      <x:c r="G82" s="47" t="str">
        <x:v>Compressed family/assembly</x:v>
      </x:c>
      <x:c r="H82" s="49"/>
      <x:c r="I82" s="49"/>
    </x:row>
    <x:row r="83">
      <x:c r="A83" s="47" t="n">
        <x:v>79</x:v>
      </x:c>
      <x:c r="B83" s="47" t="str">
        <x:v>Stretcher/litter</x:v>
      </x:c>
      <x:c r="C83" s="47" t="str">
        <x:v>Medicine</x:v>
      </x:c>
      <x:c r="D83" s="47" t="str">
        <x:v>Assembly</x:v>
      </x:c>
      <x:c r="E83" s="47" t="str">
        <x:v>H3</x:v>
      </x:c>
      <x:c r="F83" s="47" t="str">
        <x:v>Deployable/carryable assembly</x:v>
      </x:c>
      <x:c r="G83" s="47" t="str">
        <x:v>Compressed family/assembly</x:v>
      </x:c>
      <x:c r="H83" s="49"/>
      <x:c r="I83" s="49"/>
    </x:row>
    <x:row r="84">
      <x:c r="A84" s="47" t="n">
        <x:v>80</x:v>
      </x:c>
      <x:c r="B84" s="47" t="str">
        <x:v>Applied clean dressing</x:v>
      </x:c>
      <x:c r="C84" s="47" t="str">
        <x:v>Medicine</x:v>
      </x:c>
      <x:c r="D84" s="47" t="str">
        <x:v>Capability</x:v>
      </x:c>
      <x:c r="E84" s="47" t="str">
        <x:v>H2</x:v>
      </x:c>
      <x:c r="F84" s="47" t="str">
        <x:v>Abstract applied capability</x:v>
      </x:c>
      <x:c r="G84" s="47" t="str">
        <x:v>Abstract; not a discrete item</x:v>
      </x:c>
      <x:c r="H84" s="49"/>
      <x:c r="I84" s="49"/>
    </x:row>
    <x:row r="85">
      <x:c r="A85" s="47" t="n">
        <x:v>81</x:v>
      </x:c>
      <x:c r="B85" s="47" t="str">
        <x:v>Fitted splint</x:v>
      </x:c>
      <x:c r="C85" s="47" t="str">
        <x:v>Medicine</x:v>
      </x:c>
      <x:c r="D85" s="47" t="str">
        <x:v>Capability</x:v>
      </x:c>
      <x:c r="E85" s="47" t="str">
        <x:v>H2</x:v>
      </x:c>
      <x:c r="F85" s="47" t="str">
        <x:v>Abstract applied capability</x:v>
      </x:c>
      <x:c r="G85" s="47" t="str">
        <x:v>Abstract; not a discrete item</x:v>
      </x:c>
      <x:c r="H85" s="49"/>
      <x:c r="I85" s="49"/>
    </x:row>
    <x:row r="86">
      <x:c r="A86" s="47" t="n">
        <x:v>82</x:v>
      </x:c>
      <x:c r="B86" s="47" t="str">
        <x:v>Qualified clean medical textile</x:v>
      </x:c>
      <x:c r="C86" s="47" t="str">
        <x:v>Medicine</x:v>
      </x:c>
      <x:c r="D86" s="47" t="str">
        <x:v>Endpoint</x:v>
      </x:c>
      <x:c r="E86" s="47" t="str">
        <x:v>H2</x:v>
      </x:c>
      <x:c r="F86" s="47" t="str">
        <x:v>Placeable system/capability</x:v>
      </x:c>
      <x:c r="G86" s="47" t="str">
        <x:v>Governed node; variants not separated</x:v>
      </x:c>
      <x:c r="H86" s="49"/>
      <x:c r="I86" s="49"/>
    </x:row>
    <x:row r="87">
      <x:c r="A87" s="47" t="n">
        <x:v>83</x:v>
      </x:c>
      <x:c r="B87" s="47" t="str">
        <x:v>Clean dressing</x:v>
      </x:c>
      <x:c r="C87" s="47" t="str">
        <x:v>Medicine</x:v>
      </x:c>
      <x:c r="D87" s="47" t="str">
        <x:v>Processed</x:v>
      </x:c>
      <x:c r="E87" s="47" t="str">
        <x:v>H2</x:v>
      </x:c>
      <x:c r="F87" s="47" t="str">
        <x:v>Processed material/consumable</x:v>
      </x:c>
      <x:c r="G87" s="47" t="str">
        <x:v>Governed node; variants not separated</x:v>
      </x:c>
      <x:c r="H87" s="49"/>
      <x:c r="I87" s="49"/>
    </x:row>
    <x:row r="88">
      <x:c r="A88" s="47" t="n">
        <x:v>84</x:v>
      </x:c>
      <x:c r="B88" s="47" t="str">
        <x:v>Measured oral rehydration solution</x:v>
      </x:c>
      <x:c r="C88" s="47" t="str">
        <x:v>Medicine</x:v>
      </x:c>
      <x:c r="D88" s="47" t="str">
        <x:v>Processed</x:v>
      </x:c>
      <x:c r="E88" s="47" t="str">
        <x:v>H3</x:v>
      </x:c>
      <x:c r="F88" s="47" t="str">
        <x:v>Processed material/consumable</x:v>
      </x:c>
      <x:c r="G88" s="47" t="str">
        <x:v>Governed node; variants not separated</x:v>
      </x:c>
      <x:c r="H88" s="49"/>
      <x:c r="I88" s="49"/>
    </x:row>
    <x:row r="89">
      <x:c r="A89" s="47" t="n">
        <x:v>85</x:v>
      </x:c>
      <x:c r="B89" s="47" t="str">
        <x:v>Padded splint stock</x:v>
      </x:c>
      <x:c r="C89" s="47" t="str">
        <x:v>Medicine</x:v>
      </x:c>
      <x:c r="D89" s="47" t="str">
        <x:v>Processed</x:v>
      </x:c>
      <x:c r="E89" s="47" t="str">
        <x:v>H2</x:v>
      </x:c>
      <x:c r="F89" s="47" t="str">
        <x:v>Processed material/consumable</x:v>
      </x:c>
      <x:c r="G89" s="47" t="str">
        <x:v>Compressed family/assembly</x:v>
      </x:c>
      <x:c r="H89" s="49"/>
      <x:c r="I89" s="49"/>
    </x:row>
    <x:row r="90">
      <x:c r="A90" s="47" t="n">
        <x:v>86</x:v>
      </x:c>
      <x:c r="B90" s="47" t="str">
        <x:v>Candidate medicinal plant</x:v>
      </x:c>
      <x:c r="C90" s="47" t="str">
        <x:v>Medicine</x:v>
      </x:c>
      <x:c r="D90" s="47" t="str">
        <x:v>Source</x:v>
      </x:c>
      <x:c r="E90" s="47" t="str">
        <x:v>H0</x:v>
      </x:c>
      <x:c r="F90" s="47" t="str">
        <x:v>Recoverable/harvested resource</x:v>
      </x:c>
      <x:c r="G90" s="47" t="str">
        <x:v>Governed node; variants not separated</x:v>
      </x:c>
      <x:c r="H90" s="49"/>
      <x:c r="I90" s="49"/>
    </x:row>
    <x:row r="91">
      <x:c r="A91" s="47" t="n">
        <x:v>87</x:v>
      </x:c>
      <x:c r="B91" s="47" t="str">
        <x:v>Sealed medical supply</x:v>
      </x:c>
      <x:c r="C91" s="47" t="str">
        <x:v>Medicine</x:v>
      </x:c>
      <x:c r="D91" s="47" t="str">
        <x:v>Source</x:v>
      </x:c>
      <x:c r="E91" s="47" t="str">
        <x:v>H0</x:v>
      </x:c>
      <x:c r="F91" s="47" t="str">
        <x:v>Recoverable/harvested resource</x:v>
      </x:c>
      <x:c r="G91" s="47" t="str">
        <x:v>Governed node; variants not separated</x:v>
      </x:c>
      <x:c r="H91" s="49"/>
      <x:c r="I91" s="49"/>
    </x:row>
    <x:row r="92">
      <x:c r="A92" s="47" t="n">
        <x:v>88</x:v>
      </x:c>
      <x:c r="B92" s="47" t="str">
        <x:v>Crutch/cane</x:v>
      </x:c>
      <x:c r="C92" s="47" t="str">
        <x:v>Medicine</x:v>
      </x:c>
      <x:c r="D92" s="47" t="str">
        <x:v>Tool</x:v>
      </x:c>
      <x:c r="E92" s="47" t="str">
        <x:v>H3</x:v>
      </x:c>
      <x:c r="F92" s="47" t="str">
        <x:v>Carryable tool/equipment</x:v>
      </x:c>
      <x:c r="G92" s="47" t="str">
        <x:v>Compressed family/assembly</x:v>
      </x:c>
      <x:c r="H92" s="49"/>
      <x:c r="I92" s="49"/>
    </x:row>
    <x:row r="93">
      <x:c r="A93" s="47" t="n">
        <x:v>89</x:v>
      </x:c>
      <x:c r="B93" s="47" t="str">
        <x:v>Clean treatment surface</x:v>
      </x:c>
      <x:c r="C93" s="47" t="str">
        <x:v>Medicine</x:v>
      </x:c>
      <x:c r="D93" s="47" t="str">
        <x:v>Workspace</x:v>
      </x:c>
      <x:c r="E93" s="47" t="str">
        <x:v>H2</x:v>
      </x:c>
      <x:c r="F93" s="47" t="str">
        <x:v>Placeable workspace</x:v>
      </x:c>
      <x:c r="G93" s="47" t="str">
        <x:v>Governed node; variants not separated</x:v>
      </x:c>
      <x:c r="H93" s="49"/>
      <x:c r="I93" s="49"/>
    </x:row>
    <x:row r="94">
      <x:c r="A94" s="47" t="n">
        <x:v>90</x:v>
      </x:c>
      <x:c r="B94" s="47" t="str">
        <x:v>Clinic/recovery station</x:v>
      </x:c>
      <x:c r="C94" s="47" t="str">
        <x:v>Medicine</x:v>
      </x:c>
      <x:c r="D94" s="47" t="str">
        <x:v>Workspace</x:v>
      </x:c>
      <x:c r="E94" s="47" t="str">
        <x:v>H5</x:v>
      </x:c>
      <x:c r="F94" s="47" t="str">
        <x:v>Placeable workspace</x:v>
      </x:c>
      <x:c r="G94" s="47" t="str">
        <x:v>Compressed family/assembly</x:v>
      </x:c>
      <x:c r="H94" s="49"/>
      <x:c r="I94" s="49"/>
    </x:row>
    <x:row r="95">
      <x:c r="A95" s="47" t="n">
        <x:v>91</x:v>
      </x:c>
      <x:c r="B95" s="47" t="str">
        <x:v>Recycled metal billet</x:v>
      </x:c>
      <x:c r="C95" s="47" t="str">
        <x:v>Metal</x:v>
      </x:c>
      <x:c r="D95" s="47" t="str">
        <x:v>Endpoint</x:v>
      </x:c>
      <x:c r="E95" s="47" t="str">
        <x:v>H4</x:v>
      </x:c>
      <x:c r="F95" s="47" t="str">
        <x:v>Placeable system/capability</x:v>
      </x:c>
      <x:c r="G95" s="47" t="str">
        <x:v>Governed node; variants not separated</x:v>
      </x:c>
      <x:c r="H95" s="49"/>
      <x:c r="I95" s="49"/>
    </x:row>
    <x:row r="96">
      <x:c r="A96" s="47" t="n">
        <x:v>92</x:v>
      </x:c>
      <x:c r="B96" s="47" t="str">
        <x:v>Smelted ore metal/bloom</x:v>
      </x:c>
      <x:c r="C96" s="47" t="str">
        <x:v>Metal</x:v>
      </x:c>
      <x:c r="D96" s="47" t="str">
        <x:v>Endpoint</x:v>
      </x:c>
      <x:c r="E96" s="47" t="str">
        <x:v>H5</x:v>
      </x:c>
      <x:c r="F96" s="47" t="str">
        <x:v>Placeable system/capability</x:v>
      </x:c>
      <x:c r="G96" s="47" t="str">
        <x:v>Compressed family/assembly</x:v>
      </x:c>
      <x:c r="H96" s="49"/>
      <x:c r="I96" s="49"/>
    </x:row>
    <x:row r="97">
      <x:c r="A97" s="47" t="n">
        <x:v>93</x:v>
      </x:c>
      <x:c r="B97" s="47" t="str">
        <x:v>Ore concentrate/test batch</x:v>
      </x:c>
      <x:c r="C97" s="47" t="str">
        <x:v>Metal</x:v>
      </x:c>
      <x:c r="D97" s="47" t="str">
        <x:v>Process</x:v>
      </x:c>
      <x:c r="E97" s="47" t="str">
        <x:v>H4</x:v>
      </x:c>
      <x:c r="F97" s="47" t="str">
        <x:v>Process output (family)</x:v>
      </x:c>
      <x:c r="G97" s="47" t="str">
        <x:v>Abstract; not a discrete item</x:v>
      </x:c>
      <x:c r="H97" s="49"/>
      <x:c r="I97" s="49"/>
    </x:row>
    <x:row r="98">
      <x:c r="A98" s="47" t="n">
        <x:v>94</x:v>
      </x:c>
      <x:c r="B98" s="47" t="str">
        <x:v>Sorted qualified metal stock</x:v>
      </x:c>
      <x:c r="C98" s="47" t="str">
        <x:v>Metal</x:v>
      </x:c>
      <x:c r="D98" s="47" t="str">
        <x:v>Process</x:v>
      </x:c>
      <x:c r="E98" s="47" t="str">
        <x:v>H2</x:v>
      </x:c>
      <x:c r="F98" s="47" t="str">
        <x:v>Process output (family)</x:v>
      </x:c>
      <x:c r="G98" s="47" t="str">
        <x:v>Abstract; not a discrete item</x:v>
      </x:c>
      <x:c r="H98" s="49"/>
      <x:c r="I98" s="49"/>
    </x:row>
    <x:row r="99">
      <x:c r="A99" s="47" t="n">
        <x:v>95</x:v>
      </x:c>
      <x:c r="B99" s="47" t="str">
        <x:v>Qualified deburred aluminum sheet</x:v>
      </x:c>
      <x:c r="C99" s="47" t="str">
        <x:v>Metal</x:v>
      </x:c>
      <x:c r="D99" s="47" t="str">
        <x:v>Processed</x:v>
      </x:c>
      <x:c r="E99" s="47" t="str">
        <x:v>H4</x:v>
      </x:c>
      <x:c r="F99" s="47" t="str">
        <x:v>Processed material/consumable</x:v>
      </x:c>
      <x:c r="G99" s="47" t="str">
        <x:v>Governed node; variants not separated</x:v>
      </x:c>
      <x:c r="H99" s="49"/>
      <x:c r="I99" s="49"/>
    </x:row>
    <x:row r="100">
      <x:c r="A100" s="47" t="n">
        <x:v>96</x:v>
      </x:c>
      <x:c r="B100" s="47" t="str">
        <x:v>Sorted cleaned metal stock</x:v>
      </x:c>
      <x:c r="C100" s="47" t="str">
        <x:v>Metal</x:v>
      </x:c>
      <x:c r="D100" s="47" t="str">
        <x:v>Processed</x:v>
      </x:c>
      <x:c r="E100" s="47" t="str">
        <x:v>H3</x:v>
      </x:c>
      <x:c r="F100" s="47" t="str">
        <x:v>Processed material/consumable</x:v>
      </x:c>
      <x:c r="G100" s="47" t="str">
        <x:v>Compressed family/assembly</x:v>
      </x:c>
      <x:c r="H100" s="49"/>
      <x:c r="I100" s="49"/>
    </x:row>
    <x:row r="101">
      <x:c r="A101" s="47" t="n">
        <x:v>97</x:v>
      </x:c>
      <x:c r="B101" s="47" t="str">
        <x:v>Geological ore candidate</x:v>
      </x:c>
      <x:c r="C101" s="47" t="str">
        <x:v>Metal</x:v>
      </x:c>
      <x:c r="D101" s="47" t="str">
        <x:v>Source</x:v>
      </x:c>
      <x:c r="E101" s="47" t="str">
        <x:v>H3</x:v>
      </x:c>
      <x:c r="F101" s="47" t="str">
        <x:v>Recoverable/harvested resource</x:v>
      </x:c>
      <x:c r="G101" s="47" t="str">
        <x:v>Governed node; variants not separated</x:v>
      </x:c>
      <x:c r="H101" s="49"/>
      <x:c r="I101" s="49"/>
    </x:row>
    <x:row r="102">
      <x:c r="A102" s="47" t="n">
        <x:v>98</x:v>
      </x:c>
      <x:c r="B102" s="47" t="str">
        <x:v>Mixed metal scrap</x:v>
      </x:c>
      <x:c r="C102" s="47" t="str">
        <x:v>Metal</x:v>
      </x:c>
      <x:c r="D102" s="47" t="str">
        <x:v>Source</x:v>
      </x:c>
      <x:c r="E102" s="47" t="str">
        <x:v>H1</x:v>
      </x:c>
      <x:c r="F102" s="47" t="str">
        <x:v>Recoverable/harvested resource</x:v>
      </x:c>
      <x:c r="G102" s="47" t="str">
        <x:v>Governed node; variants not separated</x:v>
      </x:c>
      <x:c r="H102" s="49"/>
      <x:c r="I102" s="49"/>
    </x:row>
    <x:row r="103">
      <x:c r="A103" s="47" t="n">
        <x:v>99</x:v>
      </x:c>
      <x:c r="B103" s="47" t="str">
        <x:v>Forge/anvil station</x:v>
      </x:c>
      <x:c r="C103" s="47" t="str">
        <x:v>Metal</x:v>
      </x:c>
      <x:c r="D103" s="47" t="str">
        <x:v>Workspace</x:v>
      </x:c>
      <x:c r="E103" s="47" t="str">
        <x:v>H4</x:v>
      </x:c>
      <x:c r="F103" s="47" t="str">
        <x:v>Placeable workspace</x:v>
      </x:c>
      <x:c r="G103" s="47" t="str">
        <x:v>Compressed family/assembly</x:v>
      </x:c>
      <x:c r="H103" s="49"/>
      <x:c r="I103" s="49"/>
    </x:row>
    <x:row r="104">
      <x:c r="A104" s="47" t="n">
        <x:v>100</x:v>
      </x:c>
      <x:c r="B104" s="47" t="str">
        <x:v>Species-appropriate animal enclosure</x:v>
      </x:c>
      <x:c r="C104" s="47" t="str">
        <x:v>Nature</x:v>
      </x:c>
      <x:c r="D104" s="47" t="str">
        <x:v>Assembly</x:v>
      </x:c>
      <x:c r="E104" s="47" t="str">
        <x:v>H3</x:v>
      </x:c>
      <x:c r="F104" s="47" t="str">
        <x:v>Placeable/deployable assembly</x:v>
      </x:c>
      <x:c r="G104" s="47" t="str">
        <x:v>Governed node; variants not separated</x:v>
      </x:c>
      <x:c r="H104" s="49"/>
      <x:c r="I104" s="49"/>
    </x:row>
    <x:row r="105">
      <x:c r="A105" s="47" t="n">
        <x:v>101</x:v>
      </x:c>
      <x:c r="B105" s="47" t="str">
        <x:v>Protected nursery and seed trial</x:v>
      </x:c>
      <x:c r="C105" s="47" t="str">
        <x:v>Nature</x:v>
      </x:c>
      <x:c r="D105" s="47" t="str">
        <x:v>Endpoint</x:v>
      </x:c>
      <x:c r="E105" s="47" t="str">
        <x:v>H2</x:v>
      </x:c>
      <x:c r="F105" s="47" t="str">
        <x:v>Placeable system/capability</x:v>
      </x:c>
      <x:c r="G105" s="47" t="str">
        <x:v>Governed node; variants not separated</x:v>
      </x:c>
      <x:c r="H105" s="49"/>
      <x:c r="I105" s="49"/>
    </x:row>
    <x:row r="106">
      <x:c r="A106" s="47" t="n">
        <x:v>102</x:v>
      </x:c>
      <x:c r="B106" s="47" t="str">
        <x:v>Seasonal forage and habitat map</x:v>
      </x:c>
      <x:c r="C106" s="47" t="str">
        <x:v>Nature</x:v>
      </x:c>
      <x:c r="D106" s="47" t="str">
        <x:v>Endpoint</x:v>
      </x:c>
      <x:c r="E106" s="47" t="str">
        <x:v>H1</x:v>
      </x:c>
      <x:c r="F106" s="47" t="str">
        <x:v>Placeable system/capability</x:v>
      </x:c>
      <x:c r="G106" s="47" t="str">
        <x:v>Governed node; variants not separated</x:v>
      </x:c>
      <x:c r="H106" s="49"/>
      <x:c r="I106" s="49"/>
    </x:row>
    <x:row r="107">
      <x:c r="A107" s="47" t="n">
        <x:v>103</x:v>
      </x:c>
      <x:c r="B107" s="47" t="str">
        <x:v>Sustainable husbandry system</x:v>
      </x:c>
      <x:c r="C107" s="47" t="str">
        <x:v>Nature</x:v>
      </x:c>
      <x:c r="D107" s="47" t="str">
        <x:v>Endpoint</x:v>
      </x:c>
      <x:c r="E107" s="47" t="str">
        <x:v>H4</x:v>
      </x:c>
      <x:c r="F107" s="47" t="str">
        <x:v>Placeable system/capability</x:v>
      </x:c>
      <x:c r="G107" s="47" t="str">
        <x:v>Compressed family/assembly</x:v>
      </x:c>
      <x:c r="H107" s="49"/>
      <x:c r="I107" s="49"/>
    </x:row>
    <x:row r="108">
      <x:c r="A108" s="47" t="n">
        <x:v>104</x:v>
      </x:c>
      <x:c r="B108" s="47" t="str">
        <x:v>Manageable animal population</x:v>
      </x:c>
      <x:c r="C108" s="47" t="str">
        <x:v>Nature</x:v>
      </x:c>
      <x:c r="D108" s="47" t="str">
        <x:v>Source</x:v>
      </x:c>
      <x:c r="E108" s="47" t="str">
        <x:v>H2</x:v>
      </x:c>
      <x:c r="F108" s="47" t="str">
        <x:v>World ecology/population</x:v>
      </x:c>
      <x:c r="G108" s="47" t="str">
        <x:v>Governed node; variants not separated</x:v>
      </x:c>
      <x:c r="H108" s="49"/>
      <x:c r="I108" s="49"/>
    </x:row>
    <x:row r="109">
      <x:c r="A109" s="47" t="n">
        <x:v>105</x:v>
      </x:c>
      <x:c r="B109" s="47" t="str">
        <x:v>Renewable fodder/feed base</x:v>
      </x:c>
      <x:c r="C109" s="47" t="str">
        <x:v>Nature</x:v>
      </x:c>
      <x:c r="D109" s="47" t="str">
        <x:v>Source</x:v>
      </x:c>
      <x:c r="E109" s="47" t="str">
        <x:v>H2</x:v>
      </x:c>
      <x:c r="F109" s="47" t="str">
        <x:v>World ecology/population</x:v>
      </x:c>
      <x:c r="G109" s="47" t="str">
        <x:v>Compressed family/assembly</x:v>
      </x:c>
      <x:c r="H109" s="49"/>
      <x:c r="I109" s="49"/>
    </x:row>
    <x:row r="110">
      <x:c r="A110" s="47" t="n">
        <x:v>106</x:v>
      </x:c>
      <x:c r="B110" s="47" t="str">
        <x:v>Pressure relief and control set</x:v>
      </x:c>
      <x:c r="C110" s="47" t="str">
        <x:v>Power</x:v>
      </x:c>
      <x:c r="D110" s="47" t="str">
        <x:v>Assembly</x:v>
      </x:c>
      <x:c r="E110" s="47" t="str">
        <x:v>H5</x:v>
      </x:c>
      <x:c r="F110" s="47" t="str">
        <x:v>Placeable/deployable assembly</x:v>
      </x:c>
      <x:c r="G110" s="47" t="str">
        <x:v>Named; requires component decomposition</x:v>
      </x:c>
      <x:c r="H110" s="49"/>
      <x:c r="I110" s="49"/>
    </x:row>
    <x:row r="111">
      <x:c r="A111" s="47" t="n">
        <x:v>107</x:v>
      </x:c>
      <x:c r="B111" s="47" t="str">
        <x:v>Protected battery bank</x:v>
      </x:c>
      <x:c r="C111" s="47" t="str">
        <x:v>Power</x:v>
      </x:c>
      <x:c r="D111" s="47" t="str">
        <x:v>Assembly</x:v>
      </x:c>
      <x:c r="E111" s="47" t="str">
        <x:v>H5</x:v>
      </x:c>
      <x:c r="F111" s="47" t="str">
        <x:v>Placeable/deployable assembly</x:v>
      </x:c>
      <x:c r="G111" s="47" t="str">
        <x:v>Governed node; variants not separated</x:v>
      </x:c>
      <x:c r="H111" s="49"/>
      <x:c r="I111" s="49"/>
    </x:row>
    <x:row r="112">
      <x:c r="A112" s="47" t="n">
        <x:v>108</x:v>
      </x:c>
      <x:c r="B112" s="47" t="str">
        <x:v>Protected lamp/light</x:v>
      </x:c>
      <x:c r="C112" s="47" t="str">
        <x:v>Power</x:v>
      </x:c>
      <x:c r="D112" s="47" t="str">
        <x:v>Assembly</x:v>
      </x:c>
      <x:c r="E112" s="47" t="str">
        <x:v>H4</x:v>
      </x:c>
      <x:c r="F112" s="47" t="str">
        <x:v>Placeable/deployable assembly</x:v>
      </x:c>
      <x:c r="G112" s="47" t="str">
        <x:v>Compressed family/assembly</x:v>
      </x:c>
      <x:c r="H112" s="49"/>
      <x:c r="I112" s="49"/>
    </x:row>
    <x:row r="113">
      <x:c r="A113" s="47" t="n">
        <x:v>109</x:v>
      </x:c>
      <x:c r="B113" s="47" t="str">
        <x:v>Qualified pressure boiler</x:v>
      </x:c>
      <x:c r="C113" s="47" t="str">
        <x:v>Power</x:v>
      </x:c>
      <x:c r="D113" s="47" t="str">
        <x:v>Assembly</x:v>
      </x:c>
      <x:c r="E113" s="47" t="str">
        <x:v>H6</x:v>
      </x:c>
      <x:c r="F113" s="47" t="str">
        <x:v>Placeable/deployable assembly</x:v>
      </x:c>
      <x:c r="G113" s="47" t="str">
        <x:v>Named; requires component decomposition</x:v>
      </x:c>
      <x:c r="H113" s="49"/>
      <x:c r="I113" s="49"/>
    </x:row>
    <x:row r="114">
      <x:c r="A114" s="47" t="n">
        <x:v>110</x:v>
      </x:c>
      <x:c r="B114" s="47" t="str">
        <x:v>Small generator adaptation</x:v>
      </x:c>
      <x:c r="C114" s="47" t="str">
        <x:v>Power</x:v>
      </x:c>
      <x:c r="D114" s="47" t="str">
        <x:v>Assembly</x:v>
      </x:c>
      <x:c r="E114" s="47" t="str">
        <x:v>H5</x:v>
      </x:c>
      <x:c r="F114" s="47" t="str">
        <x:v>Placeable/deployable assembly</x:v>
      </x:c>
      <x:c r="G114" s="47" t="str">
        <x:v>Governed node; variants not separated</x:v>
      </x:c>
      <x:c r="H114" s="49"/>
      <x:c r="I114" s="49"/>
    </x:row>
    <x:row r="115">
      <x:c r="A115" s="47" t="n">
        <x:v>111</x:v>
      </x:c>
      <x:c r="B115" s="47" t="str">
        <x:v>Steam prime mover</x:v>
      </x:c>
      <x:c r="C115" s="47" t="str">
        <x:v>Power</x:v>
      </x:c>
      <x:c r="D115" s="47" t="str">
        <x:v>Assembly</x:v>
      </x:c>
      <x:c r="E115" s="47" t="str">
        <x:v>H6</x:v>
      </x:c>
      <x:c r="F115" s="47" t="str">
        <x:v>Placeable/deployable assembly</x:v>
      </x:c>
      <x:c r="G115" s="47" t="str">
        <x:v>Named; requires component decomposition</x:v>
      </x:c>
      <x:c r="H115" s="49"/>
      <x:c r="I115" s="49"/>
    </x:row>
    <x:row r="116">
      <x:c r="A116" s="47" t="n">
        <x:v>112</x:v>
      </x:c>
      <x:c r="B116" s="47" t="str">
        <x:v>Camp microgrid</x:v>
      </x:c>
      <x:c r="C116" s="47" t="str">
        <x:v>Power</x:v>
      </x:c>
      <x:c r="D116" s="47" t="str">
        <x:v>Endpoint</x:v>
      </x:c>
      <x:c r="E116" s="47" t="str">
        <x:v>H5</x:v>
      </x:c>
      <x:c r="F116" s="47" t="str">
        <x:v>Placeable system/capability</x:v>
      </x:c>
      <x:c r="G116" s="47" t="str">
        <x:v>Governed node; variants not separated</x:v>
      </x:c>
      <x:c r="H116" s="49"/>
      <x:c r="I116" s="49"/>
    </x:row>
    <x:row r="117">
      <x:c r="A117" s="47" t="n">
        <x:v>113</x:v>
      </x:c>
      <x:c r="B117" s="47" t="str">
        <x:v>Steam-driven water/mine pump</x:v>
      </x:c>
      <x:c r="C117" s="47" t="str">
        <x:v>Power</x:v>
      </x:c>
      <x:c r="D117" s="47" t="str">
        <x:v>Endpoint</x:v>
      </x:c>
      <x:c r="E117" s="47" t="str">
        <x:v>H6</x:v>
      </x:c>
      <x:c r="F117" s="47" t="str">
        <x:v>Placeable system/capability</x:v>
      </x:c>
      <x:c r="G117" s="47" t="str">
        <x:v>Named; requires component decomposition</x:v>
      </x:c>
      <x:c r="H117" s="49"/>
      <x:c r="I117" s="49"/>
    </x:row>
    <x:row r="118">
      <x:c r="A118" s="47" t="n">
        <x:v>114</x:v>
      </x:c>
      <x:c r="B118" s="47" t="str">
        <x:v>Steam-electric generation set</x:v>
      </x:c>
      <x:c r="C118" s="47" t="str">
        <x:v>Power</x:v>
      </x:c>
      <x:c r="D118" s="47" t="str">
        <x:v>Endpoint</x:v>
      </x:c>
      <x:c r="E118" s="47" t="str">
        <x:v>H6</x:v>
      </x:c>
      <x:c r="F118" s="47" t="str">
        <x:v>Placeable system/capability</x:v>
      </x:c>
      <x:c r="G118" s="47" t="str">
        <x:v>Named; requires component decomposition</x:v>
      </x:c>
      <x:c r="H118" s="49"/>
      <x:c r="I118" s="49"/>
    </x:row>
    <x:row r="119">
      <x:c r="A119" s="47" t="n">
        <x:v>115</x:v>
      </x:c>
      <x:c r="B119" s="47" t="str">
        <x:v>Borrowed Signal rescue beacon</x:v>
      </x:c>
      <x:c r="C119" s="47" t="str">
        <x:v>Return</x:v>
      </x:c>
      <x:c r="D119" s="47" t="str">
        <x:v>Endpoint</x:v>
      </x:c>
      <x:c r="E119" s="47" t="str">
        <x:v>H7</x:v>
      </x:c>
      <x:c r="F119" s="47" t="str">
        <x:v>Major end capability</x:v>
      </x:c>
      <x:c r="G119" s="47" t="str">
        <x:v>Governed node; variants not separated</x:v>
      </x:c>
      <x:c r="H119" s="49"/>
      <x:c r="I119" s="49"/>
    </x:row>
    <x:row r="120">
      <x:c r="A120" s="47" t="n">
        <x:v>116</x:v>
      </x:c>
      <x:c r="B120" s="47" t="str">
        <x:v>Direct-return vessel</x:v>
      </x:c>
      <x:c r="C120" s="47" t="str">
        <x:v>Return</x:v>
      </x:c>
      <x:c r="D120" s="47" t="str">
        <x:v>Endpoint</x:v>
      </x:c>
      <x:c r="E120" s="47" t="str">
        <x:v>H7</x:v>
      </x:c>
      <x:c r="F120" s="47" t="str">
        <x:v>Major end capability</x:v>
      </x:c>
      <x:c r="G120" s="47" t="str">
        <x:v>Governed node; variants not separated</x:v>
      </x:c>
      <x:c r="H120" s="49"/>
      <x:c r="I120" s="49"/>
    </x:row>
    <x:row r="121">
      <x:c r="A121" s="47" t="n">
        <x:v>117</x:v>
      </x:c>
      <x:c r="B121" s="47" t="str">
        <x:v>Covered salvage sorting yard</x:v>
      </x:c>
      <x:c r="C121" s="47" t="str">
        <x:v>Salvage</x:v>
      </x:c>
      <x:c r="D121" s="47" t="str">
        <x:v>Assembly</x:v>
      </x:c>
      <x:c r="E121" s="47" t="str">
        <x:v>H2</x:v>
      </x:c>
      <x:c r="F121" s="47" t="str">
        <x:v>Placeable/deployable assembly</x:v>
      </x:c>
      <x:c r="G121" s="47" t="str">
        <x:v>Governed node; variants not separated</x:v>
      </x:c>
      <x:c r="H121" s="49"/>
      <x:c r="I121" s="49"/>
    </x:row>
    <x:row r="122">
      <x:c r="A122" s="47" t="n">
        <x:v>118</x:v>
      </x:c>
      <x:c r="B122" s="47" t="str">
        <x:v>Buried salvage recovery operation</x:v>
      </x:c>
      <x:c r="C122" s="47" t="str">
        <x:v>Salvage</x:v>
      </x:c>
      <x:c r="D122" s="47" t="str">
        <x:v>Endpoint</x:v>
      </x:c>
      <x:c r="E122" s="47" t="str">
        <x:v>H2</x:v>
      </x:c>
      <x:c r="F122" s="47" t="str">
        <x:v>Placeable system/capability</x:v>
      </x:c>
      <x:c r="G122" s="47" t="str">
        <x:v>Compressed family/assembly</x:v>
      </x:c>
      <x:c r="H122" s="49"/>
      <x:c r="I122" s="49"/>
    </x:row>
    <x:row r="123">
      <x:c r="A123" s="47" t="n">
        <x:v>119</x:v>
      </x:c>
      <x:c r="B123" s="47" t="str">
        <x:v>Parts and compatibility catalog</x:v>
      </x:c>
      <x:c r="C123" s="47" t="str">
        <x:v>Salvage</x:v>
      </x:c>
      <x:c r="D123" s="47" t="str">
        <x:v>Endpoint</x:v>
      </x:c>
      <x:c r="E123" s="47" t="str">
        <x:v>H2</x:v>
      </x:c>
      <x:c r="F123" s="47" t="str">
        <x:v>Placeable system/capability</x:v>
      </x:c>
      <x:c r="G123" s="47" t="str">
        <x:v>Governed node; variants not separated</x:v>
      </x:c>
      <x:c r="H123" s="49"/>
      <x:c r="I123" s="49"/>
    </x:row>
    <x:row r="124">
      <x:c r="A124" s="47" t="n">
        <x:v>120</x:v>
      </x:c>
      <x:c r="B124" s="47" t="str">
        <x:v>Salvage quarantine bay</x:v>
      </x:c>
      <x:c r="C124" s="47" t="str">
        <x:v>Salvage</x:v>
      </x:c>
      <x:c r="D124" s="47" t="str">
        <x:v>Endpoint</x:v>
      </x:c>
      <x:c r="E124" s="47" t="str">
        <x:v>H2</x:v>
      </x:c>
      <x:c r="F124" s="47" t="str">
        <x:v>Placeable system/capability</x:v>
      </x:c>
      <x:c r="G124" s="47" t="str">
        <x:v>Governed node; variants not separated</x:v>
      </x:c>
      <x:c r="H124" s="49"/>
      <x:c r="I124" s="49"/>
    </x:row>
    <x:row r="125">
      <x:c r="A125" s="47" t="n">
        <x:v>121</x:v>
      </x:c>
      <x:c r="B125" s="47" t="str">
        <x:v>Waste routing and containment</x:v>
      </x:c>
      <x:c r="C125" s="47" t="str">
        <x:v>Salvage</x:v>
      </x:c>
      <x:c r="D125" s="47" t="str">
        <x:v>Endpoint</x:v>
      </x:c>
      <x:c r="E125" s="47" t="str">
        <x:v>H2</x:v>
      </x:c>
      <x:c r="F125" s="47" t="str">
        <x:v>Placeable system/capability</x:v>
      </x:c>
      <x:c r="G125" s="47" t="str">
        <x:v>Governed node; variants not separated</x:v>
      </x:c>
      <x:c r="H125" s="49"/>
      <x:c r="I125" s="49"/>
    </x:row>
    <x:row r="126">
      <x:c r="A126" s="47" t="n">
        <x:v>122</x:v>
      </x:c>
      <x:c r="B126" s="47" t="str">
        <x:v>Aircraft/marine aluminum sheet</x:v>
      </x:c>
      <x:c r="C126" s="47" t="str">
        <x:v>Salvage</x:v>
      </x:c>
      <x:c r="D126" s="47" t="str">
        <x:v>Source</x:v>
      </x:c>
      <x:c r="E126" s="47" t="str">
        <x:v>H0</x:v>
      </x:c>
      <x:c r="F126" s="47" t="str">
        <x:v>Recoverable/harvested resource</x:v>
      </x:c>
      <x:c r="G126" s="47" t="str">
        <x:v>Compressed family/assembly</x:v>
      </x:c>
      <x:c r="H126" s="49"/>
      <x:c r="I126" s="49"/>
    </x:row>
    <x:row r="127">
      <x:c r="A127" s="47" t="n">
        <x:v>123</x:v>
      </x:c>
      <x:c r="B127" s="47" t="str">
        <x:v>Bearing/pulley/gear module</x:v>
      </x:c>
      <x:c r="C127" s="47" t="str">
        <x:v>Salvage</x:v>
      </x:c>
      <x:c r="D127" s="47" t="str">
        <x:v>Source</x:v>
      </x:c>
      <x:c r="E127" s="47" t="str">
        <x:v>H0</x:v>
      </x:c>
      <x:c r="F127" s="47" t="str">
        <x:v>Recoverable/harvested resource</x:v>
      </x:c>
      <x:c r="G127" s="47" t="str">
        <x:v>Compressed family/assembly</x:v>
      </x:c>
      <x:c r="H127" s="49"/>
      <x:c r="I127" s="49"/>
    </x:row>
    <x:row r="128">
      <x:c r="A128" s="47" t="n">
        <x:v>124</x:v>
      </x:c>
      <x:c r="B128" s="47" t="str">
        <x:v>Brass/valve salvage</x:v>
      </x:c>
      <x:c r="C128" s="47" t="str">
        <x:v>Salvage</x:v>
      </x:c>
      <x:c r="D128" s="47" t="str">
        <x:v>Source</x:v>
      </x:c>
      <x:c r="E128" s="47" t="str">
        <x:v>H0</x:v>
      </x:c>
      <x:c r="F128" s="47" t="str">
        <x:v>Recoverable/harvested resource</x:v>
      </x:c>
      <x:c r="G128" s="47" t="str">
        <x:v>Compressed family/assembly</x:v>
      </x:c>
      <x:c r="H128" s="49"/>
      <x:c r="I128" s="49"/>
    </x:row>
    <x:row r="129">
      <x:c r="A129" s="47" t="n">
        <x:v>125</x:v>
      </x:c>
      <x:c r="B129" s="47" t="str">
        <x:v>Canvas/raft fabric</x:v>
      </x:c>
      <x:c r="C129" s="47" t="str">
        <x:v>Salvage</x:v>
      </x:c>
      <x:c r="D129" s="47" t="str">
        <x:v>Source</x:v>
      </x:c>
      <x:c r="E129" s="47" t="str">
        <x:v>H0</x:v>
      </x:c>
      <x:c r="F129" s="47" t="str">
        <x:v>Recoverable/harvested resource</x:v>
      </x:c>
      <x:c r="G129" s="47" t="str">
        <x:v>Compressed family/assembly</x:v>
      </x:c>
      <x:c r="H129" s="49"/>
      <x:c r="I129" s="49"/>
    </x:row>
    <x:row r="130">
      <x:c r="A130" s="47" t="n">
        <x:v>126</x:v>
      </x:c>
      <x:c r="B130" s="47" t="str">
        <x:v>Copper salvage</x:v>
      </x:c>
      <x:c r="C130" s="47" t="str">
        <x:v>Salvage</x:v>
      </x:c>
      <x:c r="D130" s="47" t="str">
        <x:v>Source</x:v>
      </x:c>
      <x:c r="E130" s="47" t="str">
        <x:v>H0</x:v>
      </x:c>
      <x:c r="F130" s="47" t="str">
        <x:v>Recoverable/harvested resource</x:v>
      </x:c>
      <x:c r="G130" s="47" t="str">
        <x:v>Governed node; variants not separated</x:v>
      </x:c>
      <x:c r="H130" s="49"/>
      <x:c r="I130" s="49"/>
    </x:row>
    <x:row r="131">
      <x:c r="A131" s="47" t="n">
        <x:v>127</x:v>
      </x:c>
      <x:c r="B131" s="47" t="str">
        <x:v>Ferrous salvage</x:v>
      </x:c>
      <x:c r="C131" s="47" t="str">
        <x:v>Salvage</x:v>
      </x:c>
      <x:c r="D131" s="47" t="str">
        <x:v>Source</x:v>
      </x:c>
      <x:c r="E131" s="47" t="str">
        <x:v>H0</x:v>
      </x:c>
      <x:c r="F131" s="47" t="str">
        <x:v>Recoverable/harvested resource</x:v>
      </x:c>
      <x:c r="G131" s="47" t="str">
        <x:v>Governed node; variants not separated</x:v>
      </x:c>
      <x:c r="H131" s="49"/>
      <x:c r="I131" s="49"/>
    </x:row>
    <x:row r="132">
      <x:c r="A132" s="47" t="n">
        <x:v>128</x:v>
      </x:c>
      <x:c r="B132" s="47" t="str">
        <x:v>Found rope/webbing</x:v>
      </x:c>
      <x:c r="C132" s="47" t="str">
        <x:v>Salvage</x:v>
      </x:c>
      <x:c r="D132" s="47" t="str">
        <x:v>Source</x:v>
      </x:c>
      <x:c r="E132" s="47" t="str">
        <x:v>H0</x:v>
      </x:c>
      <x:c r="F132" s="47" t="str">
        <x:v>Recoverable/harvested resource</x:v>
      </x:c>
      <x:c r="G132" s="47" t="str">
        <x:v>Compressed family/assembly</x:v>
      </x:c>
      <x:c r="H132" s="49"/>
      <x:c r="I132" s="49"/>
    </x:row>
    <x:row r="133">
      <x:c r="A133" s="47" t="n">
        <x:v>129</x:v>
      </x:c>
      <x:c r="B133" s="47" t="str">
        <x:v>Glass/optics</x:v>
      </x:c>
      <x:c r="C133" s="47" t="str">
        <x:v>Salvage</x:v>
      </x:c>
      <x:c r="D133" s="47" t="str">
        <x:v>Source</x:v>
      </x:c>
      <x:c r="E133" s="47" t="str">
        <x:v>H0</x:v>
      </x:c>
      <x:c r="F133" s="47" t="str">
        <x:v>Recoverable/harvested resource</x:v>
      </x:c>
      <x:c r="G133" s="47" t="str">
        <x:v>Compressed family/assembly</x:v>
      </x:c>
      <x:c r="H133" s="49"/>
      <x:c r="I133" s="49"/>
    </x:row>
    <x:row r="134">
      <x:c r="A134" s="47" t="n">
        <x:v>130</x:v>
      </x:c>
      <x:c r="B134" s="47" t="str">
        <x:v>Polymer/container stock</x:v>
      </x:c>
      <x:c r="C134" s="47" t="str">
        <x:v>Salvage</x:v>
      </x:c>
      <x:c r="D134" s="47" t="str">
        <x:v>Source</x:v>
      </x:c>
      <x:c r="E134" s="47" t="str">
        <x:v>H0</x:v>
      </x:c>
      <x:c r="F134" s="47" t="str">
        <x:v>Recoverable/harvested resource</x:v>
      </x:c>
      <x:c r="G134" s="47" t="str">
        <x:v>Compressed family/assembly</x:v>
      </x:c>
      <x:c r="H134" s="49"/>
      <x:c r="I134" s="49"/>
    </x:row>
    <x:row r="135">
      <x:c r="A135" s="47" t="n">
        <x:v>131</x:v>
      </x:c>
      <x:c r="B135" s="47" t="str">
        <x:v>Recognized bottle/container</x:v>
      </x:c>
      <x:c r="C135" s="47" t="str">
        <x:v>Salvage</x:v>
      </x:c>
      <x:c r="D135" s="47" t="str">
        <x:v>Source</x:v>
      </x:c>
      <x:c r="E135" s="47" t="str">
        <x:v>H0</x:v>
      </x:c>
      <x:c r="F135" s="47" t="str">
        <x:v>Recoverable/harvested resource</x:v>
      </x:c>
      <x:c r="G135" s="47" t="str">
        <x:v>Compressed family/assembly</x:v>
      </x:c>
      <x:c r="H135" s="49"/>
      <x:c r="I135" s="49"/>
    </x:row>
    <x:row r="136">
      <x:c r="A136" s="47" t="n">
        <x:v>132</x:v>
      </x:c>
      <x:c r="B136" s="47" t="str">
        <x:v>Recognized food-grade pan</x:v>
      </x:c>
      <x:c r="C136" s="47" t="str">
        <x:v>Salvage</x:v>
      </x:c>
      <x:c r="D136" s="47" t="str">
        <x:v>Source</x:v>
      </x:c>
      <x:c r="E136" s="47" t="str">
        <x:v>H0</x:v>
      </x:c>
      <x:c r="F136" s="47" t="str">
        <x:v>Recoverable/harvested resource</x:v>
      </x:c>
      <x:c r="G136" s="47" t="str">
        <x:v>Governed node; variants not separated</x:v>
      </x:c>
      <x:c r="H136" s="49"/>
      <x:c r="I136" s="49"/>
    </x:row>
    <x:row r="137">
      <x:c r="A137" s="47" t="n">
        <x:v>133</x:v>
      </x:c>
      <x:c r="B137" s="47" t="str">
        <x:v>Recovered fasteners</x:v>
      </x:c>
      <x:c r="C137" s="47" t="str">
        <x:v>Salvage</x:v>
      </x:c>
      <x:c r="D137" s="47" t="str">
        <x:v>Source</x:v>
      </x:c>
      <x:c r="E137" s="47" t="str">
        <x:v>H0</x:v>
      </x:c>
      <x:c r="F137" s="47" t="str">
        <x:v>Recoverable/harvested resource</x:v>
      </x:c>
      <x:c r="G137" s="47" t="str">
        <x:v>Governed node; variants not separated</x:v>
      </x:c>
      <x:c r="H137" s="49"/>
      <x:c r="I137" s="49"/>
    </x:row>
    <x:row r="138">
      <x:c r="A138" s="47" t="n">
        <x:v>134</x:v>
      </x:c>
      <x:c r="B138" s="47" t="str">
        <x:v>Repairable engine/motor</x:v>
      </x:c>
      <x:c r="C138" s="47" t="str">
        <x:v>Salvage</x:v>
      </x:c>
      <x:c r="D138" s="47" t="str">
        <x:v>Source</x:v>
      </x:c>
      <x:c r="E138" s="47" t="str">
        <x:v>H0</x:v>
      </x:c>
      <x:c r="F138" s="47" t="str">
        <x:v>Recoverable/harvested resource</x:v>
      </x:c>
      <x:c r="G138" s="47" t="str">
        <x:v>Compressed family/assembly</x:v>
      </x:c>
      <x:c r="H138" s="49"/>
      <x:c r="I138" s="49"/>
    </x:row>
    <x:row r="139">
      <x:c r="A139" s="47" t="n">
        <x:v>135</x:v>
      </x:c>
      <x:c r="B139" s="47" t="str">
        <x:v>Rubber/hose/gasket</x:v>
      </x:c>
      <x:c r="C139" s="47" t="str">
        <x:v>Salvage</x:v>
      </x:c>
      <x:c r="D139" s="47" t="str">
        <x:v>Source</x:v>
      </x:c>
      <x:c r="E139" s="47" t="str">
        <x:v>H0</x:v>
      </x:c>
      <x:c r="F139" s="47" t="str">
        <x:v>Recoverable/harvested resource</x:v>
      </x:c>
      <x:c r="G139" s="47" t="str">
        <x:v>Compressed family/assembly</x:v>
      </x:c>
      <x:c r="H139" s="49"/>
      <x:c r="I139" s="49"/>
    </x:row>
    <x:row r="140">
      <x:c r="A140" s="47" t="n">
        <x:v>136</x:v>
      </x:c>
      <x:c r="B140" s="47" t="str">
        <x:v>Salvaged textile/webbing</x:v>
      </x:c>
      <x:c r="C140" s="47" t="str">
        <x:v>Salvage</x:v>
      </x:c>
      <x:c r="D140" s="47" t="str">
        <x:v>Source</x:v>
      </x:c>
      <x:c r="E140" s="47" t="str">
        <x:v>H0</x:v>
      </x:c>
      <x:c r="F140" s="47" t="str">
        <x:v>Recoverable/harvested resource</x:v>
      </x:c>
      <x:c r="G140" s="47" t="str">
        <x:v>Compressed family/assembly</x:v>
      </x:c>
      <x:c r="H140" s="49"/>
      <x:c r="I140" s="49"/>
    </x:row>
    <x:row r="141">
      <x:c r="A141" s="47" t="n">
        <x:v>137</x:v>
      </x:c>
      <x:c r="B141" s="47" t="str">
        <x:v>Multi-hazard safe sleeping cell</x:v>
      </x:c>
      <x:c r="C141" s="47" t="str">
        <x:v>Shelter</x:v>
      </x:c>
      <x:c r="D141" s="47" t="str">
        <x:v>Assembly</x:v>
      </x:c>
      <x:c r="E141" s="47" t="str">
        <x:v>H4</x:v>
      </x:c>
      <x:c r="F141" s="47" t="str">
        <x:v>Placeable/deployable assembly</x:v>
      </x:c>
      <x:c r="G141" s="47" t="str">
        <x:v>Governed node; variants not separated</x:v>
      </x:c>
      <x:c r="H141" s="49"/>
      <x:c r="I141" s="49"/>
    </x:row>
    <x:row r="142">
      <x:c r="A142" s="47" t="n">
        <x:v>138</x:v>
      </x:c>
      <x:c r="B142" s="47" t="str">
        <x:v>Oriented windbreak</x:v>
      </x:c>
      <x:c r="C142" s="47" t="str">
        <x:v>Shelter</x:v>
      </x:c>
      <x:c r="D142" s="47" t="str">
        <x:v>Assembly</x:v>
      </x:c>
      <x:c r="E142" s="47" t="str">
        <x:v>H1</x:v>
      </x:c>
      <x:c r="F142" s="47" t="str">
        <x:v>Placeable/deployable assembly</x:v>
      </x:c>
      <x:c r="G142" s="47" t="str">
        <x:v>Governed node; variants not separated</x:v>
      </x:c>
      <x:c r="H142" s="49"/>
      <x:c r="I142" s="49"/>
    </x:row>
    <x:row r="143">
      <x:c r="A143" s="47" t="n">
        <x:v>139</x:v>
      </x:c>
      <x:c r="B143" s="47" t="str">
        <x:v>Rain roof</x:v>
      </x:c>
      <x:c r="C143" s="47" t="str">
        <x:v>Shelter</x:v>
      </x:c>
      <x:c r="D143" s="47" t="str">
        <x:v>Assembly</x:v>
      </x:c>
      <x:c r="E143" s="47" t="str">
        <x:v>H1</x:v>
      </x:c>
      <x:c r="F143" s="47" t="str">
        <x:v>Placeable/deployable assembly</x:v>
      </x:c>
      <x:c r="G143" s="47" t="str">
        <x:v>Governed node; variants not separated</x:v>
      </x:c>
      <x:c r="H143" s="49"/>
      <x:c r="I143" s="49"/>
    </x:row>
    <x:row r="144">
      <x:c r="A144" s="47" t="n">
        <x:v>140</x:v>
      </x:c>
      <x:c r="B144" s="47" t="str">
        <x:v>Raised insulated sleep</x:v>
      </x:c>
      <x:c r="C144" s="47" t="str">
        <x:v>Shelter</x:v>
      </x:c>
      <x:c r="D144" s="47" t="str">
        <x:v>Assembly</x:v>
      </x:c>
      <x:c r="E144" s="47" t="str">
        <x:v>H2</x:v>
      </x:c>
      <x:c r="F144" s="47" t="str">
        <x:v>Placeable/deployable assembly</x:v>
      </x:c>
      <x:c r="G144" s="47" t="str">
        <x:v>Governed node; variants not separated</x:v>
      </x:c>
      <x:c r="H144" s="49"/>
      <x:c r="I144" s="49"/>
    </x:row>
    <x:row r="145">
      <x:c r="A145" s="47" t="n">
        <x:v>141</x:v>
      </x:c>
      <x:c r="B145" s="47" t="str">
        <x:v>Shelter drainage network</x:v>
      </x:c>
      <x:c r="C145" s="47" t="str">
        <x:v>Shelter</x:v>
      </x:c>
      <x:c r="D145" s="47" t="str">
        <x:v>Assembly</x:v>
      </x:c>
      <x:c r="E145" s="47" t="str">
        <x:v>H2</x:v>
      </x:c>
      <x:c r="F145" s="47" t="str">
        <x:v>Placeable/deployable assembly</x:v>
      </x:c>
      <x:c r="G145" s="47" t="str">
        <x:v>Compressed family/assembly</x:v>
      </x:c>
      <x:c r="H145" s="49"/>
      <x:c r="I145" s="49"/>
    </x:row>
    <x:row r="146">
      <x:c r="A146" s="47" t="n">
        <x:v>142</x:v>
      </x:c>
      <x:c r="B146" s="47" t="str">
        <x:v>Storm shutters/opening protection</x:v>
      </x:c>
      <x:c r="C146" s="47" t="str">
        <x:v>Shelter</x:v>
      </x:c>
      <x:c r="D146" s="47" t="str">
        <x:v>Assembly</x:v>
      </x:c>
      <x:c r="E146" s="47" t="str">
        <x:v>H3</x:v>
      </x:c>
      <x:c r="F146" s="47" t="str">
        <x:v>Placeable/deployable assembly</x:v>
      </x:c>
      <x:c r="G146" s="47" t="str">
        <x:v>Compressed family/assembly</x:v>
      </x:c>
      <x:c r="H146" s="49"/>
      <x:c r="I146" s="49"/>
    </x:row>
    <x:row r="147">
      <x:c r="A147" s="47" t="n">
        <x:v>143</x:v>
      </x:c>
      <x:c r="B147" s="47" t="str">
        <x:v>Truthful first refuge</x:v>
      </x:c>
      <x:c r="C147" s="47" t="str">
        <x:v>Shelter</x:v>
      </x:c>
      <x:c r="D147" s="47" t="str">
        <x:v>Assembly</x:v>
      </x:c>
      <x:c r="E147" s="47" t="str">
        <x:v>H2</x:v>
      </x:c>
      <x:c r="F147" s="47" t="str">
        <x:v>Placeable/deployable assembly</x:v>
      </x:c>
      <x:c r="G147" s="47" t="str">
        <x:v>Governed node; variants not separated</x:v>
      </x:c>
      <x:c r="H147" s="49"/>
      <x:c r="I147" s="49"/>
    </x:row>
    <x:row r="148">
      <x:c r="A148" s="47" t="n">
        <x:v>144</x:v>
      </x:c>
      <x:c r="B148" s="47" t="str">
        <x:v>Controlled ventilation/smoke path</x:v>
      </x:c>
      <x:c r="C148" s="47" t="str">
        <x:v>Shelter</x:v>
      </x:c>
      <x:c r="D148" s="47" t="str">
        <x:v>Endpoint</x:v>
      </x:c>
      <x:c r="E148" s="47" t="str">
        <x:v>H2</x:v>
      </x:c>
      <x:c r="F148" s="47" t="str">
        <x:v>Placeable system/capability</x:v>
      </x:c>
      <x:c r="G148" s="47" t="str">
        <x:v>Compressed family/assembly</x:v>
      </x:c>
      <x:c r="H148" s="49"/>
      <x:c r="I148" s="49"/>
    </x:row>
    <x:row r="149">
      <x:c r="A149" s="47" t="n">
        <x:v>145</x:v>
      </x:c>
      <x:c r="B149" s="47" t="str">
        <x:v>Hot-work/fire separation</x:v>
      </x:c>
      <x:c r="C149" s="47" t="str">
        <x:v>Shelter</x:v>
      </x:c>
      <x:c r="D149" s="47" t="str">
        <x:v>Endpoint</x:v>
      </x:c>
      <x:c r="E149" s="47" t="str">
        <x:v>H3</x:v>
      </x:c>
      <x:c r="F149" s="47" t="str">
        <x:v>Placeable system/capability</x:v>
      </x:c>
      <x:c r="G149" s="47" t="str">
        <x:v>Compressed family/assembly</x:v>
      </x:c>
      <x:c r="H149" s="49"/>
      <x:c r="I149" s="49"/>
    </x:row>
    <x:row r="150">
      <x:c r="A150" s="47" t="n">
        <x:v>146</x:v>
      </x:c>
      <x:c r="B150" s="47" t="str">
        <x:v>Protected storm reserve</x:v>
      </x:c>
      <x:c r="C150" s="47" t="str">
        <x:v>Shelter</x:v>
      </x:c>
      <x:c r="D150" s="47" t="str">
        <x:v>Endpoint</x:v>
      </x:c>
      <x:c r="E150" s="47" t="str">
        <x:v>H4</x:v>
      </x:c>
      <x:c r="F150" s="47" t="str">
        <x:v>Placeable system/capability</x:v>
      </x:c>
      <x:c r="G150" s="47" t="str">
        <x:v>Governed node; variants not separated</x:v>
      </x:c>
      <x:c r="H150" s="49"/>
      <x:c r="I150" s="49"/>
    </x:row>
    <x:row r="151">
      <x:c r="A151" s="47" t="n">
        <x:v>147</x:v>
      </x:c>
      <x:c r="B151" s="47" t="str">
        <x:v>Working home</x:v>
      </x:c>
      <x:c r="C151" s="47" t="str">
        <x:v>Shelter</x:v>
      </x:c>
      <x:c r="D151" s="47" t="str">
        <x:v>Endpoint</x:v>
      </x:c>
      <x:c r="E151" s="47" t="str">
        <x:v>H5</x:v>
      </x:c>
      <x:c r="F151" s="47" t="str">
        <x:v>Placeable system/capability</x:v>
      </x:c>
      <x:c r="G151" s="47" t="str">
        <x:v>Governed node; variants not separated</x:v>
      </x:c>
      <x:c r="H151" s="49"/>
      <x:c r="I151" s="49"/>
    </x:row>
    <x:row r="152">
      <x:c r="A152" s="47" t="n">
        <x:v>148</x:v>
      </x:c>
      <x:c r="B152" s="47" t="str">
        <x:v>Directional antenna</x:v>
      </x:c>
      <x:c r="C152" s="47" t="str">
        <x:v>Signal</x:v>
      </x:c>
      <x:c r="D152" s="47" t="str">
        <x:v>Assembly</x:v>
      </x:c>
      <x:c r="E152" s="47" t="str">
        <x:v>H5</x:v>
      </x:c>
      <x:c r="F152" s="47" t="str">
        <x:v>Placeable/deployable assembly</x:v>
      </x:c>
      <x:c r="G152" s="47" t="str">
        <x:v>Governed node; variants not separated</x:v>
      </x:c>
      <x:c r="H152" s="49"/>
      <x:c r="I152" s="49"/>
    </x:row>
    <x:row r="153">
      <x:c r="A153" s="47" t="n">
        <x:v>149</x:v>
      </x:c>
      <x:c r="B153" s="47" t="str">
        <x:v>Radio listening post</x:v>
      </x:c>
      <x:c r="C153" s="47" t="str">
        <x:v>Signal</x:v>
      </x:c>
      <x:c r="D153" s="47" t="str">
        <x:v>Assembly</x:v>
      </x:c>
      <x:c r="E153" s="47" t="str">
        <x:v>H4</x:v>
      </x:c>
      <x:c r="F153" s="47" t="str">
        <x:v>Placeable/deployable assembly</x:v>
      </x:c>
      <x:c r="G153" s="47" t="str">
        <x:v>Governed node; variants not separated</x:v>
      </x:c>
      <x:c r="H153" s="49"/>
      <x:c r="I153" s="49"/>
    </x:row>
    <x:row r="154">
      <x:c r="A154" s="47" t="n">
        <x:v>150</x:v>
      </x:c>
      <x:c r="B154" s="47" t="str">
        <x:v>Authenticated transmitter</x:v>
      </x:c>
      <x:c r="C154" s="47" t="str">
        <x:v>Signal</x:v>
      </x:c>
      <x:c r="D154" s="47" t="str">
        <x:v>Endpoint</x:v>
      </x:c>
      <x:c r="E154" s="47" t="str">
        <x:v>H6</x:v>
      </x:c>
      <x:c r="F154" s="47" t="str">
        <x:v>Placeable system/capability</x:v>
      </x:c>
      <x:c r="G154" s="47" t="str">
        <x:v>Governed node; variants not separated</x:v>
      </x:c>
      <x:c r="H154" s="49"/>
      <x:c r="I154" s="49"/>
    </x:row>
    <x:row r="155">
      <x:c r="A155" s="47" t="n">
        <x:v>151</x:v>
      </x:c>
      <x:c r="B155" s="47" t="str">
        <x:v>Dry cache/chest</x:v>
      </x:c>
      <x:c r="C155" s="47" t="str">
        <x:v>Storage</x:v>
      </x:c>
      <x:c r="D155" s="47" t="str">
        <x:v>Assembly</x:v>
      </x:c>
      <x:c r="E155" s="47" t="str">
        <x:v>H2</x:v>
      </x:c>
      <x:c r="F155" s="47" t="str">
        <x:v>Placeable/deployable assembly</x:v>
      </x:c>
      <x:c r="G155" s="47" t="str">
        <x:v>Compressed family/assembly</x:v>
      </x:c>
      <x:c r="H155" s="49"/>
      <x:c r="I155" s="49"/>
    </x:row>
    <x:row r="156">
      <x:c r="A156" s="47" t="n">
        <x:v>152</x:v>
      </x:c>
      <x:c r="B156" s="47" t="str">
        <x:v>Hand cordage</x:v>
      </x:c>
      <x:c r="C156" s="47" t="str">
        <x:v>Textile</x:v>
      </x:c>
      <x:c r="D156" s="47" t="str">
        <x:v>Processed</x:v>
      </x:c>
      <x:c r="E156" s="47" t="str">
        <x:v>H1</x:v>
      </x:c>
      <x:c r="F156" s="47" t="str">
        <x:v>Processed material/consumable</x:v>
      </x:c>
      <x:c r="G156" s="47" t="str">
        <x:v>Governed node; variants not separated</x:v>
      </x:c>
      <x:c r="H156" s="49"/>
      <x:c r="I156" s="49"/>
    </x:row>
    <x:row r="157">
      <x:c r="A157" s="47" t="n">
        <x:v>153</x:v>
      </x:c>
      <x:c r="B157" s="47" t="str">
        <x:v>Rated rope</x:v>
      </x:c>
      <x:c r="C157" s="47" t="str">
        <x:v>Textile</x:v>
      </x:c>
      <x:c r="D157" s="47" t="str">
        <x:v>Processed</x:v>
      </x:c>
      <x:c r="E157" s="47" t="str">
        <x:v>H2</x:v>
      </x:c>
      <x:c r="F157" s="47" t="str">
        <x:v>Processed material/consumable</x:v>
      </x:c>
      <x:c r="G157" s="47" t="str">
        <x:v>Governed node; variants not separated</x:v>
      </x:c>
      <x:c r="H157" s="49"/>
      <x:c r="I157" s="49"/>
    </x:row>
    <x:row r="158">
      <x:c r="A158" s="47" t="n">
        <x:v>154</x:v>
      </x:c>
      <x:c r="B158" s="47" t="str">
        <x:v>Woven mat/basket stock</x:v>
      </x:c>
      <x:c r="C158" s="47" t="str">
        <x:v>Textile</x:v>
      </x:c>
      <x:c r="D158" s="47" t="str">
        <x:v>Processed</x:v>
      </x:c>
      <x:c r="E158" s="47" t="str">
        <x:v>H1</x:v>
      </x:c>
      <x:c r="F158" s="47" t="str">
        <x:v>Processed material/consumable</x:v>
      </x:c>
      <x:c r="G158" s="47" t="str">
        <x:v>Compressed family/assembly</x:v>
      </x:c>
      <x:c r="H158" s="49"/>
      <x:c r="I158" s="49"/>
    </x:row>
    <x:row r="159">
      <x:c r="A159" s="47" t="n">
        <x:v>155</x:v>
      </x:c>
      <x:c r="B159" s="47" t="str">
        <x:v>Charcoal</x:v>
      </x:c>
      <x:c r="C159" s="47" t="str">
        <x:v>Thermal</x:v>
      </x:c>
      <x:c r="D159" s="47" t="str">
        <x:v>Processed</x:v>
      </x:c>
      <x:c r="E159" s="47" t="str">
        <x:v>H3</x:v>
      </x:c>
      <x:c r="F159" s="47" t="str">
        <x:v>Processed material/consumable</x:v>
      </x:c>
      <x:c r="G159" s="47" t="str">
        <x:v>Governed node; variants not separated</x:v>
      </x:c>
      <x:c r="H159" s="49"/>
      <x:c r="I159" s="49"/>
    </x:row>
    <x:row r="160">
      <x:c r="A160" s="47" t="n">
        <x:v>156</x:v>
      </x:c>
      <x:c r="B160" s="47" t="str">
        <x:v>Dry biomass fuel</x:v>
      </x:c>
      <x:c r="C160" s="47" t="str">
        <x:v>Thermal</x:v>
      </x:c>
      <x:c r="D160" s="47" t="str">
        <x:v>Source</x:v>
      </x:c>
      <x:c r="E160" s="47" t="str">
        <x:v>H0</x:v>
      </x:c>
      <x:c r="F160" s="47" t="str">
        <x:v>Recoverable/harvested resource</x:v>
      </x:c>
      <x:c r="G160" s="47" t="str">
        <x:v>Governed node; variants not separated</x:v>
      </x:c>
      <x:c r="H160" s="49"/>
      <x:c r="I160" s="49"/>
    </x:row>
    <x:row r="161">
      <x:c r="A161" s="47" t="n">
        <x:v>157</x:v>
      </x:c>
      <x:c r="B161" s="47" t="str">
        <x:v>Charcoal pit/retort</x:v>
      </x:c>
      <x:c r="C161" s="47" t="str">
        <x:v>Thermal</x:v>
      </x:c>
      <x:c r="D161" s="47" t="str">
        <x:v>Workspace</x:v>
      </x:c>
      <x:c r="E161" s="47" t="str">
        <x:v>H3</x:v>
      </x:c>
      <x:c r="F161" s="47" t="str">
        <x:v>Placeable workspace</x:v>
      </x:c>
      <x:c r="G161" s="47" t="str">
        <x:v>Compressed family/assembly</x:v>
      </x:c>
      <x:c r="H161" s="49"/>
      <x:c r="I161" s="49"/>
    </x:row>
    <x:row r="162">
      <x:c r="A162" s="47" t="n">
        <x:v>158</x:v>
      </x:c>
      <x:c r="B162" s="47" t="str">
        <x:v>Controlled hearth</x:v>
      </x:c>
      <x:c r="C162" s="47" t="str">
        <x:v>Thermal</x:v>
      </x:c>
      <x:c r="D162" s="47" t="str">
        <x:v>Workspace</x:v>
      </x:c>
      <x:c r="E162" s="47" t="str">
        <x:v>H2</x:v>
      </x:c>
      <x:c r="F162" s="47" t="str">
        <x:v>Placeable workspace</x:v>
      </x:c>
      <x:c r="G162" s="47" t="str">
        <x:v>Governed node; variants not separated</x:v>
      </x:c>
      <x:c r="H162" s="49"/>
      <x:c r="I162" s="49"/>
    </x:row>
    <x:row r="163">
      <x:c r="A163" s="47" t="n">
        <x:v>159</x:v>
      </x:c>
      <x:c r="B163" s="47" t="str">
        <x:v>Plank/board stock</x:v>
      </x:c>
      <x:c r="C163" s="47" t="str">
        <x:v>Timber</x:v>
      </x:c>
      <x:c r="D163" s="47" t="str">
        <x:v>Processed</x:v>
      </x:c>
      <x:c r="E163" s="47" t="str">
        <x:v>H3</x:v>
      </x:c>
      <x:c r="F163" s="47" t="str">
        <x:v>Processed material/consumable</x:v>
      </x:c>
      <x:c r="G163" s="47" t="str">
        <x:v>Compressed family/assembly</x:v>
      </x:c>
      <x:c r="H163" s="49"/>
      <x:c r="I163" s="49"/>
    </x:row>
    <x:row r="164">
      <x:c r="A164" s="47" t="n">
        <x:v>160</x:v>
      </x:c>
      <x:c r="B164" s="47" t="str">
        <x:v>Prepared pole/member</x:v>
      </x:c>
      <x:c r="C164" s="47" t="str">
        <x:v>Timber</x:v>
      </x:c>
      <x:c r="D164" s="47" t="str">
        <x:v>Processed</x:v>
      </x:c>
      <x:c r="E164" s="47" t="str">
        <x:v>H1</x:v>
      </x:c>
      <x:c r="F164" s="47" t="str">
        <x:v>Processed material/consumable</x:v>
      </x:c>
      <x:c r="G164" s="47" t="str">
        <x:v>Compressed family/assembly</x:v>
      </x:c>
      <x:c r="H164" s="49"/>
      <x:c r="I164" s="49"/>
    </x:row>
    <x:row r="165">
      <x:c r="A165" s="47" t="n">
        <x:v>161</x:v>
      </x:c>
      <x:c r="B165" s="47" t="str">
        <x:v>Second-Life stewardship ledger</x:v>
      </x:c>
      <x:c r="C165" s="47" t="str">
        <x:v>Time</x:v>
      </x:c>
      <x:c r="D165" s="47" t="str">
        <x:v>Assembly</x:v>
      </x:c>
      <x:c r="E165" s="47" t="str">
        <x:v>H3</x:v>
      </x:c>
      <x:c r="F165" s="47" t="str">
        <x:v>Placeable/deployable assembly</x:v>
      </x:c>
      <x:c r="G165" s="47" t="str">
        <x:v>Governed node; variants not separated</x:v>
      </x:c>
      <x:c r="H165" s="49"/>
      <x:c r="I165" s="49"/>
    </x:row>
    <x:row r="166">
      <x:c r="A166" s="47" t="n">
        <x:v>162</x:v>
      </x:c>
      <x:c r="B166" s="47" t="str">
        <x:v>Offline-safe proven routine</x:v>
      </x:c>
      <x:c r="C166" s="47" t="str">
        <x:v>Time</x:v>
      </x:c>
      <x:c r="D166" s="47" t="str">
        <x:v>Endpoint</x:v>
      </x:c>
      <x:c r="E166" s="47" t="str">
        <x:v>H4</x:v>
      </x:c>
      <x:c r="F166" s="47" t="str">
        <x:v>Placeable system/capability</x:v>
      </x:c>
      <x:c r="G166" s="47" t="str">
        <x:v>Governed node; variants not separated</x:v>
      </x:c>
      <x:c r="H166" s="49"/>
      <x:c r="I166" s="49"/>
    </x:row>
    <x:row r="167">
      <x:c r="A167" s="47" t="n">
        <x:v>163</x:v>
      </x:c>
      <x:c r="B167" s="47" t="str">
        <x:v>Sharp edge/point</x:v>
      </x:c>
      <x:c r="C167" s="47" t="str">
        <x:v>Tools</x:v>
      </x:c>
      <x:c r="D167" s="47" t="str">
        <x:v>Processed</x:v>
      </x:c>
      <x:c r="E167" s="47" t="str">
        <x:v>H0</x:v>
      </x:c>
      <x:c r="F167" s="47" t="str">
        <x:v>Processed material/consumable</x:v>
      </x:c>
      <x:c r="G167" s="47" t="str">
        <x:v>Compressed family/assembly</x:v>
      </x:c>
      <x:c r="H167" s="49"/>
      <x:c r="I167" s="49"/>
    </x:row>
    <x:row r="168">
      <x:c r="A168" s="47" t="n">
        <x:v>164</x:v>
      </x:c>
      <x:c r="B168" s="47" t="str">
        <x:v>Adze/hewing tool</x:v>
      </x:c>
      <x:c r="C168" s="47" t="str">
        <x:v>Tools</x:v>
      </x:c>
      <x:c r="D168" s="47" t="str">
        <x:v>Tool</x:v>
      </x:c>
      <x:c r="E168" s="47" t="str">
        <x:v>H3</x:v>
      </x:c>
      <x:c r="F168" s="47" t="str">
        <x:v>Carryable tool/equipment</x:v>
      </x:c>
      <x:c r="G168" s="47" t="str">
        <x:v>Compressed family/assembly</x:v>
      </x:c>
      <x:c r="H168" s="49"/>
      <x:c r="I168" s="49"/>
    </x:row>
    <x:row r="169">
      <x:c r="A169" s="47" t="n">
        <x:v>165</x:v>
      </x:c>
      <x:c r="B169" s="47" t="str">
        <x:v>Awl/piercer</x:v>
      </x:c>
      <x:c r="C169" s="47" t="str">
        <x:v>Tools</x:v>
      </x:c>
      <x:c r="D169" s="47" t="str">
        <x:v>Tool</x:v>
      </x:c>
      <x:c r="E169" s="47" t="str">
        <x:v>H1</x:v>
      </x:c>
      <x:c r="F169" s="47" t="str">
        <x:v>Carryable tool/equipment</x:v>
      </x:c>
      <x:c r="G169" s="47" t="str">
        <x:v>Compressed family/assembly</x:v>
      </x:c>
      <x:c r="H169" s="49"/>
      <x:c r="I169" s="49"/>
    </x:row>
    <x:row r="170">
      <x:c r="A170" s="47" t="n">
        <x:v>166</x:v>
      </x:c>
      <x:c r="B170" s="47" t="str">
        <x:v>Bow/hand drill</x:v>
      </x:c>
      <x:c r="C170" s="47" t="str">
        <x:v>Tools</x:v>
      </x:c>
      <x:c r="D170" s="47" t="str">
        <x:v>Tool</x:v>
      </x:c>
      <x:c r="E170" s="47" t="str">
        <x:v>H2</x:v>
      </x:c>
      <x:c r="F170" s="47" t="str">
        <x:v>Carryable tool/equipment</x:v>
      </x:c>
      <x:c r="G170" s="47" t="str">
        <x:v>Compressed family/assembly</x:v>
      </x:c>
      <x:c r="H170" s="49"/>
      <x:c r="I170" s="49"/>
    </x:row>
    <x:row r="171">
      <x:c r="A171" s="47" t="n">
        <x:v>167</x:v>
      </x:c>
      <x:c r="B171" s="47" t="str">
        <x:v>Brace/drill and bits</x:v>
      </x:c>
      <x:c r="C171" s="47" t="str">
        <x:v>Tools</x:v>
      </x:c>
      <x:c r="D171" s="47" t="str">
        <x:v>Tool</x:v>
      </x:c>
      <x:c r="E171" s="47" t="str">
        <x:v>H4</x:v>
      </x:c>
      <x:c r="F171" s="47" t="str">
        <x:v>Carryable tool/equipment</x:v>
      </x:c>
      <x:c r="G171" s="47" t="str">
        <x:v>Compressed family/assembly</x:v>
      </x:c>
      <x:c r="H171" s="49"/>
      <x:c r="I171" s="49"/>
    </x:row>
    <x:row r="172">
      <x:c r="A172" s="47" t="n">
        <x:v>168</x:v>
      </x:c>
      <x:c r="B172" s="47" t="str">
        <x:v>Chisel/wedge set</x:v>
      </x:c>
      <x:c r="C172" s="47" t="str">
        <x:v>Tools</x:v>
      </x:c>
      <x:c r="D172" s="47" t="str">
        <x:v>Tool</x:v>
      </x:c>
      <x:c r="E172" s="47" t="str">
        <x:v>H3</x:v>
      </x:c>
      <x:c r="F172" s="47" t="str">
        <x:v>Carryable tool/equipment</x:v>
      </x:c>
      <x:c r="G172" s="47" t="str">
        <x:v>Compressed family/assembly</x:v>
      </x:c>
      <x:c r="H172" s="49"/>
      <x:c r="I172" s="49"/>
    </x:row>
    <x:row r="173">
      <x:c r="A173" s="47" t="n">
        <x:v>169</x:v>
      </x:c>
      <x:c r="B173" s="47" t="str">
        <x:v>Clamp/vice/jig</x:v>
      </x:c>
      <x:c r="C173" s="47" t="str">
        <x:v>Tools</x:v>
      </x:c>
      <x:c r="D173" s="47" t="str">
        <x:v>Tool</x:v>
      </x:c>
      <x:c r="E173" s="47" t="str">
        <x:v>H3</x:v>
      </x:c>
      <x:c r="F173" s="47" t="str">
        <x:v>Carryable tool/equipment</x:v>
      </x:c>
      <x:c r="G173" s="47" t="str">
        <x:v>Compressed family/assembly</x:v>
      </x:c>
      <x:c r="H173" s="49"/>
      <x:c r="I173" s="49"/>
    </x:row>
    <x:row r="174">
      <x:c r="A174" s="47" t="n">
        <x:v>170</x:v>
      </x:c>
      <x:c r="B174" s="47" t="str">
        <x:v>Digging stick/scoop</x:v>
      </x:c>
      <x:c r="C174" s="47" t="str">
        <x:v>Tools</x:v>
      </x:c>
      <x:c r="D174" s="47" t="str">
        <x:v>Tool</x:v>
      </x:c>
      <x:c r="E174" s="47" t="str">
        <x:v>H1</x:v>
      </x:c>
      <x:c r="F174" s="47" t="str">
        <x:v>Carryable tool/equipment</x:v>
      </x:c>
      <x:c r="G174" s="47" t="str">
        <x:v>Compressed family/assembly</x:v>
      </x:c>
      <x:c r="H174" s="49"/>
      <x:c r="I174" s="49"/>
    </x:row>
    <x:row r="175">
      <x:c r="A175" s="47" t="n">
        <x:v>171</x:v>
      </x:c>
      <x:c r="B175" s="47" t="str">
        <x:v>Electrical test meter</x:v>
      </x:c>
      <x:c r="C175" s="47" t="str">
        <x:v>Tools</x:v>
      </x:c>
      <x:c r="D175" s="47" t="str">
        <x:v>Tool</x:v>
      </x:c>
      <x:c r="E175" s="47" t="str">
        <x:v>H5</x:v>
      </x:c>
      <x:c r="F175" s="47" t="str">
        <x:v>Carryable tool/equipment</x:v>
      </x:c>
      <x:c r="G175" s="47" t="str">
        <x:v>Governed node; variants not separated</x:v>
      </x:c>
      <x:c r="H175" s="49"/>
      <x:c r="I175" s="49"/>
    </x:row>
    <x:row r="176">
      <x:c r="A176" s="47" t="n">
        <x:v>172</x:v>
      </x:c>
      <x:c r="B176" s="47" t="str">
        <x:v>File/abrasive tool</x:v>
      </x:c>
      <x:c r="C176" s="47" t="str">
        <x:v>Tools</x:v>
      </x:c>
      <x:c r="D176" s="47" t="str">
        <x:v>Tool</x:v>
      </x:c>
      <x:c r="E176" s="47" t="str">
        <x:v>H3</x:v>
      </x:c>
      <x:c r="F176" s="47" t="str">
        <x:v>Carryable tool/equipment</x:v>
      </x:c>
      <x:c r="G176" s="47" t="str">
        <x:v>Compressed family/assembly</x:v>
      </x:c>
      <x:c r="H176" s="49"/>
      <x:c r="I176" s="49"/>
    </x:row>
    <x:row r="177">
      <x:c r="A177" s="47" t="n">
        <x:v>173</x:v>
      </x:c>
      <x:c r="B177" s="47" t="str">
        <x:v>Fitted metal hammer</x:v>
      </x:c>
      <x:c r="C177" s="47" t="str">
        <x:v>Tools</x:v>
      </x:c>
      <x:c r="D177" s="47" t="str">
        <x:v>Tool</x:v>
      </x:c>
      <x:c r="E177" s="47" t="str">
        <x:v>H4</x:v>
      </x:c>
      <x:c r="F177" s="47" t="str">
        <x:v>Carryable tool/equipment</x:v>
      </x:c>
      <x:c r="G177" s="47" t="str">
        <x:v>Governed node; variants not separated</x:v>
      </x:c>
      <x:c r="H177" s="49"/>
      <x:c r="I177" s="49"/>
    </x:row>
    <x:row r="178">
      <x:c r="A178" s="47" t="n">
        <x:v>174</x:v>
      </x:c>
      <x:c r="B178" s="47" t="str">
        <x:v>Fitted shovel/mattock</x:v>
      </x:c>
      <x:c r="C178" s="47" t="str">
        <x:v>Tools</x:v>
      </x:c>
      <x:c r="D178" s="47" t="str">
        <x:v>Tool</x:v>
      </x:c>
      <x:c r="E178" s="47" t="str">
        <x:v>H3</x:v>
      </x:c>
      <x:c r="F178" s="47" t="str">
        <x:v>Carryable tool/equipment</x:v>
      </x:c>
      <x:c r="G178" s="47" t="str">
        <x:v>Compressed family/assembly</x:v>
      </x:c>
      <x:c r="H178" s="49"/>
      <x:c r="I178" s="49"/>
    </x:row>
    <x:row r="179">
      <x:c r="A179" s="47" t="n">
        <x:v>175</x:v>
      </x:c>
      <x:c r="B179" s="47" t="str">
        <x:v>Hammer stone</x:v>
      </x:c>
      <x:c r="C179" s="47" t="str">
        <x:v>Tools</x:v>
      </x:c>
      <x:c r="D179" s="47" t="str">
        <x:v>Tool</x:v>
      </x:c>
      <x:c r="E179" s="47" t="str">
        <x:v>H0</x:v>
      </x:c>
      <x:c r="F179" s="47" t="str">
        <x:v>Carryable tool/equipment</x:v>
      </x:c>
      <x:c r="G179" s="47" t="str">
        <x:v>Governed node; variants not separated</x:v>
      </x:c>
      <x:c r="H179" s="49"/>
      <x:c r="I179" s="49"/>
    </x:row>
    <x:row r="180">
      <x:c r="A180" s="47" t="n">
        <x:v>176</x:v>
      </x:c>
      <x:c r="B180" s="47" t="str">
        <x:v>Handled chopping tool</x:v>
      </x:c>
      <x:c r="C180" s="47" t="str">
        <x:v>Tools</x:v>
      </x:c>
      <x:c r="D180" s="47" t="str">
        <x:v>Tool</x:v>
      </x:c>
      <x:c r="E180" s="47" t="str">
        <x:v>H2</x:v>
      </x:c>
      <x:c r="F180" s="47" t="str">
        <x:v>Carryable tool/equipment</x:v>
      </x:c>
      <x:c r="G180" s="47" t="str">
        <x:v>Governed node; variants not separated</x:v>
      </x:c>
      <x:c r="H180" s="49"/>
      <x:c r="I180" s="49"/>
    </x:row>
    <x:row r="181">
      <x:c r="A181" s="47" t="n">
        <x:v>177</x:v>
      </x:c>
      <x:c r="B181" s="47" t="str">
        <x:v>Hoe/cultivation tool</x:v>
      </x:c>
      <x:c r="C181" s="47" t="str">
        <x:v>Tools</x:v>
      </x:c>
      <x:c r="D181" s="47" t="str">
        <x:v>Tool</x:v>
      </x:c>
      <x:c r="E181" s="47" t="str">
        <x:v>H1</x:v>
      </x:c>
      <x:c r="F181" s="47" t="str">
        <x:v>Carryable tool/equipment</x:v>
      </x:c>
      <x:c r="G181" s="47" t="str">
        <x:v>Compressed family/assembly</x:v>
      </x:c>
      <x:c r="H181" s="49"/>
      <x:c r="I181" s="49"/>
    </x:row>
    <x:row r="182">
      <x:c r="A182" s="47" t="n">
        <x:v>178</x:v>
      </x:c>
      <x:c r="B182" s="47" t="str">
        <x:v>Marked cord/gauge/level</x:v>
      </x:c>
      <x:c r="C182" s="47" t="str">
        <x:v>Tools</x:v>
      </x:c>
      <x:c r="D182" s="47" t="str">
        <x:v>Tool</x:v>
      </x:c>
      <x:c r="E182" s="47" t="str">
        <x:v>H2</x:v>
      </x:c>
      <x:c r="F182" s="47" t="str">
        <x:v>Carryable tool/equipment</x:v>
      </x:c>
      <x:c r="G182" s="47" t="str">
        <x:v>Compressed family/assembly</x:v>
      </x:c>
      <x:c r="H182" s="49"/>
      <x:c r="I182" s="49"/>
    </x:row>
    <x:row r="183">
      <x:c r="A183" s="47" t="n">
        <x:v>179</x:v>
      </x:c>
      <x:c r="B183" s="47" t="str">
        <x:v>Needle/sewing set</x:v>
      </x:c>
      <x:c r="C183" s="47" t="str">
        <x:v>Tools</x:v>
      </x:c>
      <x:c r="D183" s="47" t="str">
        <x:v>Tool</x:v>
      </x:c>
      <x:c r="E183" s="47" t="str">
        <x:v>H2</x:v>
      </x:c>
      <x:c r="F183" s="47" t="str">
        <x:v>Carryable tool/equipment</x:v>
      </x:c>
      <x:c r="G183" s="47" t="str">
        <x:v>Compressed family/assembly</x:v>
      </x:c>
      <x:c r="H183" s="49"/>
      <x:c r="I183" s="49"/>
    </x:row>
    <x:row r="184">
      <x:c r="A184" s="47" t="n">
        <x:v>180</x:v>
      </x:c>
      <x:c r="B184" s="47" t="str">
        <x:v>Pry bar/leverage tool</x:v>
      </x:c>
      <x:c r="C184" s="47" t="str">
        <x:v>Tools</x:v>
      </x:c>
      <x:c r="D184" s="47" t="str">
        <x:v>Tool</x:v>
      </x:c>
      <x:c r="E184" s="47" t="str">
        <x:v>H3</x:v>
      </x:c>
      <x:c r="F184" s="47" t="str">
        <x:v>Carryable tool/equipment</x:v>
      </x:c>
      <x:c r="G184" s="47" t="str">
        <x:v>Compressed family/assembly</x:v>
      </x:c>
      <x:c r="H184" s="49"/>
      <x:c r="I184" s="49"/>
    </x:row>
    <x:row r="185">
      <x:c r="A185" s="47" t="n">
        <x:v>181</x:v>
      </x:c>
      <x:c r="B185" s="47" t="str">
        <x:v>Punch/rivet set</x:v>
      </x:c>
      <x:c r="C185" s="47" t="str">
        <x:v>Tools</x:v>
      </x:c>
      <x:c r="D185" s="47" t="str">
        <x:v>Tool</x:v>
      </x:c>
      <x:c r="E185" s="47" t="str">
        <x:v>H4</x:v>
      </x:c>
      <x:c r="F185" s="47" t="str">
        <x:v>Carryable tool/equipment</x:v>
      </x:c>
      <x:c r="G185" s="47" t="str">
        <x:v>Compressed family/assembly</x:v>
      </x:c>
      <x:c r="H185" s="49"/>
      <x:c r="I185" s="49"/>
    </x:row>
    <x:row r="186">
      <x:c r="A186" s="47" t="n">
        <x:v>182</x:v>
      </x:c>
      <x:c r="B186" s="47" t="str">
        <x:v>Saw/hacksaw route</x:v>
      </x:c>
      <x:c r="C186" s="47" t="str">
        <x:v>Tools</x:v>
      </x:c>
      <x:c r="D186" s="47" t="str">
        <x:v>Tool</x:v>
      </x:c>
      <x:c r="E186" s="47" t="str">
        <x:v>H4</x:v>
      </x:c>
      <x:c r="F186" s="47" t="str">
        <x:v>Carryable tool/equipment</x:v>
      </x:c>
      <x:c r="G186" s="47" t="str">
        <x:v>Compressed family/assembly</x:v>
      </x:c>
      <x:c r="H186" s="49"/>
      <x:c r="I186" s="49"/>
    </x:row>
    <x:row r="187">
      <x:c r="A187" s="47" t="n">
        <x:v>183</x:v>
      </x:c>
      <x:c r="B187" s="47" t="str">
        <x:v>Sheet cutting tool</x:v>
      </x:c>
      <x:c r="C187" s="47" t="str">
        <x:v>Tools</x:v>
      </x:c>
      <x:c r="D187" s="47" t="str">
        <x:v>Tool</x:v>
      </x:c>
      <x:c r="E187" s="47" t="str">
        <x:v>H4</x:v>
      </x:c>
      <x:c r="F187" s="47" t="str">
        <x:v>Carryable tool/equipment</x:v>
      </x:c>
      <x:c r="G187" s="47" t="str">
        <x:v>Governed node; variants not separated</x:v>
      </x:c>
      <x:c r="H187" s="49"/>
      <x:c r="I187" s="49"/>
    </x:row>
    <x:row r="188">
      <x:c r="A188" s="47" t="n">
        <x:v>184</x:v>
      </x:c>
      <x:c r="B188" s="47" t="str">
        <x:v>Stone hand cutter</x:v>
      </x:c>
      <x:c r="C188" s="47" t="str">
        <x:v>Tools</x:v>
      </x:c>
      <x:c r="D188" s="47" t="str">
        <x:v>Tool</x:v>
      </x:c>
      <x:c r="E188" s="47" t="str">
        <x:v>H0</x:v>
      </x:c>
      <x:c r="F188" s="47" t="str">
        <x:v>Carryable tool/equipment</x:v>
      </x:c>
      <x:c r="G188" s="47" t="str">
        <x:v>Governed node; variants not separated</x:v>
      </x:c>
      <x:c r="H188" s="49"/>
      <x:c r="I188" s="49"/>
    </x:row>
    <x:row r="189">
      <x:c r="A189" s="47" t="n">
        <x:v>185</x:v>
      </x:c>
      <x:c r="B189" s="47" t="str">
        <x:v>Tongs/gripping tool</x:v>
      </x:c>
      <x:c r="C189" s="47" t="str">
        <x:v>Tools</x:v>
      </x:c>
      <x:c r="D189" s="47" t="str">
        <x:v>Tool</x:v>
      </x:c>
      <x:c r="E189" s="47" t="str">
        <x:v>H3</x:v>
      </x:c>
      <x:c r="F189" s="47" t="str">
        <x:v>Carryable tool/equipment</x:v>
      </x:c>
      <x:c r="G189" s="47" t="str">
        <x:v>Compressed family/assembly</x:v>
      </x:c>
      <x:c r="H189" s="49"/>
      <x:c r="I189" s="49"/>
    </x:row>
    <x:row r="190">
      <x:c r="A190" s="47" t="n">
        <x:v>186</x:v>
      </x:c>
      <x:c r="B190" s="47" t="str">
        <x:v>Wood/stone mallet</x:v>
      </x:c>
      <x:c r="C190" s="47" t="str">
        <x:v>Tools</x:v>
      </x:c>
      <x:c r="D190" s="47" t="str">
        <x:v>Tool</x:v>
      </x:c>
      <x:c r="E190" s="47" t="str">
        <x:v>H1</x:v>
      </x:c>
      <x:c r="F190" s="47" t="str">
        <x:v>Carryable tool/equipment</x:v>
      </x:c>
      <x:c r="G190" s="47" t="str">
        <x:v>Compressed family/assembly</x:v>
      </x:c>
      <x:c r="H190" s="49"/>
      <x:c r="I190" s="49"/>
    </x:row>
    <x:row r="191">
      <x:c r="A191" s="47" t="n">
        <x:v>187</x:v>
      </x:c>
      <x:c r="B191" s="47" t="str">
        <x:v>Covered cistern</x:v>
      </x:c>
      <x:c r="C191" s="47" t="str">
        <x:v>Water</x:v>
      </x:c>
      <x:c r="D191" s="47" t="str">
        <x:v>Assembly</x:v>
      </x:c>
      <x:c r="E191" s="47" t="str">
        <x:v>H4</x:v>
      </x:c>
      <x:c r="F191" s="47" t="str">
        <x:v>Placeable/deployable assembly</x:v>
      </x:c>
      <x:c r="G191" s="47" t="str">
        <x:v>Governed node; variants not separated</x:v>
      </x:c>
      <x:c r="H191" s="49"/>
      <x:c r="I191" s="49"/>
    </x:row>
    <x:row r="192">
      <x:c r="A192" s="47" t="n">
        <x:v>188</x:v>
      </x:c>
      <x:c r="B192" s="47" t="str">
        <x:v>Covered water reserve</x:v>
      </x:c>
      <x:c r="C192" s="47" t="str">
        <x:v>Water</x:v>
      </x:c>
      <x:c r="D192" s="47" t="str">
        <x:v>Assembly</x:v>
      </x:c>
      <x:c r="E192" s="47" t="str">
        <x:v>H2</x:v>
      </x:c>
      <x:c r="F192" s="47" t="str">
        <x:v>Placeable/deployable assembly</x:v>
      </x:c>
      <x:c r="G192" s="47" t="str">
        <x:v>Governed node; variants not separated</x:v>
      </x:c>
      <x:c r="H192" s="49"/>
      <x:c r="I192" s="49"/>
    </x:row>
    <x:row r="193">
      <x:c r="A193" s="47" t="n">
        <x:v>189</x:v>
      </x:c>
      <x:c r="B193" s="47" t="str">
        <x:v>Distiller/desalinator</x:v>
      </x:c>
      <x:c r="C193" s="47" t="str">
        <x:v>Water</x:v>
      </x:c>
      <x:c r="D193" s="47" t="str">
        <x:v>Assembly</x:v>
      </x:c>
      <x:c r="E193" s="47" t="str">
        <x:v>H5</x:v>
      </x:c>
      <x:c r="F193" s="47" t="str">
        <x:v>Placeable/deployable assembly</x:v>
      </x:c>
      <x:c r="G193" s="47" t="str">
        <x:v>Compressed family/assembly</x:v>
      </x:c>
      <x:c r="H193" s="49"/>
      <x:c r="I193" s="49"/>
    </x:row>
    <x:row r="194">
      <x:c r="A194" s="47" t="n">
        <x:v>190</x:v>
      </x:c>
      <x:c r="B194" s="47" t="str">
        <x:v>First-flush diverter</x:v>
      </x:c>
      <x:c r="C194" s="47" t="str">
        <x:v>Water</x:v>
      </x:c>
      <x:c r="D194" s="47" t="str">
        <x:v>Assembly</x:v>
      </x:c>
      <x:c r="E194" s="47" t="str">
        <x:v>H4</x:v>
      </x:c>
      <x:c r="F194" s="47" t="str">
        <x:v>Placeable/deployable assembly</x:v>
      </x:c>
      <x:c r="G194" s="47" t="str">
        <x:v>Governed node; variants not separated</x:v>
      </x:c>
      <x:c r="H194" s="49"/>
      <x:c r="I194" s="49"/>
    </x:row>
    <x:row r="195">
      <x:c r="A195" s="47" t="n">
        <x:v>191</x:v>
      </x:c>
      <x:c r="B195" s="47" t="str">
        <x:v>Hand pump</x:v>
      </x:c>
      <x:c r="C195" s="47" t="str">
        <x:v>Water</x:v>
      </x:c>
      <x:c r="D195" s="47" t="str">
        <x:v>Assembly</x:v>
      </x:c>
      <x:c r="E195" s="47" t="str">
        <x:v>H5</x:v>
      </x:c>
      <x:c r="F195" s="47" t="str">
        <x:v>Placeable/deployable assembly</x:v>
      </x:c>
      <x:c r="G195" s="47" t="str">
        <x:v>Governed node; variants not separated</x:v>
      </x:c>
      <x:c r="H195" s="49"/>
      <x:c r="I195" s="49"/>
    </x:row>
    <x:row r="196">
      <x:c r="A196" s="47" t="n">
        <x:v>192</x:v>
      </x:c>
      <x:c r="B196" s="47" t="str">
        <x:v>Pipe/hose line</x:v>
      </x:c>
      <x:c r="C196" s="47" t="str">
        <x:v>Water</x:v>
      </x:c>
      <x:c r="D196" s="47" t="str">
        <x:v>Assembly</x:v>
      </x:c>
      <x:c r="E196" s="47" t="str">
        <x:v>H4</x:v>
      </x:c>
      <x:c r="F196" s="47" t="str">
        <x:v>Placeable/deployable assembly</x:v>
      </x:c>
      <x:c r="G196" s="47" t="str">
        <x:v>Compressed family/assembly</x:v>
      </x:c>
      <x:c r="H196" s="49"/>
      <x:c r="I196" s="49"/>
    </x:row>
    <x:row r="197">
      <x:c r="A197" s="47" t="n">
        <x:v>193</x:v>
      </x:c>
      <x:c r="B197" s="47" t="str">
        <x:v>Qualified treatment train</x:v>
      </x:c>
      <x:c r="C197" s="47" t="str">
        <x:v>Water</x:v>
      </x:c>
      <x:c r="D197" s="47" t="str">
        <x:v>Assembly</x:v>
      </x:c>
      <x:c r="E197" s="47" t="str">
        <x:v>H4</x:v>
      </x:c>
      <x:c r="F197" s="47" t="str">
        <x:v>Placeable/deployable assembly</x:v>
      </x:c>
      <x:c r="G197" s="47" t="str">
        <x:v>Governed node; variants not separated</x:v>
      </x:c>
      <x:c r="H197" s="49"/>
      <x:c r="I197" s="49"/>
    </x:row>
    <x:row r="198">
      <x:c r="A198" s="47" t="n">
        <x:v>194</x:v>
      </x:c>
      <x:c r="B198" s="47" t="str">
        <x:v>Rain gutter/channel</x:v>
      </x:c>
      <x:c r="C198" s="47" t="str">
        <x:v>Water</x:v>
      </x:c>
      <x:c r="D198" s="47" t="str">
        <x:v>Assembly</x:v>
      </x:c>
      <x:c r="E198" s="47" t="str">
        <x:v>H3</x:v>
      </x:c>
      <x:c r="F198" s="47" t="str">
        <x:v>Placeable/deployable assembly</x:v>
      </x:c>
      <x:c r="G198" s="47" t="str">
        <x:v>Compressed family/assembly</x:v>
      </x:c>
      <x:c r="H198" s="49"/>
      <x:c r="I198" s="49"/>
    </x:row>
    <x:row r="199">
      <x:c r="A199" s="47" t="n">
        <x:v>195</x:v>
      </x:c>
      <x:c r="B199" s="47" t="str">
        <x:v>Shutoff valve</x:v>
      </x:c>
      <x:c r="C199" s="47" t="str">
        <x:v>Water</x:v>
      </x:c>
      <x:c r="D199" s="47" t="str">
        <x:v>Assembly</x:v>
      </x:c>
      <x:c r="E199" s="47" t="str">
        <x:v>H5</x:v>
      </x:c>
      <x:c r="F199" s="47" t="str">
        <x:v>Placeable/deployable assembly</x:v>
      </x:c>
      <x:c r="G199" s="47" t="str">
        <x:v>Governed node; variants not separated</x:v>
      </x:c>
      <x:c r="H199" s="49"/>
      <x:c r="I199" s="49"/>
    </x:row>
    <x:row r="200">
      <x:c r="A200" s="47" t="n">
        <x:v>196</x:v>
      </x:c>
      <x:c r="B200" s="47" t="str">
        <x:v>Coconut emergency boiler</x:v>
      </x:c>
      <x:c r="C200" s="47" t="str">
        <x:v>Water</x:v>
      </x:c>
      <x:c r="D200" s="47" t="str">
        <x:v>Container</x:v>
      </x:c>
      <x:c r="E200" s="47" t="str">
        <x:v>H2</x:v>
      </x:c>
      <x:c r="F200" s="47" t="str">
        <x:v>Carryable container</x:v>
      </x:c>
      <x:c r="G200" s="47" t="str">
        <x:v>Governed node; variants not separated</x:v>
      </x:c>
      <x:c r="H200" s="49"/>
      <x:c r="I200" s="49"/>
    </x:row>
    <x:row r="201">
      <x:c r="A201" s="47" t="n">
        <x:v>197</x:v>
      </x:c>
      <x:c r="B201" s="47" t="str">
        <x:v>Coconut shell cup</x:v>
      </x:c>
      <x:c r="C201" s="47" t="str">
        <x:v>Water</x:v>
      </x:c>
      <x:c r="D201" s="47" t="str">
        <x:v>Container</x:v>
      </x:c>
      <x:c r="E201" s="47" t="str">
        <x:v>H1</x:v>
      </x:c>
      <x:c r="F201" s="47" t="str">
        <x:v>Carryable container</x:v>
      </x:c>
      <x:c r="G201" s="47" t="str">
        <x:v>Governed node; variants not separated</x:v>
      </x:c>
      <x:c r="H201" s="49"/>
      <x:c r="I201" s="49"/>
    </x:row>
    <x:row r="202">
      <x:c r="A202" s="47" t="n">
        <x:v>198</x:v>
      </x:c>
      <x:c r="B202" s="47" t="str">
        <x:v>Fired clay pot</x:v>
      </x:c>
      <x:c r="C202" s="47" t="str">
        <x:v>Water</x:v>
      </x:c>
      <x:c r="D202" s="47" t="str">
        <x:v>Container</x:v>
      </x:c>
      <x:c r="E202" s="47" t="str">
        <x:v>H4</x:v>
      </x:c>
      <x:c r="F202" s="47" t="str">
        <x:v>Carryable container</x:v>
      </x:c>
      <x:c r="G202" s="47" t="str">
        <x:v>Governed node; variants not separated</x:v>
      </x:c>
      <x:c r="H202" s="49"/>
      <x:c r="I202" s="49"/>
    </x:row>
    <x:row r="203">
      <x:c r="A203" s="47" t="n">
        <x:v>199</x:v>
      </x:c>
      <x:c r="B203" s="47" t="str">
        <x:v>Organic/hide water pouch</x:v>
      </x:c>
      <x:c r="C203" s="47" t="str">
        <x:v>Water</x:v>
      </x:c>
      <x:c r="D203" s="47" t="str">
        <x:v>Container</x:v>
      </x:c>
      <x:c r="E203" s="47" t="str">
        <x:v>H2</x:v>
      </x:c>
      <x:c r="F203" s="47" t="str">
        <x:v>Carryable container</x:v>
      </x:c>
      <x:c r="G203" s="47" t="str">
        <x:v>Compressed family/assembly</x:v>
      </x:c>
      <x:c r="H203" s="49"/>
      <x:c r="I203" s="49"/>
    </x:row>
    <x:row r="204">
      <x:c r="A204" s="47" t="n">
        <x:v>200</x:v>
      </x:c>
      <x:c r="B204" s="47" t="str">
        <x:v>Qualified aluminum boiling vessel</x:v>
      </x:c>
      <x:c r="C204" s="47" t="str">
        <x:v>Water</x:v>
      </x:c>
      <x:c r="D204" s="47" t="str">
        <x:v>Container</x:v>
      </x:c>
      <x:c r="E204" s="47" t="str">
        <x:v>H5</x:v>
      </x:c>
      <x:c r="F204" s="47" t="str">
        <x:v>Carryable container</x:v>
      </x:c>
      <x:c r="G204" s="47" t="str">
        <x:v>Governed node; variants not separated</x:v>
      </x:c>
      <x:c r="H204" s="49"/>
      <x:c r="I204" s="49"/>
    </x:row>
    <x:row r="205">
      <x:c r="A205" s="47" t="n">
        <x:v>201</x:v>
      </x:c>
      <x:c r="B205" s="47" t="str">
        <x:v>Qualified found pan</x:v>
      </x:c>
      <x:c r="C205" s="47" t="str">
        <x:v>Water</x:v>
      </x:c>
      <x:c r="D205" s="47" t="str">
        <x:v>Container</x:v>
      </x:c>
      <x:c r="E205" s="47" t="str">
        <x:v>H2</x:v>
      </x:c>
      <x:c r="F205" s="47" t="str">
        <x:v>Carryable container</x:v>
      </x:c>
      <x:c r="G205" s="47" t="str">
        <x:v>Governed node; variants not separated</x:v>
      </x:c>
      <x:c r="H205" s="49"/>
      <x:c r="I205" s="49"/>
    </x:row>
    <x:row r="206">
      <x:c r="A206" s="47" t="n">
        <x:v>202</x:v>
      </x:c>
      <x:c r="B206" s="47" t="str">
        <x:v>Controlled irrigation network</x:v>
      </x:c>
      <x:c r="C206" s="47" t="str">
        <x:v>Water</x:v>
      </x:c>
      <x:c r="D206" s="47" t="str">
        <x:v>Endpoint</x:v>
      </x:c>
      <x:c r="E206" s="47" t="str">
        <x:v>H3</x:v>
      </x:c>
      <x:c r="F206" s="47" t="str">
        <x:v>Placeable system/capability</x:v>
      </x:c>
      <x:c r="G206" s="47" t="str">
        <x:v>Compressed family/assembly</x:v>
      </x:c>
      <x:c r="H206" s="49"/>
      <x:c r="I206" s="49"/>
    </x:row>
    <x:row r="207">
      <x:c r="A207" s="47" t="n">
        <x:v>203</x:v>
      </x:c>
      <x:c r="B207" s="47" t="str">
        <x:v>Fog mesh and clean storage</x:v>
      </x:c>
      <x:c r="C207" s="47" t="str">
        <x:v>Water</x:v>
      </x:c>
      <x:c r="D207" s="47" t="str">
        <x:v>Endpoint</x:v>
      </x:c>
      <x:c r="E207" s="47" t="str">
        <x:v>H3</x:v>
      </x:c>
      <x:c r="F207" s="47" t="str">
        <x:v>Placeable system/capability</x:v>
      </x:c>
      <x:c r="G207" s="47" t="str">
        <x:v>Governed node; variants not separated</x:v>
      </x:c>
      <x:c r="H207" s="49"/>
      <x:c r="I207" s="49"/>
    </x:row>
    <x:row r="208">
      <x:c r="A208" s="47" t="n">
        <x:v>204</x:v>
      </x:c>
      <x:c r="B208" s="47" t="str">
        <x:v>Protected dug well and lift</x:v>
      </x:c>
      <x:c r="C208" s="47" t="str">
        <x:v>Water</x:v>
      </x:c>
      <x:c r="D208" s="47" t="str">
        <x:v>Endpoint</x:v>
      </x:c>
      <x:c r="E208" s="47" t="str">
        <x:v>H4</x:v>
      </x:c>
      <x:c r="F208" s="47" t="str">
        <x:v>Placeable system/capability</x:v>
      </x:c>
      <x:c r="G208" s="47" t="str">
        <x:v>Governed node; variants not separated</x:v>
      </x:c>
      <x:c r="H208" s="49"/>
      <x:c r="I208" s="49"/>
    </x:row>
    <x:row r="209">
      <x:c r="A209" s="47" t="n">
        <x:v>205</x:v>
      </x:c>
      <x:c r="B209" s="47" t="str">
        <x:v>Treated protected water lot</x:v>
      </x:c>
      <x:c r="C209" s="47" t="str">
        <x:v>Water</x:v>
      </x:c>
      <x:c r="D209" s="47" t="str">
        <x:v>Processed</x:v>
      </x:c>
      <x:c r="E209" s="47" t="str">
        <x:v>H2</x:v>
      </x:c>
      <x:c r="F209" s="47" t="str">
        <x:v>Processed material/consumable</x:v>
      </x:c>
      <x:c r="G209" s="47" t="str">
        <x:v>Governed node; variants not separated</x:v>
      </x:c>
      <x:c r="H209" s="49"/>
      <x:c r="I209" s="49"/>
    </x:row>
    <x:row r="210">
      <x:c r="A210" s="47" t="n">
        <x:v>206</x:v>
      </x:c>
      <x:c r="B210" s="47" t="str">
        <x:v>Fresh rain</x:v>
      </x:c>
      <x:c r="C210" s="47" t="str">
        <x:v>Water</x:v>
      </x:c>
      <x:c r="D210" s="47" t="str">
        <x:v>Source</x:v>
      </x:c>
      <x:c r="E210" s="47" t="str">
        <x:v>H0</x:v>
      </x:c>
      <x:c r="F210" s="47" t="str">
        <x:v>Environmental resource</x:v>
      </x:c>
      <x:c r="G210" s="47" t="str">
        <x:v>Governed node; variants not separated</x:v>
      </x:c>
      <x:c r="H210" s="49"/>
      <x:c r="I210" s="49"/>
    </x:row>
    <x:row r="211">
      <x:c r="A211" s="47" t="n">
        <x:v>207</x:v>
      </x:c>
      <x:c r="B211" s="47" t="str">
        <x:v>Harvestable fog event</x:v>
      </x:c>
      <x:c r="C211" s="47" t="str">
        <x:v>Water</x:v>
      </x:c>
      <x:c r="D211" s="47" t="str">
        <x:v>Source</x:v>
      </x:c>
      <x:c r="E211" s="47" t="str">
        <x:v>H2</x:v>
      </x:c>
      <x:c r="F211" s="47" t="str">
        <x:v>Environmental resource</x:v>
      </x:c>
      <x:c r="G211" s="47" t="str">
        <x:v>Governed node; variants not separated</x:v>
      </x:c>
      <x:c r="H211" s="49"/>
      <x:c r="I211" s="49"/>
    </x:row>
    <x:row r="212">
      <x:c r="A212" s="47" t="n">
        <x:v>208</x:v>
      </x:c>
      <x:c r="B212" s="47" t="str">
        <x:v>Pond water</x:v>
      </x:c>
      <x:c r="C212" s="47" t="str">
        <x:v>Water</x:v>
      </x:c>
      <x:c r="D212" s="47" t="str">
        <x:v>Source</x:v>
      </x:c>
      <x:c r="E212" s="47" t="str">
        <x:v>H0</x:v>
      </x:c>
      <x:c r="F212" s="47" t="str">
        <x:v>Environmental resource</x:v>
      </x:c>
      <x:c r="G212" s="47" t="str">
        <x:v>Governed node; variants not separated</x:v>
      </x:c>
      <x:c r="H212" s="49"/>
      <x:c r="I212" s="49"/>
    </x:row>
    <x:row r="213">
      <x:c r="A213" s="47" t="n">
        <x:v>209</x:v>
      </x:c>
      <x:c r="B213" s="47" t="str">
        <x:v>Seawater</x:v>
      </x:c>
      <x:c r="C213" s="47" t="str">
        <x:v>Water</x:v>
      </x:c>
      <x:c r="D213" s="47" t="str">
        <x:v>Source</x:v>
      </x:c>
      <x:c r="E213" s="47" t="str">
        <x:v>H0</x:v>
      </x:c>
      <x:c r="F213" s="47" t="str">
        <x:v>Environmental resource</x:v>
      </x:c>
      <x:c r="G213" s="47" t="str">
        <x:v>Governed node; variants not separated</x:v>
      </x:c>
      <x:c r="H213" s="49"/>
      <x:c r="I213" s="49"/>
    </x:row>
    <x:row r="214">
      <x:c r="A214" s="47" t="n">
        <x:v>210</x:v>
      </x:c>
      <x:c r="B214" s="47" t="str">
        <x:v>Spring/seep water</x:v>
      </x:c>
      <x:c r="C214" s="47" t="str">
        <x:v>Water</x:v>
      </x:c>
      <x:c r="D214" s="47" t="str">
        <x:v>Source</x:v>
      </x:c>
      <x:c r="E214" s="47" t="str">
        <x:v>H0</x:v>
      </x:c>
      <x:c r="F214" s="47" t="str">
        <x:v>Environmental resource</x:v>
      </x:c>
      <x:c r="G214" s="47" t="str">
        <x:v>Compressed family/assembly</x:v>
      </x:c>
      <x:c r="H214" s="49"/>
      <x:c r="I214" s="49"/>
    </x:row>
    <x:row r="215">
      <x:c r="A215" s="47" t="n">
        <x:v>211</x:v>
      </x:c>
      <x:c r="B215" s="47" t="str">
        <x:v>Stream water</x:v>
      </x:c>
      <x:c r="C215" s="47" t="str">
        <x:v>Water</x:v>
      </x:c>
      <x:c r="D215" s="47" t="str">
        <x:v>Source</x:v>
      </x:c>
      <x:c r="E215" s="47" t="str">
        <x:v>H0</x:v>
      </x:c>
      <x:c r="F215" s="47" t="str">
        <x:v>Environmental resource</x:v>
      </x:c>
      <x:c r="G215" s="47" t="str">
        <x:v>Governed node; variants not separated</x:v>
      </x:c>
      <x:c r="H215" s="49"/>
      <x:c r="I215" s="49"/>
    </x:row>
    <x:row r="216">
      <x:c r="A216" s="47" t="n">
        <x:v>212</x:v>
      </x:c>
      <x:c r="B216" s="47" t="str">
        <x:v>Water treatment station</x:v>
      </x:c>
      <x:c r="C216" s="47" t="str">
        <x:v>Water</x:v>
      </x:c>
      <x:c r="D216" s="47" t="str">
        <x:v>Workspace</x:v>
      </x:c>
      <x:c r="E216" s="47" t="str">
        <x:v>H2</x:v>
      </x:c>
      <x:c r="F216" s="47" t="str">
        <x:v>Placeable workspace</x:v>
      </x:c>
      <x:c r="G216" s="47" t="str">
        <x:v>Compressed family/assembly</x:v>
      </x:c>
      <x:c r="H216" s="49"/>
      <x:c r="I216" s="49"/>
    </x:row>
    <x:row r="217">
      <x:c r="A217" s="47" t="n">
        <x:v>213</x:v>
      </x:c>
      <x:c r="B217" s="47" t="str">
        <x:v>Qualified bowstring</x:v>
      </x:c>
      <x:c r="C217" s="47" t="str">
        <x:v>Weapons</x:v>
      </x:c>
      <x:c r="D217" s="47" t="str">
        <x:v>Assembly</x:v>
      </x:c>
      <x:c r="E217" s="47" t="str">
        <x:v>H2</x:v>
      </x:c>
      <x:c r="F217" s="47" t="str">
        <x:v>Weapon component</x:v>
      </x:c>
      <x:c r="G217" s="47" t="str">
        <x:v>Governed node; variants not separated</x:v>
      </x:c>
      <x:c r="H217" s="49"/>
      <x:c r="I217" s="49"/>
    </x:row>
    <x:row r="218">
      <x:c r="A218" s="47" t="n">
        <x:v>214</x:v>
      </x:c>
      <x:c r="B218" s="47" t="str">
        <x:v>Matched arrow set</x:v>
      </x:c>
      <x:c r="C218" s="47" t="str">
        <x:v>Weapons</x:v>
      </x:c>
      <x:c r="D218" s="47" t="str">
        <x:v>Endpoint</x:v>
      </x:c>
      <x:c r="E218" s="47" t="str">
        <x:v>H3</x:v>
      </x:c>
      <x:c r="F218" s="47" t="str">
        <x:v>Carryable ammunition set</x:v>
      </x:c>
      <x:c r="G218" s="47" t="str">
        <x:v>Compressed family/assembly</x:v>
      </x:c>
      <x:c r="H218" s="49"/>
      <x:c r="I218" s="49"/>
    </x:row>
    <x:row r="219">
      <x:c r="A219" s="47" t="n">
        <x:v>215</x:v>
      </x:c>
      <x:c r="B219" s="47" t="str">
        <x:v>Tillering-tested bow</x:v>
      </x:c>
      <x:c r="C219" s="47" t="str">
        <x:v>Weapons</x:v>
      </x:c>
      <x:c r="D219" s="47" t="str">
        <x:v>Endpoint</x:v>
      </x:c>
      <x:c r="E219" s="47" t="str">
        <x:v>H3</x:v>
      </x:c>
      <x:c r="F219" s="47" t="str">
        <x:v>Carryable weapon</x:v>
      </x:c>
      <x:c r="G219" s="47" t="str">
        <x:v>Governed node; variants not separated</x:v>
      </x:c>
      <x:c r="H219" s="49"/>
      <x:c r="I219" s="49"/>
    </x:row>
    <x:row r="220">
      <x:c r="A220" s="47" t="n">
        <x:v>216</x:v>
      </x:c>
      <x:c r="B220" s="47" t="str">
        <x:v>Fiber preparation station</x:v>
      </x:c>
      <x:c r="C220" s="47" t="str">
        <x:v>Workshop</x:v>
      </x:c>
      <x:c r="D220" s="47" t="str">
        <x:v>Assembly</x:v>
      </x:c>
      <x:c r="E220" s="47" t="str">
        <x:v>H2</x:v>
      </x:c>
      <x:c r="F220" s="47" t="str">
        <x:v>Placeable/deployable assembly</x:v>
      </x:c>
      <x:c r="G220" s="47" t="str">
        <x:v>Compressed family/assembly</x:v>
      </x:c>
      <x:c r="H220" s="49"/>
      <x:c r="I220" s="49"/>
    </x:row>
    <x:row r="221">
      <x:c r="A221" s="47" t="n">
        <x:v>217</x:v>
      </x:c>
      <x:c r="B221" s="47" t="str">
        <x:v>Clean food-processing cell</x:v>
      </x:c>
      <x:c r="C221" s="47" t="str">
        <x:v>Workshop</x:v>
      </x:c>
      <x:c r="D221" s="47" t="str">
        <x:v>Endpoint</x:v>
      </x:c>
      <x:c r="E221" s="47" t="str">
        <x:v>H3</x:v>
      </x:c>
      <x:c r="F221" s="47" t="str">
        <x:v>Placeable system/capability</x:v>
      </x:c>
      <x:c r="G221" s="47" t="str">
        <x:v>Governed node; variants not separated</x:v>
      </x:c>
      <x:c r="H221" s="49"/>
      <x:c r="I221" s="49"/>
    </x:row>
    <x:row r="222">
      <x:c r="A222" s="47" t="n">
        <x:v>218</x:v>
      </x:c>
      <x:c r="B222" s="47" t="str">
        <x:v>Engine/mechanical repair cell</x:v>
      </x:c>
      <x:c r="C222" s="47" t="str">
        <x:v>Workshop</x:v>
      </x:c>
      <x:c r="D222" s="47" t="str">
        <x:v>Endpoint</x:v>
      </x:c>
      <x:c r="E222" s="47" t="str">
        <x:v>H4</x:v>
      </x:c>
      <x:c r="F222" s="47" t="str">
        <x:v>Placeable system/capability</x:v>
      </x:c>
      <x:c r="G222" s="47" t="str">
        <x:v>Compressed family/assembly</x:v>
      </x:c>
      <x:c r="H222" s="49"/>
      <x:c r="I222" s="49"/>
    </x:row>
    <x:row r="223">
      <x:c r="A223" s="47" t="n">
        <x:v>219</x:v>
      </x:c>
      <x:c r="B223" s="47" t="str">
        <x:v>Specialist fiber workshop cell</x:v>
      </x:c>
      <x:c r="C223" s="47" t="str">
        <x:v>Workshop</x:v>
      </x:c>
      <x:c r="D223" s="47" t="str">
        <x:v>Endpoint</x:v>
      </x:c>
      <x:c r="E223" s="47" t="str">
        <x:v>H3</x:v>
      </x:c>
      <x:c r="F223" s="47" t="str">
        <x:v>Placeable system/capability</x:v>
      </x:c>
      <x:c r="G223" s="47" t="str">
        <x:v>Governed node; variants not separated</x:v>
      </x:c>
      <x:c r="H223" s="49"/>
      <x:c r="I223" s="49"/>
    </x:row>
    <x:row r="224">
      <x:c r="A224" s="47" t="n">
        <x:v>220</x:v>
      </x:c>
      <x:c r="B224" s="47" t="str">
        <x:v>Held and measured precision bench</x:v>
      </x:c>
      <x:c r="C224" s="47" t="str">
        <x:v>Workshop</x:v>
      </x:c>
      <x:c r="D224" s="47" t="str">
        <x:v>Workspace</x:v>
      </x:c>
      <x:c r="E224" s="47" t="str">
        <x:v>H3</x:v>
      </x:c>
      <x:c r="F224" s="47" t="str">
        <x:v>Placeable workspace</x:v>
      </x:c>
      <x:c r="G224" s="47" t="str">
        <x:v>Governed node; variants not separated</x:v>
      </x:c>
      <x:c r="H224" s="49"/>
      <x:c r="I224" s="49"/>
    </x:row>
    <x:row r="225">
      <x:c r="A225" s="47" t="n">
        <x:v>221</x:v>
      </x:c>
      <x:c r="B225" s="47" t="str">
        <x:v>Work mat/support</x:v>
      </x:c>
      <x:c r="C225" s="47" t="str">
        <x:v>Workspace</x:v>
      </x:c>
      <x:c r="D225" s="47" t="str">
        <x:v>Workspace</x:v>
      </x:c>
      <x:c r="E225" s="47" t="str">
        <x:v>H1</x:v>
      </x:c>
      <x:c r="F225" s="47" t="str">
        <x:v>Placeable workspace</x:v>
      </x:c>
      <x:c r="G225" s="47" t="str">
        <x:v>Compressed family/assembly</x:v>
      </x:c>
      <x:c r="H225" s="49"/>
      <x:c r="I225" s="49"/>
    </x:row>
    <x:row r="226">
      <x:c r="A226" s="47" t="n">
        <x:v>222</x:v>
      </x:c>
      <x:c r="B226" s="47" t="str">
        <x:v>Workbench with holding</x:v>
      </x:c>
      <x:c r="C226" s="47" t="str">
        <x:v>Workspace</x:v>
      </x:c>
      <x:c r="D226" s="47" t="str">
        <x:v>Workspace</x:v>
      </x:c>
      <x:c r="E226" s="47" t="str">
        <x:v>H3</x:v>
      </x:c>
      <x:c r="F226" s="47" t="str">
        <x:v>Placeable workspace</x:v>
      </x:c>
      <x:c r="G226" s="47" t="str">
        <x:v>Governed node; variants not separated</x:v>
      </x:c>
      <x:c r="H226" s="49"/>
      <x:c r="I226" s="49"/>
    </x:row>
  </x:sheetData>
  <x:mergeCells>
    <x:mergeCell ref="A1:I1"/>
    <x:mergeCell ref="A2:I2"/>
  </x:mergeCells>
  <x:conditionalFormatting sqref="H5:H226">
    <x:cfRule type="containsText" dxfId="0" priority="1" operator="containsText" text="Needs review"/>
    <x:cfRule type="containsText" dxfId="1" priority="2" operator="containsText" text="Keep"/>
  </x:conditionalFormatting>
  <x:dataValidations count="1">
    <x:dataValidation type="list" sqref="H5:H226">
      <x:formula1>"Keep,Rename,Expand family,Split variants,Remove,Needs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55830d5d5241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2" hidden="0" customWidth="1"/>
    <x:col min="16" max="16" width="12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</x:cols>
  <x:sheetData>
    <x:row r="1" ht="28" customHeight="1">
      <x:c r="A1" s="3" t="str">
        <x:v>Master Catalogue — Governing Detail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42" customHeight="1">
      <x:c r="A2" s="7" t="str">
        <x:v>All fields are extracted from v2.8 except the clearly labelled player-facing classification, audit relations, status, and Director review columns.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4" ht="30" customHeight="1">
      <x:c r="A4" s="16" t="str">
        <x:v>Node ID</x:v>
      </x:c>
      <x:c r="B4" s="17" t="str">
        <x:v>Name</x:v>
      </x:c>
      <x:c r="C4" s="17" t="str">
        <x:v>Domain</x:v>
      </x:c>
      <x:c r="D4" s="17" t="str">
        <x:v>Class</x:v>
      </x:c>
      <x:c r="E4" s="17" t="str">
        <x:v>Threshold</x:v>
      </x:c>
      <x:c r="F4" s="17" t="str">
        <x:v>Player-facing form</x:v>
      </x:c>
      <x:c r="G4" s="17" t="str">
        <x:v>Carryable?</x:v>
      </x:c>
      <x:c r="H4" s="17" t="str">
        <x:v>Current pathway</x:v>
      </x:c>
      <x:c r="I4" s="17" t="str">
        <x:v>Inputs</x:v>
      </x:c>
      <x:c r="J4" s="17" t="str">
        <x:v>Operations</x:v>
      </x:c>
      <x:c r="K4" s="17" t="str">
        <x:v>Required tools</x:v>
      </x:c>
      <x:c r="L4" s="17" t="str">
        <x:v>Workspace</x:v>
      </x:c>
      <x:c r="M4" s="17" t="str">
        <x:v>Skills / knowledge</x:v>
      </x:c>
      <x:c r="N4" s="17" t="str">
        <x:v>Body demand</x:v>
      </x:c>
      <x:c r="O4" s="17" t="str">
        <x:v>Active min</x:v>
      </x:c>
      <x:c r="P4" s="17" t="str">
        <x:v>Passive min</x:v>
      </x:c>
      <x:c r="Q4" s="17" t="str">
        <x:v>Qualification test</x:v>
      </x:c>
      <x:c r="R4" s="17" t="str">
        <x:v>Failure</x:v>
      </x:c>
      <x:c r="S4" s="17" t="str">
        <x:v>Weapon relation</x:v>
      </x:c>
      <x:c r="T4" s="17" t="str">
        <x:v>Steam/electric relation</x:v>
      </x:c>
      <x:c r="U4" s="17" t="str">
        <x:v>Catalogue status</x:v>
      </x:c>
      <x:c r="V4" s="17" t="str">
        <x:v>Director action</x:v>
      </x:c>
      <x:c r="W4" s="18" t="str">
        <x:v>Director notes</x:v>
      </x:c>
    </x:row>
    <x:row r="5">
      <x:c r="A5" s="46" t="str">
        <x:v>S-RAIN</x:v>
      </x:c>
      <x:c r="B5" s="46" t="str">
        <x:v>Fresh rain</x:v>
      </x:c>
      <x:c r="C5" s="46" t="str">
        <x:v>Water</x:v>
      </x:c>
      <x:c r="D5" s="46" t="str">
        <x:v>Source</x:v>
      </x:c>
      <x:c r="E5" s="46" t="str">
        <x:v>H0</x:v>
      </x:c>
      <x:c r="F5" s="46" t="str">
        <x:v>Environmental resource</x:v>
      </x:c>
      <x:c r="G5" s="46" t="str">
        <x:v>No</x:v>
      </x:c>
      <x:c r="H5" s="46" t="str">
        <x:v>Find / recover / harvest</x:v>
      </x:c>
      <x:c r="I5" s="46" t="str"/>
      <x:c r="J5" s="46" t="str">
        <x:v>find / inspect / recover</x:v>
      </x:c>
      <x:c r="K5" s="46" t="str"/>
      <x:c r="L5" s="46" t="str">
        <x:v>world</x:v>
      </x:c>
      <x:c r="M5" s="46" t="str">
        <x:v>observation / provenance</x:v>
      </x:c>
      <x:c r="N5" s="46" t="str">
        <x:v>variable</x:v>
      </x:c>
      <x:c r="O5" s="50" t="n">
        <x:v>0</x:v>
      </x:c>
      <x:c r="P5" s="50" t="n">
        <x:v>0</x:v>
      </x:c>
      <x:c r="Q5" s="46" t="str">
        <x:v>identity and condition evidence</x:v>
      </x:c>
      <x:c r="R5" s="46" t="str">
        <x:v>inaccessible / contaminated / degraded</x:v>
      </x:c>
      <x:c r="S5" s="46" t="str"/>
      <x:c r="T5" s="46" t="str"/>
      <x:c r="U5" s="46" t="str">
        <x:v>Governed node; variants not separated</x:v>
      </x:c>
      <x:c r="V5" s="48"/>
      <x:c r="W5" s="48"/>
    </x:row>
    <x:row r="6">
      <x:c r="A6" s="47" t="str">
        <x:v>S-SPRING</x:v>
      </x:c>
      <x:c r="B6" s="47" t="str">
        <x:v>Spring/seep water</x:v>
      </x:c>
      <x:c r="C6" s="47" t="str">
        <x:v>Water</x:v>
      </x:c>
      <x:c r="D6" s="47" t="str">
        <x:v>Source</x:v>
      </x:c>
      <x:c r="E6" s="47" t="str">
        <x:v>H0</x:v>
      </x:c>
      <x:c r="F6" s="47" t="str">
        <x:v>Environmental resource</x:v>
      </x:c>
      <x:c r="G6" s="47" t="str">
        <x:v>No</x:v>
      </x:c>
      <x:c r="H6" s="47" t="str">
        <x:v>Find / recover / harvest</x:v>
      </x:c>
      <x:c r="I6" s="47" t="str"/>
      <x:c r="J6" s="47" t="str">
        <x:v>find / inspect / recover</x:v>
      </x:c>
      <x:c r="K6" s="47" t="str"/>
      <x:c r="L6" s="47" t="str">
        <x:v>world</x:v>
      </x:c>
      <x:c r="M6" s="47" t="str">
        <x:v>observation / provenance</x:v>
      </x:c>
      <x:c r="N6" s="47" t="str">
        <x:v>variable</x:v>
      </x:c>
      <x:c r="O6" s="51" t="n">
        <x:v>0</x:v>
      </x:c>
      <x:c r="P6" s="51" t="n">
        <x:v>0</x:v>
      </x:c>
      <x:c r="Q6" s="47" t="str">
        <x:v>identity and condition evidence</x:v>
      </x:c>
      <x:c r="R6" s="47" t="str">
        <x:v>inaccessible / contaminated / degraded</x:v>
      </x:c>
      <x:c r="S6" s="47" t="str"/>
      <x:c r="T6" s="47" t="str"/>
      <x:c r="U6" s="47" t="str">
        <x:v>Compressed family/assembly</x:v>
      </x:c>
      <x:c r="V6" s="49"/>
      <x:c r="W6" s="49"/>
    </x:row>
    <x:row r="7">
      <x:c r="A7" s="47" t="str">
        <x:v>S-STREAM</x:v>
      </x:c>
      <x:c r="B7" s="47" t="str">
        <x:v>Stream water</x:v>
      </x:c>
      <x:c r="C7" s="47" t="str">
        <x:v>Water</x:v>
      </x:c>
      <x:c r="D7" s="47" t="str">
        <x:v>Source</x:v>
      </x:c>
      <x:c r="E7" s="47" t="str">
        <x:v>H0</x:v>
      </x:c>
      <x:c r="F7" s="47" t="str">
        <x:v>Environmental resource</x:v>
      </x:c>
      <x:c r="G7" s="47" t="str">
        <x:v>No</x:v>
      </x:c>
      <x:c r="H7" s="47" t="str">
        <x:v>Find / recover / harvest</x:v>
      </x:c>
      <x:c r="I7" s="47" t="str"/>
      <x:c r="J7" s="47" t="str">
        <x:v>find / inspect / recover</x:v>
      </x:c>
      <x:c r="K7" s="47" t="str"/>
      <x:c r="L7" s="47" t="str">
        <x:v>world</x:v>
      </x:c>
      <x:c r="M7" s="47" t="str">
        <x:v>observation / provenance</x:v>
      </x:c>
      <x:c r="N7" s="47" t="str">
        <x:v>variable</x:v>
      </x:c>
      <x:c r="O7" s="51" t="n">
        <x:v>0</x:v>
      </x:c>
      <x:c r="P7" s="51" t="n">
        <x:v>0</x:v>
      </x:c>
      <x:c r="Q7" s="47" t="str">
        <x:v>identity and condition evidence</x:v>
      </x:c>
      <x:c r="R7" s="47" t="str">
        <x:v>inaccessible / contaminated / degraded</x:v>
      </x:c>
      <x:c r="S7" s="47" t="str"/>
      <x:c r="T7" s="47" t="str"/>
      <x:c r="U7" s="47" t="str">
        <x:v>Governed node; variants not separated</x:v>
      </x:c>
      <x:c r="V7" s="49"/>
      <x:c r="W7" s="49"/>
    </x:row>
    <x:row r="8">
      <x:c r="A8" s="47" t="str">
        <x:v>S-POND</x:v>
      </x:c>
      <x:c r="B8" s="47" t="str">
        <x:v>Pond water</x:v>
      </x:c>
      <x:c r="C8" s="47" t="str">
        <x:v>Water</x:v>
      </x:c>
      <x:c r="D8" s="47" t="str">
        <x:v>Source</x:v>
      </x:c>
      <x:c r="E8" s="47" t="str">
        <x:v>H0</x:v>
      </x:c>
      <x:c r="F8" s="47" t="str">
        <x:v>Environmental resource</x:v>
      </x:c>
      <x:c r="G8" s="47" t="str">
        <x:v>No</x:v>
      </x:c>
      <x:c r="H8" s="47" t="str">
        <x:v>Find / recover / harvest</x:v>
      </x:c>
      <x:c r="I8" s="47" t="str"/>
      <x:c r="J8" s="47" t="str">
        <x:v>find / inspect / recover</x:v>
      </x:c>
      <x:c r="K8" s="47" t="str"/>
      <x:c r="L8" s="47" t="str">
        <x:v>world</x:v>
      </x:c>
      <x:c r="M8" s="47" t="str">
        <x:v>observation / provenance</x:v>
      </x:c>
      <x:c r="N8" s="47" t="str">
        <x:v>variable</x:v>
      </x:c>
      <x:c r="O8" s="51" t="n">
        <x:v>0</x:v>
      </x:c>
      <x:c r="P8" s="51" t="n">
        <x:v>0</x:v>
      </x:c>
      <x:c r="Q8" s="47" t="str">
        <x:v>identity and condition evidence</x:v>
      </x:c>
      <x:c r="R8" s="47" t="str">
        <x:v>inaccessible / contaminated / degraded</x:v>
      </x:c>
      <x:c r="S8" s="47" t="str"/>
      <x:c r="T8" s="47" t="str"/>
      <x:c r="U8" s="47" t="str">
        <x:v>Governed node; variants not separated</x:v>
      </x:c>
      <x:c r="V8" s="49"/>
      <x:c r="W8" s="49"/>
    </x:row>
    <x:row r="9">
      <x:c r="A9" s="47" t="str">
        <x:v>S-SEA</x:v>
      </x:c>
      <x:c r="B9" s="47" t="str">
        <x:v>Seawater</x:v>
      </x:c>
      <x:c r="C9" s="47" t="str">
        <x:v>Water</x:v>
      </x:c>
      <x:c r="D9" s="47" t="str">
        <x:v>Source</x:v>
      </x:c>
      <x:c r="E9" s="47" t="str">
        <x:v>H0</x:v>
      </x:c>
      <x:c r="F9" s="47" t="str">
        <x:v>Environmental resource</x:v>
      </x:c>
      <x:c r="G9" s="47" t="str">
        <x:v>No</x:v>
      </x:c>
      <x:c r="H9" s="47" t="str">
        <x:v>Find / recover / harvest</x:v>
      </x:c>
      <x:c r="I9" s="47" t="str"/>
      <x:c r="J9" s="47" t="str">
        <x:v>find / inspect / recover</x:v>
      </x:c>
      <x:c r="K9" s="47" t="str"/>
      <x:c r="L9" s="47" t="str">
        <x:v>world</x:v>
      </x:c>
      <x:c r="M9" s="47" t="str">
        <x:v>observation / provenance</x:v>
      </x:c>
      <x:c r="N9" s="47" t="str">
        <x:v>variable</x:v>
      </x:c>
      <x:c r="O9" s="51" t="n">
        <x:v>0</x:v>
      </x:c>
      <x:c r="P9" s="51" t="n">
        <x:v>0</x:v>
      </x:c>
      <x:c r="Q9" s="47" t="str">
        <x:v>identity and condition evidence</x:v>
      </x:c>
      <x:c r="R9" s="47" t="str">
        <x:v>inaccessible / contaminated / degraded</x:v>
      </x:c>
      <x:c r="S9" s="47" t="str"/>
      <x:c r="T9" s="47" t="str"/>
      <x:c r="U9" s="47" t="str">
        <x:v>Governed node; variants not separated</x:v>
      </x:c>
      <x:c r="V9" s="49"/>
      <x:c r="W9" s="49"/>
    </x:row>
    <x:row r="10">
      <x:c r="A10" s="47" t="str">
        <x:v>S-COCONUT</x:v>
      </x:c>
      <x:c r="B10" s="47" t="str">
        <x:v>Coconut</x:v>
      </x:c>
      <x:c r="C10" s="47" t="str">
        <x:v>Biological</x:v>
      </x:c>
      <x:c r="D10" s="47" t="str">
        <x:v>Source</x:v>
      </x:c>
      <x:c r="E10" s="47" t="str">
        <x:v>H0</x:v>
      </x:c>
      <x:c r="F10" s="47" t="str">
        <x:v>Recoverable/harvested resource</x:v>
      </x:c>
      <x:c r="G10" s="47" t="str">
        <x:v>Usually</x:v>
      </x:c>
      <x:c r="H10" s="47" t="str">
        <x:v>Find / recover / harvest</x:v>
      </x:c>
      <x:c r="I10" s="47" t="str"/>
      <x:c r="J10" s="47" t="str">
        <x:v>find / inspect / recover</x:v>
      </x:c>
      <x:c r="K10" s="47" t="str"/>
      <x:c r="L10" s="47" t="str">
        <x:v>world</x:v>
      </x:c>
      <x:c r="M10" s="47" t="str">
        <x:v>observation / provenance</x:v>
      </x:c>
      <x:c r="N10" s="47" t="str">
        <x:v>variable</x:v>
      </x:c>
      <x:c r="O10" s="51" t="n">
        <x:v>0</x:v>
      </x:c>
      <x:c r="P10" s="51" t="n">
        <x:v>0</x:v>
      </x:c>
      <x:c r="Q10" s="47" t="str">
        <x:v>identity and condition evidence</x:v>
      </x:c>
      <x:c r="R10" s="47" t="str">
        <x:v>inaccessible / contaminated / degraded</x:v>
      </x:c>
      <x:c r="S10" s="47" t="str"/>
      <x:c r="T10" s="47" t="str"/>
      <x:c r="U10" s="47" t="str">
        <x:v>Governed node; variants not separated</x:v>
      </x:c>
      <x:c r="V10" s="49"/>
      <x:c r="W10" s="49"/>
    </x:row>
    <x:row r="11">
      <x:c r="A11" s="47" t="str">
        <x:v>S-TIMBER</x:v>
      </x:c>
      <x:c r="B11" s="47" t="str">
        <x:v>Timber/driftwood</x:v>
      </x:c>
      <x:c r="C11" s="47" t="str">
        <x:v>Material</x:v>
      </x:c>
      <x:c r="D11" s="47" t="str">
        <x:v>Source</x:v>
      </x:c>
      <x:c r="E11" s="47" t="str">
        <x:v>H0</x:v>
      </x:c>
      <x:c r="F11" s="47" t="str">
        <x:v>Recoverable/harvested resource</x:v>
      </x:c>
      <x:c r="G11" s="47" t="str">
        <x:v>Usually</x:v>
      </x:c>
      <x:c r="H11" s="47" t="str">
        <x:v>Find / recover / harvest</x:v>
      </x:c>
      <x:c r="I11" s="47" t="str"/>
      <x:c r="J11" s="47" t="str">
        <x:v>find / inspect / recover</x:v>
      </x:c>
      <x:c r="K11" s="47" t="str"/>
      <x:c r="L11" s="47" t="str">
        <x:v>world</x:v>
      </x:c>
      <x:c r="M11" s="47" t="str">
        <x:v>observation / provenance</x:v>
      </x:c>
      <x:c r="N11" s="47" t="str">
        <x:v>variable</x:v>
      </x:c>
      <x:c r="O11" s="51" t="n">
        <x:v>0</x:v>
      </x:c>
      <x:c r="P11" s="51" t="n">
        <x:v>0</x:v>
      </x:c>
      <x:c r="Q11" s="47" t="str">
        <x:v>identity and condition evidence</x:v>
      </x:c>
      <x:c r="R11" s="47" t="str">
        <x:v>inaccessible / contaminated / degraded</x:v>
      </x:c>
      <x:c r="S11" s="47" t="str"/>
      <x:c r="T11" s="47" t="str"/>
      <x:c r="U11" s="47" t="str">
        <x:v>Compressed family/assembly</x:v>
      </x:c>
      <x:c r="V11" s="49"/>
      <x:c r="W11" s="49"/>
    </x:row>
    <x:row r="12">
      <x:c r="A12" s="47" t="str">
        <x:v>S-FIBER</x:v>
      </x:c>
      <x:c r="B12" s="47" t="str">
        <x:v>Natural fiber</x:v>
      </x:c>
      <x:c r="C12" s="47" t="str">
        <x:v>Material</x:v>
      </x:c>
      <x:c r="D12" s="47" t="str">
        <x:v>Source</x:v>
      </x:c>
      <x:c r="E12" s="47" t="str">
        <x:v>H0</x:v>
      </x:c>
      <x:c r="F12" s="47" t="str">
        <x:v>Recoverable/harvested resource</x:v>
      </x:c>
      <x:c r="G12" s="47" t="str">
        <x:v>Usually</x:v>
      </x:c>
      <x:c r="H12" s="47" t="str">
        <x:v>Find / recover / harvest</x:v>
      </x:c>
      <x:c r="I12" s="47" t="str"/>
      <x:c r="J12" s="47" t="str">
        <x:v>find / inspect / recover</x:v>
      </x:c>
      <x:c r="K12" s="47" t="str"/>
      <x:c r="L12" s="47" t="str">
        <x:v>world</x:v>
      </x:c>
      <x:c r="M12" s="47" t="str">
        <x:v>observation / provenance</x:v>
      </x:c>
      <x:c r="N12" s="47" t="str">
        <x:v>variable</x:v>
      </x:c>
      <x:c r="O12" s="51" t="n">
        <x:v>0</x:v>
      </x:c>
      <x:c r="P12" s="51" t="n">
        <x:v>0</x:v>
      </x:c>
      <x:c r="Q12" s="47" t="str">
        <x:v>identity and condition evidence</x:v>
      </x:c>
      <x:c r="R12" s="47" t="str">
        <x:v>inaccessible / contaminated / degraded</x:v>
      </x:c>
      <x:c r="S12" s="47" t="str"/>
      <x:c r="T12" s="47" t="str"/>
      <x:c r="U12" s="47" t="str">
        <x:v>Governed node; variants not separated</x:v>
      </x:c>
      <x:c r="V12" s="49"/>
      <x:c r="W12" s="49"/>
    </x:row>
    <x:row r="13">
      <x:c r="A13" s="47" t="str">
        <x:v>S-STONE</x:v>
      </x:c>
      <x:c r="B13" s="47" t="str">
        <x:v>Stone/mineral</x:v>
      </x:c>
      <x:c r="C13" s="47" t="str">
        <x:v>Material</x:v>
      </x:c>
      <x:c r="D13" s="47" t="str">
        <x:v>Source</x:v>
      </x:c>
      <x:c r="E13" s="47" t="str">
        <x:v>H0</x:v>
      </x:c>
      <x:c r="F13" s="47" t="str">
        <x:v>Recoverable/harvested resource</x:v>
      </x:c>
      <x:c r="G13" s="47" t="str">
        <x:v>Usually</x:v>
      </x:c>
      <x:c r="H13" s="47" t="str">
        <x:v>Find / recover / harvest</x:v>
      </x:c>
      <x:c r="I13" s="47" t="str"/>
      <x:c r="J13" s="47" t="str">
        <x:v>find / inspect / recover</x:v>
      </x:c>
      <x:c r="K13" s="47" t="str"/>
      <x:c r="L13" s="47" t="str">
        <x:v>world</x:v>
      </x:c>
      <x:c r="M13" s="47" t="str">
        <x:v>observation / provenance</x:v>
      </x:c>
      <x:c r="N13" s="47" t="str">
        <x:v>variable</x:v>
      </x:c>
      <x:c r="O13" s="51" t="n">
        <x:v>0</x:v>
      </x:c>
      <x:c r="P13" s="51" t="n">
        <x:v>0</x:v>
      </x:c>
      <x:c r="Q13" s="47" t="str">
        <x:v>identity and condition evidence</x:v>
      </x:c>
      <x:c r="R13" s="47" t="str">
        <x:v>inaccessible / contaminated / degraded</x:v>
      </x:c>
      <x:c r="S13" s="47" t="str"/>
      <x:c r="T13" s="47" t="str"/>
      <x:c r="U13" s="47" t="str">
        <x:v>Compressed family/assembly</x:v>
      </x:c>
      <x:c r="V13" s="49"/>
      <x:c r="W13" s="49"/>
    </x:row>
    <x:row r="14">
      <x:c r="A14" s="47" t="str">
        <x:v>S-CLAY</x:v>
      </x:c>
      <x:c r="B14" s="47" t="str">
        <x:v>Clay</x:v>
      </x:c>
      <x:c r="C14" s="47" t="str">
        <x:v>Material</x:v>
      </x:c>
      <x:c r="D14" s="47" t="str">
        <x:v>Source</x:v>
      </x:c>
      <x:c r="E14" s="47" t="str">
        <x:v>H0</x:v>
      </x:c>
      <x:c r="F14" s="47" t="str">
        <x:v>Recoverable/harvested resource</x:v>
      </x:c>
      <x:c r="G14" s="47" t="str">
        <x:v>Usually</x:v>
      </x:c>
      <x:c r="H14" s="47" t="str">
        <x:v>Find / recover / harvest</x:v>
      </x:c>
      <x:c r="I14" s="47" t="str"/>
      <x:c r="J14" s="47" t="str">
        <x:v>find / inspect / recover</x:v>
      </x:c>
      <x:c r="K14" s="47" t="str"/>
      <x:c r="L14" s="47" t="str">
        <x:v>world</x:v>
      </x:c>
      <x:c r="M14" s="47" t="str">
        <x:v>observation / provenance</x:v>
      </x:c>
      <x:c r="N14" s="47" t="str">
        <x:v>variable</x:v>
      </x:c>
      <x:c r="O14" s="51" t="n">
        <x:v>0</x:v>
      </x:c>
      <x:c r="P14" s="51" t="n">
        <x:v>0</x:v>
      </x:c>
      <x:c r="Q14" s="47" t="str">
        <x:v>identity and condition evidence</x:v>
      </x:c>
      <x:c r="R14" s="47" t="str">
        <x:v>inaccessible / contaminated / degraded</x:v>
      </x:c>
      <x:c r="S14" s="47" t="str"/>
      <x:c r="T14" s="47" t="str"/>
      <x:c r="U14" s="47" t="str">
        <x:v>Governed node; variants not separated</x:v>
      </x:c>
      <x:c r="V14" s="49"/>
      <x:c r="W14" s="49"/>
    </x:row>
    <x:row r="15">
      <x:c r="A15" s="47" t="str">
        <x:v>S-SAND</x:v>
      </x:c>
      <x:c r="B15" s="47" t="str">
        <x:v>Sand/gravel</x:v>
      </x:c>
      <x:c r="C15" s="47" t="str">
        <x:v>Material</x:v>
      </x:c>
      <x:c r="D15" s="47" t="str">
        <x:v>Source</x:v>
      </x:c>
      <x:c r="E15" s="47" t="str">
        <x:v>H0</x:v>
      </x:c>
      <x:c r="F15" s="47" t="str">
        <x:v>Recoverable/harvested resource</x:v>
      </x:c>
      <x:c r="G15" s="47" t="str">
        <x:v>Usually</x:v>
      </x:c>
      <x:c r="H15" s="47" t="str">
        <x:v>Find / recover / harvest</x:v>
      </x:c>
      <x:c r="I15" s="47" t="str"/>
      <x:c r="J15" s="47" t="str">
        <x:v>find / inspect / recover</x:v>
      </x:c>
      <x:c r="K15" s="47" t="str"/>
      <x:c r="L15" s="47" t="str">
        <x:v>world</x:v>
      </x:c>
      <x:c r="M15" s="47" t="str">
        <x:v>observation / provenance</x:v>
      </x:c>
      <x:c r="N15" s="47" t="str">
        <x:v>variable</x:v>
      </x:c>
      <x:c r="O15" s="51" t="n">
        <x:v>0</x:v>
      </x:c>
      <x:c r="P15" s="51" t="n">
        <x:v>0</x:v>
      </x:c>
      <x:c r="Q15" s="47" t="str">
        <x:v>identity and condition evidence</x:v>
      </x:c>
      <x:c r="R15" s="47" t="str">
        <x:v>inaccessible / contaminated / degraded</x:v>
      </x:c>
      <x:c r="S15" s="47" t="str"/>
      <x:c r="T15" s="47" t="str"/>
      <x:c r="U15" s="47" t="str">
        <x:v>Compressed family/assembly</x:v>
      </x:c>
      <x:c r="V15" s="49"/>
      <x:c r="W15" s="49"/>
    </x:row>
    <x:row r="16">
      <x:c r="A16" s="47" t="str">
        <x:v>S-RESIN</x:v>
      </x:c>
      <x:c r="B16" s="47" t="str">
        <x:v>Resin/pitch source</x:v>
      </x:c>
      <x:c r="C16" s="47" t="str">
        <x:v>Biological</x:v>
      </x:c>
      <x:c r="D16" s="47" t="str">
        <x:v>Source</x:v>
      </x:c>
      <x:c r="E16" s="47" t="str">
        <x:v>H0</x:v>
      </x:c>
      <x:c r="F16" s="47" t="str">
        <x:v>Recoverable/harvested resource</x:v>
      </x:c>
      <x:c r="G16" s="47" t="str">
        <x:v>Usually</x:v>
      </x:c>
      <x:c r="H16" s="47" t="str">
        <x:v>Find / recover / harvest</x:v>
      </x:c>
      <x:c r="I16" s="47" t="str"/>
      <x:c r="J16" s="47" t="str">
        <x:v>find / inspect / recover</x:v>
      </x:c>
      <x:c r="K16" s="47" t="str"/>
      <x:c r="L16" s="47" t="str">
        <x:v>world</x:v>
      </x:c>
      <x:c r="M16" s="47" t="str">
        <x:v>observation / provenance</x:v>
      </x:c>
      <x:c r="N16" s="47" t="str">
        <x:v>variable</x:v>
      </x:c>
      <x:c r="O16" s="51" t="n">
        <x:v>0</x:v>
      </x:c>
      <x:c r="P16" s="51" t="n">
        <x:v>0</x:v>
      </x:c>
      <x:c r="Q16" s="47" t="str">
        <x:v>identity and condition evidence</x:v>
      </x:c>
      <x:c r="R16" s="47" t="str">
        <x:v>inaccessible / contaminated / degraded</x:v>
      </x:c>
      <x:c r="S16" s="47" t="str"/>
      <x:c r="T16" s="47" t="str"/>
      <x:c r="U16" s="47" t="str">
        <x:v>Compressed family/assembly</x:v>
      </x:c>
      <x:c r="V16" s="49"/>
      <x:c r="W16" s="49"/>
    </x:row>
    <x:row r="17">
      <x:c r="A17" s="47" t="str">
        <x:v>S-HIDE</x:v>
      </x:c>
      <x:c r="B17" s="47" t="str">
        <x:v>Hide/skin</x:v>
      </x:c>
      <x:c r="C17" s="47" t="str">
        <x:v>Biological</x:v>
      </x:c>
      <x:c r="D17" s="47" t="str">
        <x:v>Source</x:v>
      </x:c>
      <x:c r="E17" s="47" t="str">
        <x:v>H0</x:v>
      </x:c>
      <x:c r="F17" s="47" t="str">
        <x:v>Recoverable/harvested resource</x:v>
      </x:c>
      <x:c r="G17" s="47" t="str">
        <x:v>Usually</x:v>
      </x:c>
      <x:c r="H17" s="47" t="str">
        <x:v>Find / recover / harvest</x:v>
      </x:c>
      <x:c r="I17" s="47" t="str"/>
      <x:c r="J17" s="47" t="str">
        <x:v>find / inspect / recover</x:v>
      </x:c>
      <x:c r="K17" s="47" t="str"/>
      <x:c r="L17" s="47" t="str">
        <x:v>world</x:v>
      </x:c>
      <x:c r="M17" s="47" t="str">
        <x:v>observation / provenance</x:v>
      </x:c>
      <x:c r="N17" s="47" t="str">
        <x:v>variable</x:v>
      </x:c>
      <x:c r="O17" s="51" t="n">
        <x:v>0</x:v>
      </x:c>
      <x:c r="P17" s="51" t="n">
        <x:v>0</x:v>
      </x:c>
      <x:c r="Q17" s="47" t="str">
        <x:v>identity and condition evidence</x:v>
      </x:c>
      <x:c r="R17" s="47" t="str">
        <x:v>inaccessible / contaminated / degraded</x:v>
      </x:c>
      <x:c r="S17" s="47" t="str"/>
      <x:c r="T17" s="47" t="str"/>
      <x:c r="U17" s="47" t="str">
        <x:v>Compressed family/assembly</x:v>
      </x:c>
      <x:c r="V17" s="49"/>
      <x:c r="W17" s="49"/>
    </x:row>
    <x:row r="18">
      <x:c r="A18" s="47" t="str">
        <x:v>S-BONE</x:v>
      </x:c>
      <x:c r="B18" s="47" t="str">
        <x:v>Bone/shell</x:v>
      </x:c>
      <x:c r="C18" s="47" t="str">
        <x:v>Biological</x:v>
      </x:c>
      <x:c r="D18" s="47" t="str">
        <x:v>Source</x:v>
      </x:c>
      <x:c r="E18" s="47" t="str">
        <x:v>H0</x:v>
      </x:c>
      <x:c r="F18" s="47" t="str">
        <x:v>Recoverable/harvested resource</x:v>
      </x:c>
      <x:c r="G18" s="47" t="str">
        <x:v>Usually</x:v>
      </x:c>
      <x:c r="H18" s="47" t="str">
        <x:v>Find / recover / harvest</x:v>
      </x:c>
      <x:c r="I18" s="47" t="str"/>
      <x:c r="J18" s="47" t="str">
        <x:v>find / inspect / recover</x:v>
      </x:c>
      <x:c r="K18" s="47" t="str"/>
      <x:c r="L18" s="47" t="str">
        <x:v>world</x:v>
      </x:c>
      <x:c r="M18" s="47" t="str">
        <x:v>observation / provenance</x:v>
      </x:c>
      <x:c r="N18" s="47" t="str">
        <x:v>variable</x:v>
      </x:c>
      <x:c r="O18" s="51" t="n">
        <x:v>0</x:v>
      </x:c>
      <x:c r="P18" s="51" t="n">
        <x:v>0</x:v>
      </x:c>
      <x:c r="Q18" s="47" t="str">
        <x:v>identity and condition evidence</x:v>
      </x:c>
      <x:c r="R18" s="47" t="str">
        <x:v>inaccessible / contaminated / degraded</x:v>
      </x:c>
      <x:c r="S18" s="47" t="str"/>
      <x:c r="T18" s="47" t="str"/>
      <x:c r="U18" s="47" t="str">
        <x:v>Compressed family/assembly</x:v>
      </x:c>
      <x:c r="V18" s="49"/>
      <x:c r="W18" s="49"/>
    </x:row>
    <x:row r="19">
      <x:c r="A19" s="47" t="str">
        <x:v>S-SALT</x:v>
      </x:c>
      <x:c r="B19" s="47" t="str">
        <x:v>Salt stock/source</x:v>
      </x:c>
      <x:c r="C19" s="47" t="str">
        <x:v>Food</x:v>
      </x:c>
      <x:c r="D19" s="47" t="str">
        <x:v>Source</x:v>
      </x:c>
      <x:c r="E19" s="47" t="str">
        <x:v>H0</x:v>
      </x:c>
      <x:c r="F19" s="47" t="str">
        <x:v>Recoverable/harvested resource</x:v>
      </x:c>
      <x:c r="G19" s="47" t="str">
        <x:v>Usually</x:v>
      </x:c>
      <x:c r="H19" s="47" t="str">
        <x:v>Find / recover / harvest</x:v>
      </x:c>
      <x:c r="I19" s="47" t="str"/>
      <x:c r="J19" s="47" t="str">
        <x:v>find / inspect / recover</x:v>
      </x:c>
      <x:c r="K19" s="47" t="str"/>
      <x:c r="L19" s="47" t="str">
        <x:v>world</x:v>
      </x:c>
      <x:c r="M19" s="47" t="str">
        <x:v>observation / provenance</x:v>
      </x:c>
      <x:c r="N19" s="47" t="str">
        <x:v>variable</x:v>
      </x:c>
      <x:c r="O19" s="51" t="n">
        <x:v>0</x:v>
      </x:c>
      <x:c r="P19" s="51" t="n">
        <x:v>0</x:v>
      </x:c>
      <x:c r="Q19" s="47" t="str">
        <x:v>identity and condition evidence</x:v>
      </x:c>
      <x:c r="R19" s="47" t="str">
        <x:v>inaccessible / contaminated / degraded</x:v>
      </x:c>
      <x:c r="S19" s="47" t="str"/>
      <x:c r="T19" s="47" t="str"/>
      <x:c r="U19" s="47" t="str">
        <x:v>Compressed family/assembly</x:v>
      </x:c>
      <x:c r="V19" s="49"/>
      <x:c r="W19" s="49"/>
    </x:row>
    <x:row r="20">
      <x:c r="A20" s="47" t="str">
        <x:v>S-SUGAR</x:v>
      </x:c>
      <x:c r="B20" s="47" t="str">
        <x:v>Sugar/carbohydrate stock</x:v>
      </x:c>
      <x:c r="C20" s="47" t="str">
        <x:v>Food</x:v>
      </x:c>
      <x:c r="D20" s="47" t="str">
        <x:v>Source</x:v>
      </x:c>
      <x:c r="E20" s="47" t="str">
        <x:v>H0</x:v>
      </x:c>
      <x:c r="F20" s="47" t="str">
        <x:v>Recoverable/harvested resource</x:v>
      </x:c>
      <x:c r="G20" s="47" t="str">
        <x:v>Usually</x:v>
      </x:c>
      <x:c r="H20" s="47" t="str">
        <x:v>Find / recover / harvest</x:v>
      </x:c>
      <x:c r="I20" s="47" t="str"/>
      <x:c r="J20" s="47" t="str">
        <x:v>find / inspect / recover</x:v>
      </x:c>
      <x:c r="K20" s="47" t="str"/>
      <x:c r="L20" s="47" t="str">
        <x:v>world</x:v>
      </x:c>
      <x:c r="M20" s="47" t="str">
        <x:v>observation / provenance</x:v>
      </x:c>
      <x:c r="N20" s="47" t="str">
        <x:v>variable</x:v>
      </x:c>
      <x:c r="O20" s="51" t="n">
        <x:v>0</x:v>
      </x:c>
      <x:c r="P20" s="51" t="n">
        <x:v>0</x:v>
      </x:c>
      <x:c r="Q20" s="47" t="str">
        <x:v>identity and condition evidence</x:v>
      </x:c>
      <x:c r="R20" s="47" t="str">
        <x:v>inaccessible / contaminated / degraded</x:v>
      </x:c>
      <x:c r="S20" s="47" t="str"/>
      <x:c r="T20" s="47" t="str"/>
      <x:c r="U20" s="47" t="str">
        <x:v>Compressed family/assembly</x:v>
      </x:c>
      <x:c r="V20" s="49"/>
      <x:c r="W20" s="49"/>
    </x:row>
    <x:row r="21">
      <x:c r="A21" s="47" t="str">
        <x:v>S-FOOD</x:v>
      </x:c>
      <x:c r="B21" s="47" t="str">
        <x:v>Wild/harvested food</x:v>
      </x:c>
      <x:c r="C21" s="47" t="str">
        <x:v>Food</x:v>
      </x:c>
      <x:c r="D21" s="47" t="str">
        <x:v>Source</x:v>
      </x:c>
      <x:c r="E21" s="47" t="str">
        <x:v>H0</x:v>
      </x:c>
      <x:c r="F21" s="47" t="str">
        <x:v>Recoverable/harvested resource</x:v>
      </x:c>
      <x:c r="G21" s="47" t="str">
        <x:v>Usually</x:v>
      </x:c>
      <x:c r="H21" s="47" t="str">
        <x:v>Find / recover / harvest</x:v>
      </x:c>
      <x:c r="I21" s="47" t="str"/>
      <x:c r="J21" s="47" t="str">
        <x:v>find / inspect / recover</x:v>
      </x:c>
      <x:c r="K21" s="47" t="str"/>
      <x:c r="L21" s="47" t="str">
        <x:v>world</x:v>
      </x:c>
      <x:c r="M21" s="47" t="str">
        <x:v>observation / provenance</x:v>
      </x:c>
      <x:c r="N21" s="47" t="str">
        <x:v>variable</x:v>
      </x:c>
      <x:c r="O21" s="51" t="n">
        <x:v>0</x:v>
      </x:c>
      <x:c r="P21" s="51" t="n">
        <x:v>0</x:v>
      </x:c>
      <x:c r="Q21" s="47" t="str">
        <x:v>identity and condition evidence</x:v>
      </x:c>
      <x:c r="R21" s="47" t="str">
        <x:v>inaccessible / contaminated / degraded</x:v>
      </x:c>
      <x:c r="S21" s="47" t="str"/>
      <x:c r="T21" s="47" t="str"/>
      <x:c r="U21" s="47" t="str">
        <x:v>Compressed family/assembly</x:v>
      </x:c>
      <x:c r="V21" s="49"/>
      <x:c r="W21" s="49"/>
    </x:row>
    <x:row r="22">
      <x:c r="A22" s="47" t="str">
        <x:v>S-PLANT-MED</x:v>
      </x:c>
      <x:c r="B22" s="47" t="str">
        <x:v>Candidate medicinal plant</x:v>
      </x:c>
      <x:c r="C22" s="47" t="str">
        <x:v>Medicine</x:v>
      </x:c>
      <x:c r="D22" s="47" t="str">
        <x:v>Source</x:v>
      </x:c>
      <x:c r="E22" s="47" t="str">
        <x:v>H0</x:v>
      </x:c>
      <x:c r="F22" s="47" t="str">
        <x:v>Recoverable/harvested resource</x:v>
      </x:c>
      <x:c r="G22" s="47" t="str">
        <x:v>Usually</x:v>
      </x:c>
      <x:c r="H22" s="47" t="str">
        <x:v>Find / recover / harvest</x:v>
      </x:c>
      <x:c r="I22" s="47" t="str"/>
      <x:c r="J22" s="47" t="str">
        <x:v>find / inspect / recover</x:v>
      </x:c>
      <x:c r="K22" s="47" t="str"/>
      <x:c r="L22" s="47" t="str">
        <x:v>world</x:v>
      </x:c>
      <x:c r="M22" s="47" t="str">
        <x:v>observation / provenance</x:v>
      </x:c>
      <x:c r="N22" s="47" t="str">
        <x:v>variable</x:v>
      </x:c>
      <x:c r="O22" s="51" t="n">
        <x:v>0</x:v>
      </x:c>
      <x:c r="P22" s="51" t="n">
        <x:v>0</x:v>
      </x:c>
      <x:c r="Q22" s="47" t="str">
        <x:v>identity and condition evidence</x:v>
      </x:c>
      <x:c r="R22" s="47" t="str">
        <x:v>inaccessible / contaminated / degraded</x:v>
      </x:c>
      <x:c r="S22" s="47" t="str"/>
      <x:c r="T22" s="47" t="str"/>
      <x:c r="U22" s="47" t="str">
        <x:v>Governed node; variants not separated</x:v>
      </x:c>
      <x:c r="V22" s="49"/>
      <x:c r="W22" s="49"/>
    </x:row>
    <x:row r="23">
      <x:c r="A23" s="47" t="str">
        <x:v>S-WOODFUEL</x:v>
      </x:c>
      <x:c r="B23" s="47" t="str">
        <x:v>Dry biomass fuel</x:v>
      </x:c>
      <x:c r="C23" s="47" t="str">
        <x:v>Thermal</x:v>
      </x:c>
      <x:c r="D23" s="47" t="str">
        <x:v>Source</x:v>
      </x:c>
      <x:c r="E23" s="47" t="str">
        <x:v>H0</x:v>
      </x:c>
      <x:c r="F23" s="47" t="str">
        <x:v>Recoverable/harvested resource</x:v>
      </x:c>
      <x:c r="G23" s="47" t="str">
        <x:v>Usually</x:v>
      </x:c>
      <x:c r="H23" s="47" t="str">
        <x:v>Find / recover / harvest</x:v>
      </x:c>
      <x:c r="I23" s="47" t="str"/>
      <x:c r="J23" s="47" t="str">
        <x:v>find / inspect / recover</x:v>
      </x:c>
      <x:c r="K23" s="47" t="str"/>
      <x:c r="L23" s="47" t="str">
        <x:v>world</x:v>
      </x:c>
      <x:c r="M23" s="47" t="str">
        <x:v>observation / provenance</x:v>
      </x:c>
      <x:c r="N23" s="47" t="str">
        <x:v>variable</x:v>
      </x:c>
      <x:c r="O23" s="51" t="n">
        <x:v>0</x:v>
      </x:c>
      <x:c r="P23" s="51" t="n">
        <x:v>0</x:v>
      </x:c>
      <x:c r="Q23" s="47" t="str">
        <x:v>identity and condition evidence</x:v>
      </x:c>
      <x:c r="R23" s="47" t="str">
        <x:v>inaccessible / contaminated / degraded</x:v>
      </x:c>
      <x:c r="S23" s="47" t="str"/>
      <x:c r="T23" s="47" t="str"/>
      <x:c r="U23" s="47" t="str">
        <x:v>Governed node; variants not separated</x:v>
      </x:c>
      <x:c r="V23" s="49"/>
      <x:c r="W23" s="49"/>
    </x:row>
    <x:row r="24">
      <x:c r="A24" s="47" t="str">
        <x:v>S-FERROUS</x:v>
      </x:c>
      <x:c r="B24" s="47" t="str">
        <x:v>Ferrous salvage</x:v>
      </x:c>
      <x:c r="C24" s="47" t="str">
        <x:v>Salvage</x:v>
      </x:c>
      <x:c r="D24" s="47" t="str">
        <x:v>Source</x:v>
      </x:c>
      <x:c r="E24" s="47" t="str">
        <x:v>H0</x:v>
      </x:c>
      <x:c r="F24" s="47" t="str">
        <x:v>Recoverable/harvested resource</x:v>
      </x:c>
      <x:c r="G24" s="47" t="str">
        <x:v>Usually</x:v>
      </x:c>
      <x:c r="H24" s="47" t="str">
        <x:v>Find / recover / harvest</x:v>
      </x:c>
      <x:c r="I24" s="47" t="str"/>
      <x:c r="J24" s="47" t="str">
        <x:v>find / inspect / recover</x:v>
      </x:c>
      <x:c r="K24" s="47" t="str"/>
      <x:c r="L24" s="47" t="str">
        <x:v>world</x:v>
      </x:c>
      <x:c r="M24" s="47" t="str">
        <x:v>observation / provenance</x:v>
      </x:c>
      <x:c r="N24" s="47" t="str">
        <x:v>variable</x:v>
      </x:c>
      <x:c r="O24" s="51" t="n">
        <x:v>0</x:v>
      </x:c>
      <x:c r="P24" s="51" t="n">
        <x:v>0</x:v>
      </x:c>
      <x:c r="Q24" s="47" t="str">
        <x:v>identity and condition evidence</x:v>
      </x:c>
      <x:c r="R24" s="47" t="str">
        <x:v>inaccessible / contaminated / degraded</x:v>
      </x:c>
      <x:c r="S24" s="47" t="str"/>
      <x:c r="T24" s="47" t="str"/>
      <x:c r="U24" s="47" t="str">
        <x:v>Governed node; variants not separated</x:v>
      </x:c>
      <x:c r="V24" s="49"/>
      <x:c r="W24" s="49"/>
    </x:row>
    <x:row r="25">
      <x:c r="A25" s="47" t="str">
        <x:v>S-ALUMINUM</x:v>
      </x:c>
      <x:c r="B25" s="47" t="str">
        <x:v>Aircraft/marine aluminum sheet</x:v>
      </x:c>
      <x:c r="C25" s="47" t="str">
        <x:v>Salvage</x:v>
      </x:c>
      <x:c r="D25" s="47" t="str">
        <x:v>Source</x:v>
      </x:c>
      <x:c r="E25" s="47" t="str">
        <x:v>H0</x:v>
      </x:c>
      <x:c r="F25" s="47" t="str">
        <x:v>Recoverable/harvested resource</x:v>
      </x:c>
      <x:c r="G25" s="47" t="str">
        <x:v>Usually</x:v>
      </x:c>
      <x:c r="H25" s="47" t="str">
        <x:v>Find / recover / harvest</x:v>
      </x:c>
      <x:c r="I25" s="47" t="str"/>
      <x:c r="J25" s="47" t="str">
        <x:v>find / inspect / recover</x:v>
      </x:c>
      <x:c r="K25" s="47" t="str"/>
      <x:c r="L25" s="47" t="str">
        <x:v>world</x:v>
      </x:c>
      <x:c r="M25" s="47" t="str">
        <x:v>observation / provenance</x:v>
      </x:c>
      <x:c r="N25" s="47" t="str">
        <x:v>variable</x:v>
      </x:c>
      <x:c r="O25" s="51" t="n">
        <x:v>0</x:v>
      </x:c>
      <x:c r="P25" s="51" t="n">
        <x:v>0</x:v>
      </x:c>
      <x:c r="Q25" s="47" t="str">
        <x:v>identity and condition evidence</x:v>
      </x:c>
      <x:c r="R25" s="47" t="str">
        <x:v>inaccessible / contaminated / degraded</x:v>
      </x:c>
      <x:c r="S25" s="47" t="str"/>
      <x:c r="T25" s="47" t="str"/>
      <x:c r="U25" s="47" t="str">
        <x:v>Compressed family/assembly</x:v>
      </x:c>
      <x:c r="V25" s="49"/>
      <x:c r="W25" s="49"/>
    </x:row>
    <x:row r="26">
      <x:c r="A26" s="47" t="str">
        <x:v>S-COPPER</x:v>
      </x:c>
      <x:c r="B26" s="47" t="str">
        <x:v>Copper salvage</x:v>
      </x:c>
      <x:c r="C26" s="47" t="str">
        <x:v>Salvage</x:v>
      </x:c>
      <x:c r="D26" s="47" t="str">
        <x:v>Source</x:v>
      </x:c>
      <x:c r="E26" s="47" t="str">
        <x:v>H0</x:v>
      </x:c>
      <x:c r="F26" s="47" t="str">
        <x:v>Recoverable/harvested resource</x:v>
      </x:c>
      <x:c r="G26" s="47" t="str">
        <x:v>Usually</x:v>
      </x:c>
      <x:c r="H26" s="47" t="str">
        <x:v>Find / recover / harvest</x:v>
      </x:c>
      <x:c r="I26" s="47" t="str"/>
      <x:c r="J26" s="47" t="str">
        <x:v>find / inspect / recover</x:v>
      </x:c>
      <x:c r="K26" s="47" t="str"/>
      <x:c r="L26" s="47" t="str">
        <x:v>world</x:v>
      </x:c>
      <x:c r="M26" s="47" t="str">
        <x:v>observation / provenance</x:v>
      </x:c>
      <x:c r="N26" s="47" t="str">
        <x:v>variable</x:v>
      </x:c>
      <x:c r="O26" s="51" t="n">
        <x:v>0</x:v>
      </x:c>
      <x:c r="P26" s="51" t="n">
        <x:v>0</x:v>
      </x:c>
      <x:c r="Q26" s="47" t="str">
        <x:v>identity and condition evidence</x:v>
      </x:c>
      <x:c r="R26" s="47" t="str">
        <x:v>inaccessible / contaminated / degraded</x:v>
      </x:c>
      <x:c r="S26" s="47" t="str"/>
      <x:c r="T26" s="47" t="str"/>
      <x:c r="U26" s="47" t="str">
        <x:v>Governed node; variants not separated</x:v>
      </x:c>
      <x:c r="V26" s="49"/>
      <x:c r="W26" s="49"/>
    </x:row>
    <x:row r="27">
      <x:c r="A27" s="47" t="str">
        <x:v>S-BRASS</x:v>
      </x:c>
      <x:c r="B27" s="47" t="str">
        <x:v>Brass/valve salvage</x:v>
      </x:c>
      <x:c r="C27" s="47" t="str">
        <x:v>Salvage</x:v>
      </x:c>
      <x:c r="D27" s="47" t="str">
        <x:v>Source</x:v>
      </x:c>
      <x:c r="E27" s="47" t="str">
        <x:v>H0</x:v>
      </x:c>
      <x:c r="F27" s="47" t="str">
        <x:v>Recoverable/harvested resource</x:v>
      </x:c>
      <x:c r="G27" s="47" t="str">
        <x:v>Usually</x:v>
      </x:c>
      <x:c r="H27" s="47" t="str">
        <x:v>Find / recover / harvest</x:v>
      </x:c>
      <x:c r="I27" s="47" t="str"/>
      <x:c r="J27" s="47" t="str">
        <x:v>find / inspect / recover</x:v>
      </x:c>
      <x:c r="K27" s="47" t="str"/>
      <x:c r="L27" s="47" t="str">
        <x:v>world</x:v>
      </x:c>
      <x:c r="M27" s="47" t="str">
        <x:v>observation / provenance</x:v>
      </x:c>
      <x:c r="N27" s="47" t="str">
        <x:v>variable</x:v>
      </x:c>
      <x:c r="O27" s="51" t="n">
        <x:v>0</x:v>
      </x:c>
      <x:c r="P27" s="51" t="n">
        <x:v>0</x:v>
      </x:c>
      <x:c r="Q27" s="47" t="str">
        <x:v>identity and condition evidence</x:v>
      </x:c>
      <x:c r="R27" s="47" t="str">
        <x:v>inaccessible / contaminated / degraded</x:v>
      </x:c>
      <x:c r="S27" s="47" t="str"/>
      <x:c r="T27" s="47" t="str"/>
      <x:c r="U27" s="47" t="str">
        <x:v>Compressed family/assembly</x:v>
      </x:c>
      <x:c r="V27" s="49"/>
      <x:c r="W27" s="49"/>
    </x:row>
    <x:row r="28">
      <x:c r="A28" s="47" t="str">
        <x:v>S-FOUND-ROPE</x:v>
      </x:c>
      <x:c r="B28" s="47" t="str">
        <x:v>Found rope/webbing</x:v>
      </x:c>
      <x:c r="C28" s="47" t="str">
        <x:v>Salvage</x:v>
      </x:c>
      <x:c r="D28" s="47" t="str">
        <x:v>Source</x:v>
      </x:c>
      <x:c r="E28" s="47" t="str">
        <x:v>H0</x:v>
      </x:c>
      <x:c r="F28" s="47" t="str">
        <x:v>Recoverable/harvested resource</x:v>
      </x:c>
      <x:c r="G28" s="47" t="str">
        <x:v>Usually</x:v>
      </x:c>
      <x:c r="H28" s="47" t="str">
        <x:v>Find / recover / harvest</x:v>
      </x:c>
      <x:c r="I28" s="47" t="str"/>
      <x:c r="J28" s="47" t="str">
        <x:v>find / inspect / recover</x:v>
      </x:c>
      <x:c r="K28" s="47" t="str"/>
      <x:c r="L28" s="47" t="str">
        <x:v>world</x:v>
      </x:c>
      <x:c r="M28" s="47" t="str">
        <x:v>observation / provenance</x:v>
      </x:c>
      <x:c r="N28" s="47" t="str">
        <x:v>variable</x:v>
      </x:c>
      <x:c r="O28" s="51" t="n">
        <x:v>0</x:v>
      </x:c>
      <x:c r="P28" s="51" t="n">
        <x:v>0</x:v>
      </x:c>
      <x:c r="Q28" s="47" t="str">
        <x:v>identity and condition evidence</x:v>
      </x:c>
      <x:c r="R28" s="47" t="str">
        <x:v>inaccessible / contaminated / degraded</x:v>
      </x:c>
      <x:c r="S28" s="47" t="str"/>
      <x:c r="T28" s="47" t="str"/>
      <x:c r="U28" s="47" t="str">
        <x:v>Compressed family/assembly</x:v>
      </x:c>
      <x:c r="V28" s="49"/>
      <x:c r="W28" s="49"/>
    </x:row>
    <x:row r="29">
      <x:c r="A29" s="47" t="str">
        <x:v>S-CANVAS</x:v>
      </x:c>
      <x:c r="B29" s="47" t="str">
        <x:v>Canvas/raft fabric</x:v>
      </x:c>
      <x:c r="C29" s="47" t="str">
        <x:v>Salvage</x:v>
      </x:c>
      <x:c r="D29" s="47" t="str">
        <x:v>Source</x:v>
      </x:c>
      <x:c r="E29" s="47" t="str">
        <x:v>H0</x:v>
      </x:c>
      <x:c r="F29" s="47" t="str">
        <x:v>Recoverable/harvested resource</x:v>
      </x:c>
      <x:c r="G29" s="47" t="str">
        <x:v>Usually</x:v>
      </x:c>
      <x:c r="H29" s="47" t="str">
        <x:v>Find / recover / harvest</x:v>
      </x:c>
      <x:c r="I29" s="47" t="str"/>
      <x:c r="J29" s="47" t="str">
        <x:v>find / inspect / recover</x:v>
      </x:c>
      <x:c r="K29" s="47" t="str"/>
      <x:c r="L29" s="47" t="str">
        <x:v>world</x:v>
      </x:c>
      <x:c r="M29" s="47" t="str">
        <x:v>observation / provenance</x:v>
      </x:c>
      <x:c r="N29" s="47" t="str">
        <x:v>variable</x:v>
      </x:c>
      <x:c r="O29" s="51" t="n">
        <x:v>0</x:v>
      </x:c>
      <x:c r="P29" s="51" t="n">
        <x:v>0</x:v>
      </x:c>
      <x:c r="Q29" s="47" t="str">
        <x:v>identity and condition evidence</x:v>
      </x:c>
      <x:c r="R29" s="47" t="str">
        <x:v>inaccessible / contaminated / degraded</x:v>
      </x:c>
      <x:c r="S29" s="47" t="str"/>
      <x:c r="T29" s="47" t="str"/>
      <x:c r="U29" s="47" t="str">
        <x:v>Compressed family/assembly</x:v>
      </x:c>
      <x:c r="V29" s="49"/>
      <x:c r="W29" s="49"/>
    </x:row>
    <x:row r="30">
      <x:c r="A30" s="47" t="str">
        <x:v>S-GLASS</x:v>
      </x:c>
      <x:c r="B30" s="47" t="str">
        <x:v>Glass/optics</x:v>
      </x:c>
      <x:c r="C30" s="47" t="str">
        <x:v>Salvage</x:v>
      </x:c>
      <x:c r="D30" s="47" t="str">
        <x:v>Source</x:v>
      </x:c>
      <x:c r="E30" s="47" t="str">
        <x:v>H0</x:v>
      </x:c>
      <x:c r="F30" s="47" t="str">
        <x:v>Recoverable/harvested resource</x:v>
      </x:c>
      <x:c r="G30" s="47" t="str">
        <x:v>Usually</x:v>
      </x:c>
      <x:c r="H30" s="47" t="str">
        <x:v>Find / recover / harvest</x:v>
      </x:c>
      <x:c r="I30" s="47" t="str"/>
      <x:c r="J30" s="47" t="str">
        <x:v>find / inspect / recover</x:v>
      </x:c>
      <x:c r="K30" s="47" t="str"/>
      <x:c r="L30" s="47" t="str">
        <x:v>world</x:v>
      </x:c>
      <x:c r="M30" s="47" t="str">
        <x:v>observation / provenance</x:v>
      </x:c>
      <x:c r="N30" s="47" t="str">
        <x:v>variable</x:v>
      </x:c>
      <x:c r="O30" s="51" t="n">
        <x:v>0</x:v>
      </x:c>
      <x:c r="P30" s="51" t="n">
        <x:v>0</x:v>
      </x:c>
      <x:c r="Q30" s="47" t="str">
        <x:v>identity and condition evidence</x:v>
      </x:c>
      <x:c r="R30" s="47" t="str">
        <x:v>inaccessible / contaminated / degraded</x:v>
      </x:c>
      <x:c r="S30" s="47" t="str"/>
      <x:c r="T30" s="47" t="str"/>
      <x:c r="U30" s="47" t="str">
        <x:v>Compressed family/assembly</x:v>
      </x:c>
      <x:c r="V30" s="49"/>
      <x:c r="W30" s="49"/>
    </x:row>
    <x:row r="31">
      <x:c r="A31" s="47" t="str">
        <x:v>S-RUBBER</x:v>
      </x:c>
      <x:c r="B31" s="47" t="str">
        <x:v>Rubber/hose/gasket</x:v>
      </x:c>
      <x:c r="C31" s="47" t="str">
        <x:v>Salvage</x:v>
      </x:c>
      <x:c r="D31" s="47" t="str">
        <x:v>Source</x:v>
      </x:c>
      <x:c r="E31" s="47" t="str">
        <x:v>H0</x:v>
      </x:c>
      <x:c r="F31" s="47" t="str">
        <x:v>Recoverable/harvested resource</x:v>
      </x:c>
      <x:c r="G31" s="47" t="str">
        <x:v>Usually</x:v>
      </x:c>
      <x:c r="H31" s="47" t="str">
        <x:v>Find / recover / harvest</x:v>
      </x:c>
      <x:c r="I31" s="47" t="str"/>
      <x:c r="J31" s="47" t="str">
        <x:v>find / inspect / recover</x:v>
      </x:c>
      <x:c r="K31" s="47" t="str"/>
      <x:c r="L31" s="47" t="str">
        <x:v>world</x:v>
      </x:c>
      <x:c r="M31" s="47" t="str">
        <x:v>observation / provenance</x:v>
      </x:c>
      <x:c r="N31" s="47" t="str">
        <x:v>variable</x:v>
      </x:c>
      <x:c r="O31" s="51" t="n">
        <x:v>0</x:v>
      </x:c>
      <x:c r="P31" s="51" t="n">
        <x:v>0</x:v>
      </x:c>
      <x:c r="Q31" s="47" t="str">
        <x:v>identity and condition evidence</x:v>
      </x:c>
      <x:c r="R31" s="47" t="str">
        <x:v>inaccessible / contaminated / degraded</x:v>
      </x:c>
      <x:c r="S31" s="47" t="str"/>
      <x:c r="T31" s="47" t="str"/>
      <x:c r="U31" s="47" t="str">
        <x:v>Compressed family/assembly</x:v>
      </x:c>
      <x:c r="V31" s="49"/>
      <x:c r="W31" s="49"/>
    </x:row>
    <x:row r="32">
      <x:c r="A32" s="47" t="str">
        <x:v>S-POLYMER</x:v>
      </x:c>
      <x:c r="B32" s="47" t="str">
        <x:v>Polymer/container stock</x:v>
      </x:c>
      <x:c r="C32" s="47" t="str">
        <x:v>Salvage</x:v>
      </x:c>
      <x:c r="D32" s="47" t="str">
        <x:v>Source</x:v>
      </x:c>
      <x:c r="E32" s="47" t="str">
        <x:v>H0</x:v>
      </x:c>
      <x:c r="F32" s="47" t="str">
        <x:v>Recoverable/harvested resource</x:v>
      </x:c>
      <x:c r="G32" s="47" t="str">
        <x:v>Usually</x:v>
      </x:c>
      <x:c r="H32" s="47" t="str">
        <x:v>Find / recover / harvest</x:v>
      </x:c>
      <x:c r="I32" s="47" t="str"/>
      <x:c r="J32" s="47" t="str">
        <x:v>find / inspect / recover</x:v>
      </x:c>
      <x:c r="K32" s="47" t="str"/>
      <x:c r="L32" s="47" t="str">
        <x:v>world</x:v>
      </x:c>
      <x:c r="M32" s="47" t="str">
        <x:v>observation / provenance</x:v>
      </x:c>
      <x:c r="N32" s="47" t="str">
        <x:v>variable</x:v>
      </x:c>
      <x:c r="O32" s="51" t="n">
        <x:v>0</x:v>
      </x:c>
      <x:c r="P32" s="51" t="n">
        <x:v>0</x:v>
      </x:c>
      <x:c r="Q32" s="47" t="str">
        <x:v>identity and condition evidence</x:v>
      </x:c>
      <x:c r="R32" s="47" t="str">
        <x:v>inaccessible / contaminated / degraded</x:v>
      </x:c>
      <x:c r="S32" s="47" t="str"/>
      <x:c r="T32" s="47" t="str"/>
      <x:c r="U32" s="47" t="str">
        <x:v>Compressed family/assembly</x:v>
      </x:c>
      <x:c r="V32" s="49"/>
      <x:c r="W32" s="49"/>
    </x:row>
    <x:row r="33">
      <x:c r="A33" s="47" t="str">
        <x:v>S-BOTTLE</x:v>
      </x:c>
      <x:c r="B33" s="47" t="str">
        <x:v>Recognized bottle/container</x:v>
      </x:c>
      <x:c r="C33" s="47" t="str">
        <x:v>Salvage</x:v>
      </x:c>
      <x:c r="D33" s="47" t="str">
        <x:v>Source</x:v>
      </x:c>
      <x:c r="E33" s="47" t="str">
        <x:v>H0</x:v>
      </x:c>
      <x:c r="F33" s="47" t="str">
        <x:v>Recoverable/harvested resource</x:v>
      </x:c>
      <x:c r="G33" s="47" t="str">
        <x:v>Usually</x:v>
      </x:c>
      <x:c r="H33" s="47" t="str">
        <x:v>Find / recover / harvest</x:v>
      </x:c>
      <x:c r="I33" s="47" t="str"/>
      <x:c r="J33" s="47" t="str">
        <x:v>find / inspect / recover</x:v>
      </x:c>
      <x:c r="K33" s="47" t="str"/>
      <x:c r="L33" s="47" t="str">
        <x:v>world</x:v>
      </x:c>
      <x:c r="M33" s="47" t="str">
        <x:v>observation / provenance</x:v>
      </x:c>
      <x:c r="N33" s="47" t="str">
        <x:v>variable</x:v>
      </x:c>
      <x:c r="O33" s="51" t="n">
        <x:v>0</x:v>
      </x:c>
      <x:c r="P33" s="51" t="n">
        <x:v>0</x:v>
      </x:c>
      <x:c r="Q33" s="47" t="str">
        <x:v>identity and condition evidence</x:v>
      </x:c>
      <x:c r="R33" s="47" t="str">
        <x:v>inaccessible / contaminated / degraded</x:v>
      </x:c>
      <x:c r="S33" s="47" t="str"/>
      <x:c r="T33" s="47" t="str"/>
      <x:c r="U33" s="47" t="str">
        <x:v>Compressed family/assembly</x:v>
      </x:c>
      <x:c r="V33" s="49"/>
      <x:c r="W33" s="49"/>
    </x:row>
    <x:row r="34">
      <x:c r="A34" s="47" t="str">
        <x:v>S-PAN</x:v>
      </x:c>
      <x:c r="B34" s="47" t="str">
        <x:v>Recognized food-grade pan</x:v>
      </x:c>
      <x:c r="C34" s="47" t="str">
        <x:v>Salvage</x:v>
      </x:c>
      <x:c r="D34" s="47" t="str">
        <x:v>Source</x:v>
      </x:c>
      <x:c r="E34" s="47" t="str">
        <x:v>H0</x:v>
      </x:c>
      <x:c r="F34" s="47" t="str">
        <x:v>Recoverable/harvested resource</x:v>
      </x:c>
      <x:c r="G34" s="47" t="str">
        <x:v>Usually</x:v>
      </x:c>
      <x:c r="H34" s="47" t="str">
        <x:v>Find / recover / harvest</x:v>
      </x:c>
      <x:c r="I34" s="47" t="str"/>
      <x:c r="J34" s="47" t="str">
        <x:v>find / inspect / recover</x:v>
      </x:c>
      <x:c r="K34" s="47" t="str"/>
      <x:c r="L34" s="47" t="str">
        <x:v>world</x:v>
      </x:c>
      <x:c r="M34" s="47" t="str">
        <x:v>observation / provenance</x:v>
      </x:c>
      <x:c r="N34" s="47" t="str">
        <x:v>variable</x:v>
      </x:c>
      <x:c r="O34" s="51" t="n">
        <x:v>0</x:v>
      </x:c>
      <x:c r="P34" s="51" t="n">
        <x:v>0</x:v>
      </x:c>
      <x:c r="Q34" s="47" t="str">
        <x:v>identity and condition evidence</x:v>
      </x:c>
      <x:c r="R34" s="47" t="str">
        <x:v>inaccessible / contaminated / degraded</x:v>
      </x:c>
      <x:c r="S34" s="47" t="str"/>
      <x:c r="T34" s="47" t="str"/>
      <x:c r="U34" s="47" t="str">
        <x:v>Governed node; variants not separated</x:v>
      </x:c>
      <x:c r="V34" s="49"/>
      <x:c r="W34" s="49"/>
    </x:row>
    <x:row r="35">
      <x:c r="A35" s="47" t="str">
        <x:v>S-FASTENER</x:v>
      </x:c>
      <x:c r="B35" s="47" t="str">
        <x:v>Recovered fasteners</x:v>
      </x:c>
      <x:c r="C35" s="47" t="str">
        <x:v>Salvage</x:v>
      </x:c>
      <x:c r="D35" s="47" t="str">
        <x:v>Source</x:v>
      </x:c>
      <x:c r="E35" s="47" t="str">
        <x:v>H0</x:v>
      </x:c>
      <x:c r="F35" s="47" t="str">
        <x:v>Recoverable/harvested resource</x:v>
      </x:c>
      <x:c r="G35" s="47" t="str">
        <x:v>Usually</x:v>
      </x:c>
      <x:c r="H35" s="47" t="str">
        <x:v>Find / recover / harvest</x:v>
      </x:c>
      <x:c r="I35" s="47" t="str"/>
      <x:c r="J35" s="47" t="str">
        <x:v>find / inspect / recover</x:v>
      </x:c>
      <x:c r="K35" s="47" t="str"/>
      <x:c r="L35" s="47" t="str">
        <x:v>world</x:v>
      </x:c>
      <x:c r="M35" s="47" t="str">
        <x:v>observation / provenance</x:v>
      </x:c>
      <x:c r="N35" s="47" t="str">
        <x:v>variable</x:v>
      </x:c>
      <x:c r="O35" s="51" t="n">
        <x:v>0</x:v>
      </x:c>
      <x:c r="P35" s="51" t="n">
        <x:v>0</x:v>
      </x:c>
      <x:c r="Q35" s="47" t="str">
        <x:v>identity and condition evidence</x:v>
      </x:c>
      <x:c r="R35" s="47" t="str">
        <x:v>inaccessible / contaminated / degraded</x:v>
      </x:c>
      <x:c r="S35" s="47" t="str"/>
      <x:c r="T35" s="47" t="str"/>
      <x:c r="U35" s="47" t="str">
        <x:v>Governed node; variants not separated</x:v>
      </x:c>
      <x:c r="V35" s="49"/>
      <x:c r="W35" s="49"/>
    </x:row>
    <x:row r="36">
      <x:c r="A36" s="47" t="str">
        <x:v>S-BEARING</x:v>
      </x:c>
      <x:c r="B36" s="47" t="str">
        <x:v>Bearing/pulley/gear module</x:v>
      </x:c>
      <x:c r="C36" s="47" t="str">
        <x:v>Salvage</x:v>
      </x:c>
      <x:c r="D36" s="47" t="str">
        <x:v>Source</x:v>
      </x:c>
      <x:c r="E36" s="47" t="str">
        <x:v>H0</x:v>
      </x:c>
      <x:c r="F36" s="47" t="str">
        <x:v>Recoverable/harvested resource</x:v>
      </x:c>
      <x:c r="G36" s="47" t="str">
        <x:v>Usually</x:v>
      </x:c>
      <x:c r="H36" s="47" t="str">
        <x:v>Find / recover / harvest</x:v>
      </x:c>
      <x:c r="I36" s="47" t="str"/>
      <x:c r="J36" s="47" t="str">
        <x:v>find / inspect / recover</x:v>
      </x:c>
      <x:c r="K36" s="47" t="str"/>
      <x:c r="L36" s="47" t="str">
        <x:v>world</x:v>
      </x:c>
      <x:c r="M36" s="47" t="str">
        <x:v>observation / provenance</x:v>
      </x:c>
      <x:c r="N36" s="47" t="str">
        <x:v>variable</x:v>
      </x:c>
      <x:c r="O36" s="51" t="n">
        <x:v>0</x:v>
      </x:c>
      <x:c r="P36" s="51" t="n">
        <x:v>0</x:v>
      </x:c>
      <x:c r="Q36" s="47" t="str">
        <x:v>identity and condition evidence</x:v>
      </x:c>
      <x:c r="R36" s="47" t="str">
        <x:v>inaccessible / contaminated / degraded</x:v>
      </x:c>
      <x:c r="S36" s="47" t="str"/>
      <x:c r="T36" s="47" t="str"/>
      <x:c r="U36" s="47" t="str">
        <x:v>Compressed family/assembly</x:v>
      </x:c>
      <x:c r="V36" s="49"/>
      <x:c r="W36" s="49"/>
    </x:row>
    <x:row r="37">
      <x:c r="A37" s="47" t="str">
        <x:v>S-ENGINE</x:v>
      </x:c>
      <x:c r="B37" s="47" t="str">
        <x:v>Repairable engine/motor</x:v>
      </x:c>
      <x:c r="C37" s="47" t="str">
        <x:v>Salvage</x:v>
      </x:c>
      <x:c r="D37" s="47" t="str">
        <x:v>Source</x:v>
      </x:c>
      <x:c r="E37" s="47" t="str">
        <x:v>H0</x:v>
      </x:c>
      <x:c r="F37" s="47" t="str">
        <x:v>Recoverable/harvested resource</x:v>
      </x:c>
      <x:c r="G37" s="47" t="str">
        <x:v>Usually</x:v>
      </x:c>
      <x:c r="H37" s="47" t="str">
        <x:v>Find / recover / harvest</x:v>
      </x:c>
      <x:c r="I37" s="47" t="str"/>
      <x:c r="J37" s="47" t="str">
        <x:v>find / inspect / recover</x:v>
      </x:c>
      <x:c r="K37" s="47" t="str"/>
      <x:c r="L37" s="47" t="str">
        <x:v>world</x:v>
      </x:c>
      <x:c r="M37" s="47" t="str">
        <x:v>observation / provenance</x:v>
      </x:c>
      <x:c r="N37" s="47" t="str">
        <x:v>variable</x:v>
      </x:c>
      <x:c r="O37" s="51" t="n">
        <x:v>0</x:v>
      </x:c>
      <x:c r="P37" s="51" t="n">
        <x:v>0</x:v>
      </x:c>
      <x:c r="Q37" s="47" t="str">
        <x:v>identity and condition evidence</x:v>
      </x:c>
      <x:c r="R37" s="47" t="str">
        <x:v>inaccessible / contaminated / degraded</x:v>
      </x:c>
      <x:c r="S37" s="47" t="str"/>
      <x:c r="T37" s="47" t="str"/>
      <x:c r="U37" s="47" t="str">
        <x:v>Compressed family/assembly</x:v>
      </x:c>
      <x:c r="V37" s="49"/>
      <x:c r="W37" s="49"/>
    </x:row>
    <x:row r="38">
      <x:c r="A38" s="47" t="str">
        <x:v>S-BATTERY</x:v>
      </x:c>
      <x:c r="B38" s="47" t="str">
        <x:v>Battery/cell</x:v>
      </x:c>
      <x:c r="C38" s="47" t="str">
        <x:v>Electrical</x:v>
      </x:c>
      <x:c r="D38" s="47" t="str">
        <x:v>Source</x:v>
      </x:c>
      <x:c r="E38" s="47" t="str">
        <x:v>H0</x:v>
      </x:c>
      <x:c r="F38" s="47" t="str">
        <x:v>Recoverable/harvested resource</x:v>
      </x:c>
      <x:c r="G38" s="47" t="str">
        <x:v>Usually</x:v>
      </x:c>
      <x:c r="H38" s="47" t="str">
        <x:v>Find / recover / harvest</x:v>
      </x:c>
      <x:c r="I38" s="47" t="str"/>
      <x:c r="J38" s="47" t="str">
        <x:v>find / inspect / recover</x:v>
      </x:c>
      <x:c r="K38" s="47" t="str"/>
      <x:c r="L38" s="47" t="str">
        <x:v>world</x:v>
      </x:c>
      <x:c r="M38" s="47" t="str">
        <x:v>observation / provenance</x:v>
      </x:c>
      <x:c r="N38" s="47" t="str">
        <x:v>variable</x:v>
      </x:c>
      <x:c r="O38" s="51" t="n">
        <x:v>0</x:v>
      </x:c>
      <x:c r="P38" s="51" t="n">
        <x:v>0</x:v>
      </x:c>
      <x:c r="Q38" s="47" t="str">
        <x:v>identity and condition evidence</x:v>
      </x:c>
      <x:c r="R38" s="47" t="str">
        <x:v>inaccessible / contaminated / degraded</x:v>
      </x:c>
      <x:c r="S38" s="47" t="str"/>
      <x:c r="T38" s="47" t="str"/>
      <x:c r="U38" s="47" t="str">
        <x:v>Compressed family/assembly</x:v>
      </x:c>
      <x:c r="V38" s="49"/>
      <x:c r="W38" s="49"/>
    </x:row>
    <x:row r="39">
      <x:c r="A39" s="47" t="str">
        <x:v>S-WIRE</x:v>
      </x:c>
      <x:c r="B39" s="47" t="str">
        <x:v>Wire/switch/fuse</x:v>
      </x:c>
      <x:c r="C39" s="47" t="str">
        <x:v>Electrical</x:v>
      </x:c>
      <x:c r="D39" s="47" t="str">
        <x:v>Source</x:v>
      </x:c>
      <x:c r="E39" s="47" t="str">
        <x:v>H0</x:v>
      </x:c>
      <x:c r="F39" s="47" t="str">
        <x:v>Recoverable/harvested resource</x:v>
      </x:c>
      <x:c r="G39" s="47" t="str">
        <x:v>Usually</x:v>
      </x:c>
      <x:c r="H39" s="47" t="str">
        <x:v>Find / recover / harvest</x:v>
      </x:c>
      <x:c r="I39" s="47" t="str"/>
      <x:c r="J39" s="47" t="str">
        <x:v>find / inspect / recover</x:v>
      </x:c>
      <x:c r="K39" s="47" t="str"/>
      <x:c r="L39" s="47" t="str">
        <x:v>world</x:v>
      </x:c>
      <x:c r="M39" s="47" t="str">
        <x:v>observation / provenance</x:v>
      </x:c>
      <x:c r="N39" s="47" t="str">
        <x:v>variable</x:v>
      </x:c>
      <x:c r="O39" s="51" t="n">
        <x:v>0</x:v>
      </x:c>
      <x:c r="P39" s="51" t="n">
        <x:v>0</x:v>
      </x:c>
      <x:c r="Q39" s="47" t="str">
        <x:v>identity and condition evidence</x:v>
      </x:c>
      <x:c r="R39" s="47" t="str">
        <x:v>inaccessible / contaminated / degraded</x:v>
      </x:c>
      <x:c r="S39" s="47" t="str"/>
      <x:c r="T39" s="47" t="str"/>
      <x:c r="U39" s="47" t="str">
        <x:v>Compressed family/assembly</x:v>
      </x:c>
      <x:c r="V39" s="49"/>
      <x:c r="W39" s="49"/>
    </x:row>
    <x:row r="40">
      <x:c r="A40" s="47" t="str">
        <x:v>S-RADIO</x:v>
      </x:c>
      <x:c r="B40" s="47" t="str">
        <x:v>Radio/electronic core</x:v>
      </x:c>
      <x:c r="C40" s="47" t="str">
        <x:v>Electrical</x:v>
      </x:c>
      <x:c r="D40" s="47" t="str">
        <x:v>Source</x:v>
      </x:c>
      <x:c r="E40" s="47" t="str">
        <x:v>H0</x:v>
      </x:c>
      <x:c r="F40" s="47" t="str">
        <x:v>Recoverable/harvested resource</x:v>
      </x:c>
      <x:c r="G40" s="47" t="str">
        <x:v>Usually</x:v>
      </x:c>
      <x:c r="H40" s="47" t="str">
        <x:v>Find / recover / harvest</x:v>
      </x:c>
      <x:c r="I40" s="47" t="str"/>
      <x:c r="J40" s="47" t="str">
        <x:v>find / inspect / recover</x:v>
      </x:c>
      <x:c r="K40" s="47" t="str"/>
      <x:c r="L40" s="47" t="str">
        <x:v>world</x:v>
      </x:c>
      <x:c r="M40" s="47" t="str">
        <x:v>observation / provenance</x:v>
      </x:c>
      <x:c r="N40" s="47" t="str">
        <x:v>variable</x:v>
      </x:c>
      <x:c r="O40" s="51" t="n">
        <x:v>0</x:v>
      </x:c>
      <x:c r="P40" s="51" t="n">
        <x:v>0</x:v>
      </x:c>
      <x:c r="Q40" s="47" t="str">
        <x:v>identity and condition evidence</x:v>
      </x:c>
      <x:c r="R40" s="47" t="str">
        <x:v>inaccessible / contaminated / degraded</x:v>
      </x:c>
      <x:c r="S40" s="47" t="str"/>
      <x:c r="T40" s="47" t="str"/>
      <x:c r="U40" s="47" t="str">
        <x:v>Compressed family/assembly</x:v>
      </x:c>
      <x:c r="V40" s="49"/>
      <x:c r="W40" s="49"/>
    </x:row>
    <x:row r="41">
      <x:c r="A41" s="47" t="str">
        <x:v>S-MEDICAL</x:v>
      </x:c>
      <x:c r="B41" s="47" t="str">
        <x:v>Sealed medical supply</x:v>
      </x:c>
      <x:c r="C41" s="47" t="str">
        <x:v>Medicine</x:v>
      </x:c>
      <x:c r="D41" s="47" t="str">
        <x:v>Source</x:v>
      </x:c>
      <x:c r="E41" s="47" t="str">
        <x:v>H0</x:v>
      </x:c>
      <x:c r="F41" s="47" t="str">
        <x:v>Recoverable/harvested resource</x:v>
      </x:c>
      <x:c r="G41" s="47" t="str">
        <x:v>Usually</x:v>
      </x:c>
      <x:c r="H41" s="47" t="str">
        <x:v>Find / recover / harvest</x:v>
      </x:c>
      <x:c r="I41" s="47" t="str"/>
      <x:c r="J41" s="47" t="str">
        <x:v>find / inspect / recover</x:v>
      </x:c>
      <x:c r="K41" s="47" t="str"/>
      <x:c r="L41" s="47" t="str">
        <x:v>world</x:v>
      </x:c>
      <x:c r="M41" s="47" t="str">
        <x:v>observation / provenance</x:v>
      </x:c>
      <x:c r="N41" s="47" t="str">
        <x:v>variable</x:v>
      </x:c>
      <x:c r="O41" s="51" t="n">
        <x:v>0</x:v>
      </x:c>
      <x:c r="P41" s="51" t="n">
        <x:v>0</x:v>
      </x:c>
      <x:c r="Q41" s="47" t="str">
        <x:v>identity and condition evidence</x:v>
      </x:c>
      <x:c r="R41" s="47" t="str">
        <x:v>inaccessible / contaminated / degraded</x:v>
      </x:c>
      <x:c r="S41" s="47" t="str"/>
      <x:c r="T41" s="47" t="str"/>
      <x:c r="U41" s="47" t="str">
        <x:v>Governed node; variants not separated</x:v>
      </x:c>
      <x:c r="V41" s="49"/>
      <x:c r="W41" s="49"/>
    </x:row>
    <x:row r="42">
      <x:c r="A42" s="47" t="str">
        <x:v>S-MANUAL</x:v>
      </x:c>
      <x:c r="B42" s="47" t="str">
        <x:v>Manual/label/diagram</x:v>
      </x:c>
      <x:c r="C42" s="47" t="str">
        <x:v>Knowledge</x:v>
      </x:c>
      <x:c r="D42" s="47" t="str">
        <x:v>Source</x:v>
      </x:c>
      <x:c r="E42" s="47" t="str">
        <x:v>H0</x:v>
      </x:c>
      <x:c r="F42" s="47" t="str">
        <x:v>Knowledge carrier</x:v>
      </x:c>
      <x:c r="G42" s="47" t="str">
        <x:v>Usually</x:v>
      </x:c>
      <x:c r="H42" s="47" t="str">
        <x:v>Find / recover / harvest</x:v>
      </x:c>
      <x:c r="I42" s="47" t="str"/>
      <x:c r="J42" s="47" t="str">
        <x:v>find / inspect / recover</x:v>
      </x:c>
      <x:c r="K42" s="47" t="str"/>
      <x:c r="L42" s="47" t="str">
        <x:v>world</x:v>
      </x:c>
      <x:c r="M42" s="47" t="str">
        <x:v>observation / provenance</x:v>
      </x:c>
      <x:c r="N42" s="47" t="str">
        <x:v>variable</x:v>
      </x:c>
      <x:c r="O42" s="51" t="n">
        <x:v>0</x:v>
      </x:c>
      <x:c r="P42" s="51" t="n">
        <x:v>0</x:v>
      </x:c>
      <x:c r="Q42" s="47" t="str">
        <x:v>identity and condition evidence</x:v>
      </x:c>
      <x:c r="R42" s="47" t="str">
        <x:v>inaccessible / contaminated / degraded</x:v>
      </x:c>
      <x:c r="S42" s="47" t="str"/>
      <x:c r="T42" s="47" t="str"/>
      <x:c r="U42" s="47" t="str">
        <x:v>Compressed family/assembly</x:v>
      </x:c>
      <x:c r="V42" s="49"/>
      <x:c r="W42" s="49"/>
    </x:row>
    <x:row r="43">
      <x:c r="A43" s="47" t="str">
        <x:v>S-ANOMALY</x:v>
      </x:c>
      <x:c r="B43" s="47" t="str">
        <x:v>Anomaly matter/evidence</x:v>
      </x:c>
      <x:c r="C43" s="47" t="str">
        <x:v>Anomaly</x:v>
      </x:c>
      <x:c r="D43" s="47" t="str">
        <x:v>Source</x:v>
      </x:c>
      <x:c r="E43" s="47" t="str">
        <x:v>H0</x:v>
      </x:c>
      <x:c r="F43" s="47" t="str">
        <x:v>Recoverable/harvested resource</x:v>
      </x:c>
      <x:c r="G43" s="47" t="str">
        <x:v>Usually</x:v>
      </x:c>
      <x:c r="H43" s="47" t="str">
        <x:v>Find / recover / harvest</x:v>
      </x:c>
      <x:c r="I43" s="47" t="str"/>
      <x:c r="J43" s="47" t="str">
        <x:v>find / inspect / recover</x:v>
      </x:c>
      <x:c r="K43" s="47" t="str"/>
      <x:c r="L43" s="47" t="str">
        <x:v>world</x:v>
      </x:c>
      <x:c r="M43" s="47" t="str">
        <x:v>observation / provenance</x:v>
      </x:c>
      <x:c r="N43" s="47" t="str">
        <x:v>variable</x:v>
      </x:c>
      <x:c r="O43" s="51" t="n">
        <x:v>0</x:v>
      </x:c>
      <x:c r="P43" s="51" t="n">
        <x:v>0</x:v>
      </x:c>
      <x:c r="Q43" s="47" t="str">
        <x:v>identity and condition evidence</x:v>
      </x:c>
      <x:c r="R43" s="47" t="str">
        <x:v>inaccessible / contaminated / degraded</x:v>
      </x:c>
      <x:c r="S43" s="47" t="str"/>
      <x:c r="T43" s="47" t="str"/>
      <x:c r="U43" s="47" t="str">
        <x:v>Compressed family/assembly</x:v>
      </x:c>
      <x:c r="V43" s="49"/>
      <x:c r="W43" s="49"/>
    </x:row>
    <x:row r="44">
      <x:c r="A44" s="47" t="str">
        <x:v>P-SHARP-EDGE</x:v>
      </x:c>
      <x:c r="B44" s="47" t="str">
        <x:v>Sharp edge/point</x:v>
      </x:c>
      <x:c r="C44" s="47" t="str">
        <x:v>Tools</x:v>
      </x:c>
      <x:c r="D44" s="47" t="str">
        <x:v>Processed</x:v>
      </x:c>
      <x:c r="E44" s="47" t="str">
        <x:v>H0</x:v>
      </x:c>
      <x:c r="F44" s="47" t="str">
        <x:v>Processed material/consumable</x:v>
      </x:c>
      <x:c r="G44" s="47" t="str">
        <x:v>Yes</x:v>
      </x:c>
      <x:c r="H44" s="47" t="str">
        <x:v>Make / assemble / qualify</x:v>
      </x:c>
      <x:c r="I44" s="47" t="str">
        <x:v>S-STONE</x:v>
      </x:c>
      <x:c r="J44" s="47" t="str">
        <x:v>strike / fracture / inspect</x:v>
      </x:c>
      <x:c r="K44" s="47" t="str">
        <x:v>T-HAMMERSTONE</x:v>
      </x:c>
      <x:c r="L44" s="47" t="str">
        <x:v>work mat</x:v>
      </x:c>
      <x:c r="M44" s="47" t="str">
        <x:v>stone / edge</x:v>
      </x:c>
      <x:c r="N44" s="47" t="str">
        <x:v>dexterity</x:v>
      </x:c>
      <x:c r="O44" s="51" t="n">
        <x:v>10</x:v>
      </x:c>
      <x:c r="P44" s="51" t="n">
        <x:v>0</x:v>
      </x:c>
      <x:c r="Q44" s="47" t="str">
        <x:v>controlled cut test</x:v>
      </x:c>
      <x:c r="R44" s="47" t="str">
        <x:v>cut hand / poor edge</x:v>
      </x:c>
      <x:c r="S44" s="47" t="str"/>
      <x:c r="T44" s="47" t="str"/>
      <x:c r="U44" s="47" t="str">
        <x:v>Compressed family/assembly</x:v>
      </x:c>
      <x:c r="V44" s="49"/>
      <x:c r="W44" s="49"/>
    </x:row>
    <x:row r="45">
      <x:c r="A45" s="47" t="str">
        <x:v>T-HAMMERSTONE</x:v>
      </x:c>
      <x:c r="B45" s="47" t="str">
        <x:v>Hammer stone</x:v>
      </x:c>
      <x:c r="C45" s="47" t="str">
        <x:v>Tools</x:v>
      </x:c>
      <x:c r="D45" s="47" t="str">
        <x:v>Tool</x:v>
      </x:c>
      <x:c r="E45" s="47" t="str">
        <x:v>H0</x:v>
      </x:c>
      <x:c r="F45" s="47" t="str">
        <x:v>Carryable tool/equipment</x:v>
      </x:c>
      <x:c r="G45" s="47" t="str">
        <x:v>Yes</x:v>
      </x:c>
      <x:c r="H45" s="47" t="str">
        <x:v>Make / assemble / qualify</x:v>
      </x:c>
      <x:c r="I45" s="47" t="str">
        <x:v>S-STONE</x:v>
      </x:c>
      <x:c r="J45" s="47" t="str">
        <x:v>select / grip / strike</x:v>
      </x:c>
      <x:c r="K45" s="47" t="str"/>
      <x:c r="L45" s="47" t="str">
        <x:v>world</x:v>
      </x:c>
      <x:c r="M45" s="47" t="str">
        <x:v>stone / striking</x:v>
      </x:c>
      <x:c r="N45" s="47" t="str">
        <x:v>grip</x:v>
      </x:c>
      <x:c r="O45" s="51" t="n">
        <x:v>5</x:v>
      </x:c>
      <x:c r="P45" s="51" t="n">
        <x:v>0</x:v>
      </x:c>
      <x:c r="Q45" s="47" t="str">
        <x:v>controlled strike</x:v>
      </x:c>
      <x:c r="R45" s="47" t="str">
        <x:v>hand injury / unsuitable stone</x:v>
      </x:c>
      <x:c r="S45" s="47" t="str">
        <x:v>Dual-use tool; no weapon model</x:v>
      </x:c>
      <x:c r="T45" s="47" t="str"/>
      <x:c r="U45" s="47" t="str">
        <x:v>Governed node; variants not separated</x:v>
      </x:c>
      <x:c r="V45" s="49"/>
      <x:c r="W45" s="49"/>
    </x:row>
    <x:row r="46">
      <x:c r="A46" s="47" t="str">
        <x:v>T-STONE-KNIFE</x:v>
      </x:c>
      <x:c r="B46" s="47" t="str">
        <x:v>Stone hand cutter</x:v>
      </x:c>
      <x:c r="C46" s="47" t="str">
        <x:v>Tools</x:v>
      </x:c>
      <x:c r="D46" s="47" t="str">
        <x:v>Tool</x:v>
      </x:c>
      <x:c r="E46" s="47" t="str">
        <x:v>H0</x:v>
      </x:c>
      <x:c r="F46" s="47" t="str">
        <x:v>Carryable tool/equipment</x:v>
      </x:c>
      <x:c r="G46" s="47" t="str">
        <x:v>Yes</x:v>
      </x:c>
      <x:c r="H46" s="47" t="str">
        <x:v>Make / assemble / qualify</x:v>
      </x:c>
      <x:c r="I46" s="47" t="str">
        <x:v>P-SHARP-EDGE; S-FIBER</x:v>
      </x:c>
      <x:c r="J46" s="47" t="str">
        <x:v>wrap / guard / cut / test</x:v>
      </x:c>
      <x:c r="K46" s="47" t="str">
        <x:v>T-HAMMERSTONE</x:v>
      </x:c>
      <x:c r="L46" s="47" t="str">
        <x:v>W-WORKMAT</x:v>
      </x:c>
      <x:c r="M46" s="47" t="str">
        <x:v>edge / binding</x:v>
      </x:c>
      <x:c r="N46" s="47" t="str">
        <x:v>dexterity</x:v>
      </x:c>
      <x:c r="O46" s="51" t="n">
        <x:v>20</x:v>
      </x:c>
      <x:c r="P46" s="51" t="n">
        <x:v>0</x:v>
      </x:c>
      <x:c r="Q46" s="47" t="str">
        <x:v>safe varied cutting</x:v>
      </x:c>
      <x:c r="R46" s="47" t="str">
        <x:v>edge shifts / cut</x:v>
      </x:c>
      <x:c r="S46" s="47" t="str">
        <x:v>Dual-use tool; no weapon model</x:v>
      </x:c>
      <x:c r="T46" s="47" t="str"/>
      <x:c r="U46" s="47" t="str">
        <x:v>Governed node; variants not separated</x:v>
      </x:c>
      <x:c r="V46" s="49"/>
      <x:c r="W46" s="49"/>
    </x:row>
    <x:row r="47">
      <x:c r="A47" s="47" t="str">
        <x:v>P-CORD</x:v>
      </x:c>
      <x:c r="B47" s="47" t="str">
        <x:v>Hand cordage</x:v>
      </x:c>
      <x:c r="C47" s="47" t="str">
        <x:v>Textile</x:v>
      </x:c>
      <x:c r="D47" s="47" t="str">
        <x:v>Processed</x:v>
      </x:c>
      <x:c r="E47" s="47" t="str">
        <x:v>H1</x:v>
      </x:c>
      <x:c r="F47" s="47" t="str">
        <x:v>Processed material/consumable</x:v>
      </x:c>
      <x:c r="G47" s="47" t="str">
        <x:v>Yes</x:v>
      </x:c>
      <x:c r="H47" s="47" t="str">
        <x:v>Make / assemble / qualify</x:v>
      </x:c>
      <x:c r="I47" s="47" t="str">
        <x:v>S-FIBER</x:v>
      </x:c>
      <x:c r="J47" s="47" t="str">
        <x:v>prepare / twist / splice</x:v>
      </x:c>
      <x:c r="K47" s="47" t="str">
        <x:v>T-STONE-KNIFE</x:v>
      </x:c>
      <x:c r="L47" s="47" t="str">
        <x:v>W-WORKMAT</x:v>
      </x:c>
      <x:c r="M47" s="47" t="str">
        <x:v>fiber / cordage</x:v>
      </x:c>
      <x:c r="N47" s="47" t="str">
        <x:v>dexterity</x:v>
      </x:c>
      <x:c r="O47" s="51" t="n">
        <x:v>30</x:v>
      </x:c>
      <x:c r="P47" s="51" t="n">
        <x:v>0</x:v>
      </x:c>
      <x:c r="Q47" s="47" t="str">
        <x:v>tension and knot test</x:v>
      </x:c>
      <x:c r="R47" s="47" t="str">
        <x:v>uneven / wet / break</x:v>
      </x:c>
      <x:c r="S47" s="47" t="str"/>
      <x:c r="T47" s="47" t="str"/>
      <x:c r="U47" s="47" t="str">
        <x:v>Governed node; variants not separated</x:v>
      </x:c>
      <x:c r="V47" s="49"/>
      <x:c r="W47" s="49"/>
    </x:row>
    <x:row r="48">
      <x:c r="A48" s="47" t="str">
        <x:v>P-ROPE</x:v>
      </x:c>
      <x:c r="B48" s="47" t="str">
        <x:v>Rated rope</x:v>
      </x:c>
      <x:c r="C48" s="47" t="str">
        <x:v>Textile</x:v>
      </x:c>
      <x:c r="D48" s="47" t="str">
        <x:v>Processed</x:v>
      </x:c>
      <x:c r="E48" s="47" t="str">
        <x:v>H2</x:v>
      </x:c>
      <x:c r="F48" s="47" t="str">
        <x:v>Processed material/consumable</x:v>
      </x:c>
      <x:c r="G48" s="47" t="str">
        <x:v>Yes</x:v>
      </x:c>
      <x:c r="H48" s="47" t="str">
        <x:v>Make / assemble / qualify</x:v>
      </x:c>
      <x:c r="I48" s="47" t="str">
        <x:v>P-CORD</x:v>
      </x:c>
      <x:c r="J48" s="47" t="str">
        <x:v>lay / splice / test</x:v>
      </x:c>
      <x:c r="K48" s="47" t="str">
        <x:v>T-MEASURE</x:v>
      </x:c>
      <x:c r="L48" s="47" t="str">
        <x:v>W-BENCH</x:v>
      </x:c>
      <x:c r="M48" s="47" t="str">
        <x:v>fiber / rigging</x:v>
      </x:c>
      <x:c r="N48" s="47" t="str">
        <x:v>endurance + dexterity</x:v>
      </x:c>
      <x:c r="O48" s="51" t="n">
        <x:v>120</x:v>
      </x:c>
      <x:c r="P48" s="51" t="n">
        <x:v>0</x:v>
      </x:c>
      <x:c r="Q48" s="47" t="str">
        <x:v>proof load and inspection</x:v>
      </x:c>
      <x:c r="R48" s="47" t="str">
        <x:v>strand failure</x:v>
      </x:c>
      <x:c r="S48" s="47" t="str"/>
      <x:c r="T48" s="47" t="str"/>
      <x:c r="U48" s="47" t="str">
        <x:v>Governed node; variants not separated</x:v>
      </x:c>
      <x:c r="V48" s="49"/>
      <x:c r="W48" s="49"/>
    </x:row>
    <x:row r="49">
      <x:c r="A49" s="47" t="str">
        <x:v>P-MAT</x:v>
      </x:c>
      <x:c r="B49" s="47" t="str">
        <x:v>Woven mat/basket stock</x:v>
      </x:c>
      <x:c r="C49" s="47" t="str">
        <x:v>Textile</x:v>
      </x:c>
      <x:c r="D49" s="47" t="str">
        <x:v>Processed</x:v>
      </x:c>
      <x:c r="E49" s="47" t="str">
        <x:v>H1</x:v>
      </x:c>
      <x:c r="F49" s="47" t="str">
        <x:v>Processed material/consumable</x:v>
      </x:c>
      <x:c r="G49" s="47" t="str">
        <x:v>Yes</x:v>
      </x:c>
      <x:c r="H49" s="47" t="str">
        <x:v>Make / assemble / qualify</x:v>
      </x:c>
      <x:c r="I49" s="47" t="str">
        <x:v>S-FIBER; P-CORD</x:v>
      </x:c>
      <x:c r="J49" s="47" t="str">
        <x:v>split / weave / edge</x:v>
      </x:c>
      <x:c r="K49" s="47" t="str">
        <x:v>T-STONE-KNIFE</x:v>
      </x:c>
      <x:c r="L49" s="47" t="str">
        <x:v>W-WORKMAT</x:v>
      </x:c>
      <x:c r="M49" s="47" t="str">
        <x:v>weaving</x:v>
      </x:c>
      <x:c r="N49" s="47" t="str">
        <x:v>dexterity</x:v>
      </x:c>
      <x:c r="O49" s="51" t="n">
        <x:v>90</x:v>
      </x:c>
      <x:c r="P49" s="51" t="n">
        <x:v>0</x:v>
      </x:c>
      <x:c r="Q49" s="47" t="str">
        <x:v>load/coverage test</x:v>
      </x:c>
      <x:c r="R49" s="47" t="str">
        <x:v>gap / tear</x:v>
      </x:c>
      <x:c r="S49" s="47" t="str"/>
      <x:c r="T49" s="47" t="str"/>
      <x:c r="U49" s="47" t="str">
        <x:v>Compressed family/assembly</x:v>
      </x:c>
      <x:c r="V49" s="49"/>
      <x:c r="W49" s="49"/>
    </x:row>
    <x:row r="50">
      <x:c r="A50" s="47" t="str">
        <x:v>P-STRAIGHT-POLE</x:v>
      </x:c>
      <x:c r="B50" s="47" t="str">
        <x:v>Prepared pole/member</x:v>
      </x:c>
      <x:c r="C50" s="47" t="str">
        <x:v>Timber</x:v>
      </x:c>
      <x:c r="D50" s="47" t="str">
        <x:v>Processed</x:v>
      </x:c>
      <x:c r="E50" s="47" t="str">
        <x:v>H1</x:v>
      </x:c>
      <x:c r="F50" s="47" t="str">
        <x:v>Processed material/consumable</x:v>
      </x:c>
      <x:c r="G50" s="47" t="str">
        <x:v>Yes</x:v>
      </x:c>
      <x:c r="H50" s="47" t="str">
        <x:v>Make / assemble / qualify</x:v>
      </x:c>
      <x:c r="I50" s="47" t="str">
        <x:v>S-TIMBER; T-STONE-KNIFE</x:v>
      </x:c>
      <x:c r="J50" s="47" t="str">
        <x:v>select / trim / straighten</x:v>
      </x:c>
      <x:c r="K50" s="47" t="str">
        <x:v>T-STONE-KNIFE</x:v>
      </x:c>
      <x:c r="L50" s="47" t="str">
        <x:v>world</x:v>
      </x:c>
      <x:c r="M50" s="47" t="str">
        <x:v>timber</x:v>
      </x:c>
      <x:c r="N50" s="47" t="str">
        <x:v>strength + dexterity</x:v>
      </x:c>
      <x:c r="O50" s="51" t="n">
        <x:v>45</x:v>
      </x:c>
      <x:c r="P50" s="51" t="n">
        <x:v>0</x:v>
      </x:c>
      <x:c r="Q50" s="47" t="str">
        <x:v>straight/load inspection</x:v>
      </x:c>
      <x:c r="R50" s="47" t="str">
        <x:v>split / rot</x:v>
      </x:c>
      <x:c r="S50" s="47" t="str"/>
      <x:c r="T50" s="47" t="str"/>
      <x:c r="U50" s="47" t="str">
        <x:v>Compressed family/assembly</x:v>
      </x:c>
      <x:c r="V50" s="49"/>
      <x:c r="W50" s="49"/>
    </x:row>
    <x:row r="51">
      <x:c r="A51" s="47" t="str">
        <x:v>P-PLANK</x:v>
      </x:c>
      <x:c r="B51" s="47" t="str">
        <x:v>Plank/board stock</x:v>
      </x:c>
      <x:c r="C51" s="47" t="str">
        <x:v>Timber</x:v>
      </x:c>
      <x:c r="D51" s="47" t="str">
        <x:v>Processed</x:v>
      </x:c>
      <x:c r="E51" s="47" t="str">
        <x:v>H3</x:v>
      </x:c>
      <x:c r="F51" s="47" t="str">
        <x:v>Processed material/consumable</x:v>
      </x:c>
      <x:c r="G51" s="47" t="str">
        <x:v>Yes</x:v>
      </x:c>
      <x:c r="H51" s="47" t="str">
        <x:v>Make / assemble / qualify</x:v>
      </x:c>
      <x:c r="I51" s="47" t="str">
        <x:v>S-TIMBER; T-AXE; T-SAW</x:v>
      </x:c>
      <x:c r="J51" s="47" t="str">
        <x:v>split / saw / plane</x:v>
      </x:c>
      <x:c r="K51" s="47" t="str">
        <x:v>T-SAW</x:v>
      </x:c>
      <x:c r="L51" s="47" t="str">
        <x:v>W-BENCH</x:v>
      </x:c>
      <x:c r="M51" s="47" t="str">
        <x:v>timber / layout</x:v>
      </x:c>
      <x:c r="N51" s="47" t="str">
        <x:v>strength + endurance</x:v>
      </x:c>
      <x:c r="O51" s="51" t="n">
        <x:v>180</x:v>
      </x:c>
      <x:c r="P51" s="51" t="n">
        <x:v>0</x:v>
      </x:c>
      <x:c r="Q51" s="47" t="str">
        <x:v>flatness and defect test</x:v>
      </x:c>
      <x:c r="R51" s="47" t="str">
        <x:v>waste / warp</x:v>
      </x:c>
      <x:c r="S51" s="47" t="str"/>
      <x:c r="T51" s="47" t="str"/>
      <x:c r="U51" s="47" t="str">
        <x:v>Compressed family/assembly</x:v>
      </x:c>
      <x:c r="V51" s="49"/>
      <x:c r="W51" s="49"/>
    </x:row>
    <x:row r="52">
      <x:c r="A52" s="47" t="str">
        <x:v>P-PEG</x:v>
      </x:c>
      <x:c r="B52" s="47" t="str">
        <x:v>Peg/wedge/wood fastener</x:v>
      </x:c>
      <x:c r="C52" s="47" t="str">
        <x:v>Joining</x:v>
      </x:c>
      <x:c r="D52" s="47" t="str">
        <x:v>Processed</x:v>
      </x:c>
      <x:c r="E52" s="47" t="str">
        <x:v>H1</x:v>
      </x:c>
      <x:c r="F52" s="47" t="str">
        <x:v>Processed material/consumable</x:v>
      </x:c>
      <x:c r="G52" s="47" t="str">
        <x:v>Yes</x:v>
      </x:c>
      <x:c r="H52" s="47" t="str">
        <x:v>Make / assemble / qualify</x:v>
      </x:c>
      <x:c r="I52" s="47" t="str">
        <x:v>P-STRAIGHT-POLE; T-STONE-KNIFE</x:v>
      </x:c>
      <x:c r="J52" s="47" t="str">
        <x:v>cut / taper / fit</x:v>
      </x:c>
      <x:c r="K52" s="47" t="str">
        <x:v>T-STONE-KNIFE</x:v>
      </x:c>
      <x:c r="L52" s="47" t="str">
        <x:v>W-WORKMAT</x:v>
      </x:c>
      <x:c r="M52" s="47" t="str">
        <x:v>joinery</x:v>
      </x:c>
      <x:c r="N52" s="47" t="str">
        <x:v>dexterity</x:v>
      </x:c>
      <x:c r="O52" s="51" t="n">
        <x:v>15</x:v>
      </x:c>
      <x:c r="P52" s="51" t="n">
        <x:v>0</x:v>
      </x:c>
      <x:c r="Q52" s="47" t="str">
        <x:v>fit/pull test</x:v>
      </x:c>
      <x:c r="R52" s="47" t="str">
        <x:v>split / loose</x:v>
      </x:c>
      <x:c r="S52" s="47" t="str"/>
      <x:c r="T52" s="47" t="str"/>
      <x:c r="U52" s="47" t="str">
        <x:v>Compressed family/assembly</x:v>
      </x:c>
      <x:c r="V52" s="49"/>
      <x:c r="W52" s="49"/>
    </x:row>
    <x:row r="53">
      <x:c r="A53" s="47" t="str">
        <x:v>P-PITCH</x:v>
      </x:c>
      <x:c r="B53" s="47" t="str">
        <x:v>Prepared sealant</x:v>
      </x:c>
      <x:c r="C53" s="47" t="str">
        <x:v>Joining</x:v>
      </x:c>
      <x:c r="D53" s="47" t="str">
        <x:v>Processed</x:v>
      </x:c>
      <x:c r="E53" s="47" t="str">
        <x:v>H2</x:v>
      </x:c>
      <x:c r="F53" s="47" t="str">
        <x:v>Processed material/consumable</x:v>
      </x:c>
      <x:c r="G53" s="47" t="str">
        <x:v>Yes</x:v>
      </x:c>
      <x:c r="H53" s="47" t="str">
        <x:v>Make / assemble / qualify</x:v>
      </x:c>
      <x:c r="I53" s="47" t="str">
        <x:v>S-RESIN; W-HEARTH</x:v>
      </x:c>
      <x:c r="J53" s="47" t="str">
        <x:v>collect / heat / mix / test</x:v>
      </x:c>
      <x:c r="K53" s="47" t="str">
        <x:v>C-FOUND-PAN</x:v>
      </x:c>
      <x:c r="L53" s="47" t="str">
        <x:v>W-HEARTH</x:v>
      </x:c>
      <x:c r="M53" s="47" t="str">
        <x:v>seal / thermal</x:v>
      </x:c>
      <x:c r="N53" s="47" t="str">
        <x:v>heat control</x:v>
      </x:c>
      <x:c r="O53" s="51" t="n">
        <x:v>60</x:v>
      </x:c>
      <x:c r="P53" s="51" t="n">
        <x:v>30</x:v>
      </x:c>
      <x:c r="Q53" s="47" t="str">
        <x:v>adhesion/water test</x:v>
      </x:c>
      <x:c r="R53" s="47" t="str">
        <x:v>burn / brittle / contaminate</x:v>
      </x:c>
      <x:c r="S53" s="47" t="str"/>
      <x:c r="T53" s="47" t="str"/>
      <x:c r="U53" s="47" t="str">
        <x:v>Governed node; variants not separated</x:v>
      </x:c>
      <x:c r="V53" s="49"/>
      <x:c r="W53" s="49"/>
    </x:row>
    <x:row r="54">
      <x:c r="A54" s="47" t="str">
        <x:v>P-CHARCOAL</x:v>
      </x:c>
      <x:c r="B54" s="47" t="str">
        <x:v>Charcoal</x:v>
      </x:c>
      <x:c r="C54" s="47" t="str">
        <x:v>Thermal</x:v>
      </x:c>
      <x:c r="D54" s="47" t="str">
        <x:v>Processed</x:v>
      </x:c>
      <x:c r="E54" s="47" t="str">
        <x:v>H3</x:v>
      </x:c>
      <x:c r="F54" s="47" t="str">
        <x:v>Processed material/consumable</x:v>
      </x:c>
      <x:c r="G54" s="47" t="str">
        <x:v>Yes</x:v>
      </x:c>
      <x:c r="H54" s="47" t="str">
        <x:v>Make / assemble / qualify</x:v>
      </x:c>
      <x:c r="I54" s="47" t="str">
        <x:v>S-WOODFUEL; W-CHARCOAL</x:v>
      </x:c>
      <x:c r="J54" s="47" t="str">
        <x:v>grade / load / restrict / cool</x:v>
      </x:c>
      <x:c r="K54" s="47" t="str">
        <x:v>T-SHOVEL</x:v>
      </x:c>
      <x:c r="L54" s="47" t="str">
        <x:v>W-CHARCOAL</x:v>
      </x:c>
      <x:c r="M54" s="47" t="str">
        <x:v>firecraft</x:v>
      </x:c>
      <x:c r="N54" s="47" t="str">
        <x:v>heat endurance</x:v>
      </x:c>
      <x:c r="O54" s="51" t="n">
        <x:v>120</x:v>
      </x:c>
      <x:c r="P54" s="51" t="n">
        <x:v>480</x:v>
      </x:c>
      <x:c r="Q54" s="47" t="str">
        <x:v>yield and burn test</x:v>
      </x:c>
      <x:c r="R54" s="47" t="str">
        <x:v>fire / ash / undercarbonize</x:v>
      </x:c>
      <x:c r="S54" s="47" t="str"/>
      <x:c r="T54" s="47" t="str"/>
      <x:c r="U54" s="47" t="str">
        <x:v>Governed node; variants not separated</x:v>
      </x:c>
      <x:c r="V54" s="49"/>
      <x:c r="W54" s="49"/>
    </x:row>
    <x:row r="55">
      <x:c r="A55" s="47" t="str">
        <x:v>P-CLAY-BODY</x:v>
      </x:c>
      <x:c r="B55" s="47" t="str">
        <x:v>Prepared clay body</x:v>
      </x:c>
      <x:c r="C55" s="47" t="str">
        <x:v>Ceramic</x:v>
      </x:c>
      <x:c r="D55" s="47" t="str">
        <x:v>Processed</x:v>
      </x:c>
      <x:c r="E55" s="47" t="str">
        <x:v>H2</x:v>
      </x:c>
      <x:c r="F55" s="47" t="str">
        <x:v>Processed material/consumable</x:v>
      </x:c>
      <x:c r="G55" s="47" t="str">
        <x:v>Yes</x:v>
      </x:c>
      <x:c r="H55" s="47" t="str">
        <x:v>Make / assemble / qualify</x:v>
      </x:c>
      <x:c r="I55" s="47" t="str">
        <x:v>S-CLAY; S-SAND</x:v>
      </x:c>
      <x:c r="J55" s="47" t="str">
        <x:v>clean / temper / wedge</x:v>
      </x:c>
      <x:c r="K55" s="47" t="str">
        <x:v>T-DIG</x:v>
      </x:c>
      <x:c r="L55" s="47" t="str">
        <x:v>W-WORKMAT</x:v>
      </x:c>
      <x:c r="M55" s="47" t="str">
        <x:v>clay</x:v>
      </x:c>
      <x:c r="N55" s="47" t="str">
        <x:v>dexterity</x:v>
      </x:c>
      <x:c r="O55" s="51" t="n">
        <x:v>60</x:v>
      </x:c>
      <x:c r="P55" s="51" t="n">
        <x:v>60</x:v>
      </x:c>
      <x:c r="Q55" s="47" t="str">
        <x:v>forming sample</x:v>
      </x:c>
      <x:c r="R55" s="47" t="str">
        <x:v>crack / contamination</x:v>
      </x:c>
      <x:c r="S55" s="47" t="str"/>
      <x:c r="T55" s="47" t="str"/>
      <x:c r="U55" s="47" t="str">
        <x:v>Governed node; variants not separated</x:v>
      </x:c>
      <x:c r="V55" s="49"/>
      <x:c r="W55" s="49"/>
    </x:row>
    <x:row r="56">
      <x:c r="A56" s="47" t="str">
        <x:v>P-FIRED-CERAMIC</x:v>
      </x:c>
      <x:c r="B56" s="47" t="str">
        <x:v>Fired ceramic/refractory</x:v>
      </x:c>
      <x:c r="C56" s="47" t="str">
        <x:v>Ceramic</x:v>
      </x:c>
      <x:c r="D56" s="47" t="str">
        <x:v>Processed</x:v>
      </x:c>
      <x:c r="E56" s="47" t="str">
        <x:v>H4</x:v>
      </x:c>
      <x:c r="F56" s="47" t="str">
        <x:v>Processed material/consumable</x:v>
      </x:c>
      <x:c r="G56" s="47" t="str">
        <x:v>Yes</x:v>
      </x:c>
      <x:c r="H56" s="47" t="str">
        <x:v>Make / assemble / qualify</x:v>
      </x:c>
      <x:c r="I56" s="47" t="str">
        <x:v>P-CLAY-BODY; W-KILN</x:v>
      </x:c>
      <x:c r="J56" s="47" t="str">
        <x:v>form / dry / fire / cool</x:v>
      </x:c>
      <x:c r="K56" s="47" t="str">
        <x:v>T-TONGS</x:v>
      </x:c>
      <x:c r="L56" s="47" t="str">
        <x:v>W-KILN</x:v>
      </x:c>
      <x:c r="M56" s="47" t="str">
        <x:v>clay / heat</x:v>
      </x:c>
      <x:c r="N56" s="47" t="str">
        <x:v>dexterity + heat</x:v>
      </x:c>
      <x:c r="O56" s="51" t="n">
        <x:v>120</x:v>
      </x:c>
      <x:c r="P56" s="51" t="n">
        <x:v>720</x:v>
      </x:c>
      <x:c r="Q56" s="47" t="str">
        <x:v>ring/leak/heat test</x:v>
      </x:c>
      <x:c r="R56" s="47" t="str">
        <x:v>crack / spall</x:v>
      </x:c>
      <x:c r="S56" s="47" t="str"/>
      <x:c r="T56" s="47" t="str"/>
      <x:c r="U56" s="47" t="str">
        <x:v>Compressed family/assembly</x:v>
      </x:c>
      <x:c r="V56" s="49"/>
      <x:c r="W56" s="49"/>
    </x:row>
    <x:row r="57">
      <x:c r="A57" s="47" t="str">
        <x:v>P-METAL-STOCK</x:v>
      </x:c>
      <x:c r="B57" s="47" t="str">
        <x:v>Sorted cleaned metal stock</x:v>
      </x:c>
      <x:c r="C57" s="47" t="str">
        <x:v>Metal</x:v>
      </x:c>
      <x:c r="D57" s="47" t="str">
        <x:v>Processed</x:v>
      </x:c>
      <x:c r="E57" s="47" t="str">
        <x:v>H3</x:v>
      </x:c>
      <x:c r="F57" s="47" t="str">
        <x:v>Processed material/consumable</x:v>
      </x:c>
      <x:c r="G57" s="47" t="str">
        <x:v>Yes</x:v>
      </x:c>
      <x:c r="H57" s="47" t="str">
        <x:v>Make / assemble / qualify</x:v>
      </x:c>
      <x:c r="I57" s="47" t="str">
        <x:v>S-FERROUS</x:v>
      </x:c>
      <x:c r="J57" s="47" t="str">
        <x:v>isolate / clean / grade</x:v>
      </x:c>
      <x:c r="K57" s="47" t="str">
        <x:v>T-PRY</x:v>
      </x:c>
      <x:c r="L57" s="47" t="str">
        <x:v>W-BENCH</x:v>
      </x:c>
      <x:c r="M57" s="47" t="str">
        <x:v>salvage / metal</x:v>
      </x:c>
      <x:c r="N57" s="47" t="str">
        <x:v>moderate</x:v>
      </x:c>
      <x:c r="O57" s="51" t="n">
        <x:v>90</x:v>
      </x:c>
      <x:c r="P57" s="51" t="n">
        <x:v>0</x:v>
      </x:c>
      <x:c r="Q57" s="47" t="str">
        <x:v>coupon/condition test</x:v>
      </x:c>
      <x:c r="R57" s="47" t="str">
        <x:v>contamination / crack</x:v>
      </x:c>
      <x:c r="S57" s="47" t="str"/>
      <x:c r="T57" s="47" t="str"/>
      <x:c r="U57" s="47" t="str">
        <x:v>Compressed family/assembly</x:v>
      </x:c>
      <x:c r="V57" s="49"/>
      <x:c r="W57" s="49"/>
    </x:row>
    <x:row r="58">
      <x:c r="A58" s="47" t="str">
        <x:v>P-DEBURRED-AL</x:v>
      </x:c>
      <x:c r="B58" s="47" t="str">
        <x:v>Qualified deburred aluminum sheet</x:v>
      </x:c>
      <x:c r="C58" s="47" t="str">
        <x:v>Metal</x:v>
      </x:c>
      <x:c r="D58" s="47" t="str">
        <x:v>Processed</x:v>
      </x:c>
      <x:c r="E58" s="47" t="str">
        <x:v>H4</x:v>
      </x:c>
      <x:c r="F58" s="47" t="str">
        <x:v>Processed material/consumable</x:v>
      </x:c>
      <x:c r="G58" s="47" t="str">
        <x:v>Yes</x:v>
      </x:c>
      <x:c r="H58" s="47" t="str">
        <x:v>Make / assemble / qualify</x:v>
      </x:c>
      <x:c r="I58" s="47" t="str">
        <x:v>S-ALUMINUM; T-SNIPS; T-FILE</x:v>
      </x:c>
      <x:c r="J58" s="47" t="str">
        <x:v>provenance / detach / clean / coupon</x:v>
      </x:c>
      <x:c r="K58" s="47" t="str">
        <x:v>T-SNIPS; T-FILE</x:v>
      </x:c>
      <x:c r="L58" s="47" t="str">
        <x:v>W-BENCH</x:v>
      </x:c>
      <x:c r="M58" s="47" t="str">
        <x:v>salvage / food-contact / metal</x:v>
      </x:c>
      <x:c r="N58" s="47" t="str">
        <x:v>dexterity</x:v>
      </x:c>
      <x:c r="O58" s="51" t="n">
        <x:v>240</x:v>
      </x:c>
      <x:c r="P58" s="51" t="n">
        <x:v>0</x:v>
      </x:c>
      <x:c r="Q58" s="47" t="str">
        <x:v>bend/surface coupon</x:v>
      </x:c>
      <x:c r="R58" s="47" t="str">
        <x:v>coating / fuel / crack</x:v>
      </x:c>
      <x:c r="S58" s="47" t="str"/>
      <x:c r="T58" s="47" t="str"/>
      <x:c r="U58" s="47" t="str">
        <x:v>Governed node; variants not separated</x:v>
      </x:c>
      <x:c r="V58" s="49"/>
      <x:c r="W58" s="49"/>
    </x:row>
    <x:row r="59">
      <x:c r="A59" s="47" t="str">
        <x:v>P-RIVET</x:v>
      </x:c>
      <x:c r="B59" s="47" t="str">
        <x:v>Suitable rivet/fastener</x:v>
      </x:c>
      <x:c r="C59" s="47" t="str">
        <x:v>Joining</x:v>
      </x:c>
      <x:c r="D59" s="47" t="str">
        <x:v>Processed</x:v>
      </x:c>
      <x:c r="E59" s="47" t="str">
        <x:v>H4</x:v>
      </x:c>
      <x:c r="F59" s="47" t="str">
        <x:v>Processed material/consumable</x:v>
      </x:c>
      <x:c r="G59" s="47" t="str">
        <x:v>Yes</x:v>
      </x:c>
      <x:c r="H59" s="47" t="str">
        <x:v>Make / assemble / qualify</x:v>
      </x:c>
      <x:c r="I59" s="47" t="str">
        <x:v>S-FASTENER</x:v>
      </x:c>
      <x:c r="J59" s="47" t="str">
        <x:v>sort / clean / test</x:v>
      </x:c>
      <x:c r="K59" s="47" t="str">
        <x:v>T-MEASURE</x:v>
      </x:c>
      <x:c r="L59" s="47" t="str">
        <x:v>W-BENCH</x:v>
      </x:c>
      <x:c r="M59" s="47" t="str">
        <x:v>fastener</x:v>
      </x:c>
      <x:c r="N59" s="47" t="str">
        <x:v>dexterity</x:v>
      </x:c>
      <x:c r="O59" s="51" t="n">
        <x:v>30</x:v>
      </x:c>
      <x:c r="P59" s="51" t="n">
        <x:v>0</x:v>
      </x:c>
      <x:c r="Q59" s="47" t="str">
        <x:v>shear/pull sample</x:v>
      </x:c>
      <x:c r="R59" s="47" t="str">
        <x:v>mixed alloy / weak</x:v>
      </x:c>
      <x:c r="S59" s="47" t="str"/>
      <x:c r="T59" s="47" t="str"/>
      <x:c r="U59" s="47" t="str">
        <x:v>Compressed family/assembly</x:v>
      </x:c>
      <x:c r="V59" s="49"/>
      <x:c r="W59" s="49"/>
    </x:row>
    <x:row r="60">
      <x:c r="A60" s="47" t="str">
        <x:v>P-GASKET</x:v>
      </x:c>
      <x:c r="B60" s="47" t="str">
        <x:v>Seal/gasket set</x:v>
      </x:c>
      <x:c r="C60" s="47" t="str">
        <x:v>Joining</x:v>
      </x:c>
      <x:c r="D60" s="47" t="str">
        <x:v>Processed</x:v>
      </x:c>
      <x:c r="E60" s="47" t="str">
        <x:v>H4</x:v>
      </x:c>
      <x:c r="F60" s="47" t="str">
        <x:v>Processed material/consumable</x:v>
      </x:c>
      <x:c r="G60" s="47" t="str">
        <x:v>Yes</x:v>
      </x:c>
      <x:c r="H60" s="47" t="str">
        <x:v>Make / assemble / qualify</x:v>
      </x:c>
      <x:c r="I60" s="47" t="str">
        <x:v>S-RUBBER; T-STONE-KNIFE</x:v>
      </x:c>
      <x:c r="J60" s="47" t="str">
        <x:v>clean / cut / fit / compress</x:v>
      </x:c>
      <x:c r="K60" s="47" t="str">
        <x:v>T-STONE-KNIFE</x:v>
      </x:c>
      <x:c r="L60" s="47" t="str">
        <x:v>W-BENCH</x:v>
      </x:c>
      <x:c r="M60" s="47" t="str">
        <x:v>sealing</x:v>
      </x:c>
      <x:c r="N60" s="47" t="str">
        <x:v>dexterity</x:v>
      </x:c>
      <x:c r="O60" s="51" t="n">
        <x:v>45</x:v>
      </x:c>
      <x:c r="P60" s="51" t="n">
        <x:v>0</x:v>
      </x:c>
      <x:c r="Q60" s="47" t="str">
        <x:v>leak/compatibility test</x:v>
      </x:c>
      <x:c r="R60" s="47" t="str">
        <x:v>swell / crack</x:v>
      </x:c>
      <x:c r="S60" s="47" t="str"/>
      <x:c r="T60" s="47" t="str"/>
      <x:c r="U60" s="47" t="str">
        <x:v>Compressed family/assembly</x:v>
      </x:c>
      <x:c r="V60" s="49"/>
      <x:c r="W60" s="49"/>
    </x:row>
    <x:row r="61">
      <x:c r="A61" s="47" t="str">
        <x:v>P-CONDUCTOR</x:v>
      </x:c>
      <x:c r="B61" s="47" t="str">
        <x:v>Protected conductor/terminal</x:v>
      </x:c>
      <x:c r="C61" s="47" t="str">
        <x:v>Electrical</x:v>
      </x:c>
      <x:c r="D61" s="47" t="str">
        <x:v>Processed</x:v>
      </x:c>
      <x:c r="E61" s="47" t="str">
        <x:v>H4</x:v>
      </x:c>
      <x:c r="F61" s="47" t="str">
        <x:v>Processed material/consumable</x:v>
      </x:c>
      <x:c r="G61" s="47" t="str">
        <x:v>Yes</x:v>
      </x:c>
      <x:c r="H61" s="47" t="str">
        <x:v>Make / assemble / qualify</x:v>
      </x:c>
      <x:c r="I61" s="47" t="str">
        <x:v>S-WIRE; S-COPPER</x:v>
      </x:c>
      <x:c r="J61" s="47" t="str">
        <x:v>clean / join / insulate / test</x:v>
      </x:c>
      <x:c r="K61" s="47" t="str">
        <x:v>T-METER</x:v>
      </x:c>
      <x:c r="L61" s="47" t="str">
        <x:v>W-ELECTRICAL</x:v>
      </x:c>
      <x:c r="M61" s="47" t="str">
        <x:v>electrical</x:v>
      </x:c>
      <x:c r="N61" s="47" t="str">
        <x:v>dexterity</x:v>
      </x:c>
      <x:c r="O61" s="51" t="n">
        <x:v>45</x:v>
      </x:c>
      <x:c r="P61" s="51" t="n">
        <x:v>0</x:v>
      </x:c>
      <x:c r="Q61" s="47" t="str">
        <x:v>continuity/isolation</x:v>
      </x:c>
      <x:c r="R61" s="47" t="str">
        <x:v>short / corrosion</x:v>
      </x:c>
      <x:c r="S61" s="47" t="str"/>
      <x:c r="T61" s="47" t="str">
        <x:v>Steam/electric supporting chain</x:v>
      </x:c>
      <x:c r="U61" s="47" t="str">
        <x:v>Compressed family/assembly</x:v>
      </x:c>
      <x:c r="V61" s="49"/>
      <x:c r="W61" s="49"/>
    </x:row>
    <x:row r="62">
      <x:c r="A62" s="47" t="str">
        <x:v>P-CLEAN-WATER</x:v>
      </x:c>
      <x:c r="B62" s="47" t="str">
        <x:v>Treated protected water lot</x:v>
      </x:c>
      <x:c r="C62" s="47" t="str">
        <x:v>Water</x:v>
      </x:c>
      <x:c r="D62" s="47" t="str">
        <x:v>Processed</x:v>
      </x:c>
      <x:c r="E62" s="47" t="str">
        <x:v>H2</x:v>
      </x:c>
      <x:c r="F62" s="47" t="str">
        <x:v>Processed material/consumable</x:v>
      </x:c>
      <x:c r="G62" s="47" t="str">
        <x:v>Yes</x:v>
      </x:c>
      <x:c r="H62" s="47" t="str">
        <x:v>Make / assemble / qualify</x:v>
      </x:c>
      <x:c r="I62" s="47" t="str">
        <x:v>S-POND; C-FOUND-PAN; W-HEARTH</x:v>
      </x:c>
      <x:c r="J62" s="47" t="str">
        <x:v>collect / clarify / boil / cool / cover</x:v>
      </x:c>
      <x:c r="K62" s="47" t="str">
        <x:v>C-FOUND-PAN</x:v>
      </x:c>
      <x:c r="L62" s="47" t="str">
        <x:v>W-WATER</x:v>
      </x:c>
      <x:c r="M62" s="47" t="str">
        <x:v>water / hygiene</x:v>
      </x:c>
      <x:c r="N62" s="47" t="str">
        <x:v>moderate</x:v>
      </x:c>
      <x:c r="O62" s="51" t="n">
        <x:v>30</x:v>
      </x:c>
      <x:c r="P62" s="51" t="n">
        <x:v>15</x:v>
      </x:c>
      <x:c r="Q62" s="47" t="str">
        <x:v>treatment + container history</x:v>
      </x:c>
      <x:c r="R62" s="47" t="str">
        <x:v>recontamination</x:v>
      </x:c>
      <x:c r="S62" s="47" t="str"/>
      <x:c r="T62" s="47" t="str"/>
      <x:c r="U62" s="47" t="str">
        <x:v>Governed node; variants not separated</x:v>
      </x:c>
      <x:c r="V62" s="49"/>
      <x:c r="W62" s="49"/>
    </x:row>
    <x:row r="63">
      <x:c r="A63" s="47" t="str">
        <x:v>P-ORS</x:v>
      </x:c>
      <x:c r="B63" s="47" t="str">
        <x:v>Measured oral rehydration solution</x:v>
      </x:c>
      <x:c r="C63" s="47" t="str">
        <x:v>Medicine</x:v>
      </x:c>
      <x:c r="D63" s="47" t="str">
        <x:v>Processed</x:v>
      </x:c>
      <x:c r="E63" s="47" t="str">
        <x:v>H3</x:v>
      </x:c>
      <x:c r="F63" s="47" t="str">
        <x:v>Processed material/consumable</x:v>
      </x:c>
      <x:c r="G63" s="47" t="str">
        <x:v>Yes</x:v>
      </x:c>
      <x:c r="H63" s="47" t="str">
        <x:v>Make / assemble / qualify</x:v>
      </x:c>
      <x:c r="I63" s="47" t="str">
        <x:v>P-CLEAN-WATER; S-SALT; S-SUGAR; T-MEASURE</x:v>
      </x:c>
      <x:c r="J63" s="47" t="str">
        <x:v>measure / mix / label</x:v>
      </x:c>
      <x:c r="K63" s="47" t="str">
        <x:v>T-MEASURE</x:v>
      </x:c>
      <x:c r="L63" s="47" t="str">
        <x:v>W-CLEAN</x:v>
      </x:c>
      <x:c r="M63" s="47" t="str">
        <x:v>medicine / measurement</x:v>
      </x:c>
      <x:c r="N63" s="47" t="str">
        <x:v>low</x:v>
      </x:c>
      <x:c r="O63" s="51" t="n">
        <x:v>10</x:v>
      </x:c>
      <x:c r="P63" s="51" t="n">
        <x:v>0</x:v>
      </x:c>
      <x:c r="Q63" s="47" t="str">
        <x:v>correct measure and taste warning</x:v>
      </x:c>
      <x:c r="R63" s="47" t="str">
        <x:v>too concentrated / dirty</x:v>
      </x:c>
      <x:c r="S63" s="47" t="str"/>
      <x:c r="T63" s="47" t="str"/>
      <x:c r="U63" s="47" t="str">
        <x:v>Governed node; variants not separated</x:v>
      </x:c>
      <x:c r="V63" s="49"/>
      <x:c r="W63" s="49"/>
    </x:row>
    <x:row r="64">
      <x:c r="A64" s="47" t="str">
        <x:v>P-DRESSING</x:v>
      </x:c>
      <x:c r="B64" s="47" t="str">
        <x:v>Clean dressing</x:v>
      </x:c>
      <x:c r="C64" s="47" t="str">
        <x:v>Medicine</x:v>
      </x:c>
      <x:c r="D64" s="47" t="str">
        <x:v>Processed</x:v>
      </x:c>
      <x:c r="E64" s="47" t="str">
        <x:v>H2</x:v>
      </x:c>
      <x:c r="F64" s="47" t="str">
        <x:v>Processed material/consumable</x:v>
      </x:c>
      <x:c r="G64" s="47" t="str">
        <x:v>Yes</x:v>
      </x:c>
      <x:c r="H64" s="47" t="str">
        <x:v>Make / assemble / qualify</x:v>
      </x:c>
      <x:c r="I64" s="47" t="str">
        <x:v>S-CANVAS; P-CLEAN-WATER; T-STONE-KNIFE</x:v>
      </x:c>
      <x:c r="J64" s="47" t="str">
        <x:v>clean / cut / dry / store</x:v>
      </x:c>
      <x:c r="K64" s="47" t="str">
        <x:v>T-STONE-KNIFE</x:v>
      </x:c>
      <x:c r="L64" s="47" t="str">
        <x:v>W-CLEAN</x:v>
      </x:c>
      <x:c r="M64" s="47" t="str">
        <x:v>hygiene / medicine</x:v>
      </x:c>
      <x:c r="N64" s="47" t="str">
        <x:v>dexterity</x:v>
      </x:c>
      <x:c r="O64" s="51" t="n">
        <x:v>30</x:v>
      </x:c>
      <x:c r="P64" s="51" t="n">
        <x:v>60</x:v>
      </x:c>
      <x:c r="Q64" s="47" t="str">
        <x:v>clean/fit inspection</x:v>
      </x:c>
      <x:c r="R64" s="47" t="str">
        <x:v>contaminate / fray</x:v>
      </x:c>
      <x:c r="S64" s="47" t="str"/>
      <x:c r="T64" s="47" t="str"/>
      <x:c r="U64" s="47" t="str">
        <x:v>Governed node; variants not separated</x:v>
      </x:c>
      <x:c r="V64" s="49"/>
      <x:c r="W64" s="49"/>
    </x:row>
    <x:row r="65">
      <x:c r="A65" s="47" t="str">
        <x:v>P-SPLINT-STOCK</x:v>
      </x:c>
      <x:c r="B65" s="47" t="str">
        <x:v>Padded splint stock</x:v>
      </x:c>
      <x:c r="C65" s="47" t="str">
        <x:v>Medicine</x:v>
      </x:c>
      <x:c r="D65" s="47" t="str">
        <x:v>Processed</x:v>
      </x:c>
      <x:c r="E65" s="47" t="str">
        <x:v>H2</x:v>
      </x:c>
      <x:c r="F65" s="47" t="str">
        <x:v>Processed material/consumable</x:v>
      </x:c>
      <x:c r="G65" s="47" t="str">
        <x:v>Yes</x:v>
      </x:c>
      <x:c r="H65" s="47" t="str">
        <x:v>Make / assemble / qualify</x:v>
      </x:c>
      <x:c r="I65" s="47" t="str">
        <x:v>P-STRAIGHT-POLE; S-CANVAS; P-CORD</x:v>
      </x:c>
      <x:c r="J65" s="47" t="str">
        <x:v>shape / pad / bind</x:v>
      </x:c>
      <x:c r="K65" s="47" t="str">
        <x:v>T-STONE-KNIFE</x:v>
      </x:c>
      <x:c r="L65" s="47" t="str">
        <x:v>W-CLEAN</x:v>
      </x:c>
      <x:c r="M65" s="47" t="str">
        <x:v>medicine / fit</x:v>
      </x:c>
      <x:c r="N65" s="47" t="str">
        <x:v>dexterity</x:v>
      </x:c>
      <x:c r="O65" s="51" t="n">
        <x:v>30</x:v>
      </x:c>
      <x:c r="P65" s="51" t="n">
        <x:v>0</x:v>
      </x:c>
      <x:c r="Q65" s="47" t="str">
        <x:v>fit/circulation check</x:v>
      </x:c>
      <x:c r="R65" s="47" t="str">
        <x:v>pressure / slip</x:v>
      </x:c>
      <x:c r="S65" s="47" t="str"/>
      <x:c r="T65" s="47" t="str"/>
      <x:c r="U65" s="47" t="str">
        <x:v>Compressed family/assembly</x:v>
      </x:c>
      <x:c r="V65" s="49"/>
      <x:c r="W65" s="49"/>
    </x:row>
    <x:row r="66">
      <x:c r="A66" s="47" t="str">
        <x:v>P-PRESERVED-FOOD</x:v>
      </x:c>
      <x:c r="B66" s="47" t="str">
        <x:v>Preserved food lot</x:v>
      </x:c>
      <x:c r="C66" s="47" t="str">
        <x:v>Food</x:v>
      </x:c>
      <x:c r="D66" s="47" t="str">
        <x:v>Processed</x:v>
      </x:c>
      <x:c r="E66" s="47" t="str">
        <x:v>H3</x:v>
      </x:c>
      <x:c r="F66" s="47" t="str">
        <x:v>Processed material/consumable</x:v>
      </x:c>
      <x:c r="G66" s="47" t="str">
        <x:v>Yes</x:v>
      </x:c>
      <x:c r="H66" s="47" t="str">
        <x:v>Make / assemble / qualify</x:v>
      </x:c>
      <x:c r="I66" s="47" t="str">
        <x:v>S-FOOD; A-SMOKER</x:v>
      </x:c>
      <x:c r="J66" s="47" t="str">
        <x:v>clean / cut / smoke / inspect</x:v>
      </x:c>
      <x:c r="K66" s="47" t="str">
        <x:v>T-STONE-KNIFE</x:v>
      </x:c>
      <x:c r="L66" s="47" t="str">
        <x:v>A-SMOKER</x:v>
      </x:c>
      <x:c r="M66" s="47" t="str">
        <x:v>food / hygiene</x:v>
      </x:c>
      <x:c r="N66" s="47" t="str">
        <x:v>moderate</x:v>
      </x:c>
      <x:c r="O66" s="51" t="n">
        <x:v>60</x:v>
      </x:c>
      <x:c r="P66" s="51" t="n">
        <x:v>480</x:v>
      </x:c>
      <x:c r="Q66" s="47" t="str">
        <x:v>dryness/spoilage history</x:v>
      </x:c>
      <x:c r="R66" s="47" t="str">
        <x:v>false preserve</x:v>
      </x:c>
      <x:c r="S66" s="47" t="str"/>
      <x:c r="T66" s="47" t="str"/>
      <x:c r="U66" s="47" t="str">
        <x:v>Governed node; variants not separated</x:v>
      </x:c>
      <x:c r="V66" s="49"/>
      <x:c r="W66" s="49"/>
    </x:row>
    <x:row r="67">
      <x:c r="A67" s="47" t="str">
        <x:v>P-SEED-LOT</x:v>
      </x:c>
      <x:c r="B67" s="47" t="str">
        <x:v>Documented seed lot</x:v>
      </x:c>
      <x:c r="C67" s="47" t="str">
        <x:v>Food</x:v>
      </x:c>
      <x:c r="D67" s="47" t="str">
        <x:v>Processed</x:v>
      </x:c>
      <x:c r="E67" s="47" t="str">
        <x:v>H3</x:v>
      </x:c>
      <x:c r="F67" s="47" t="str">
        <x:v>Processed material/consumable</x:v>
      </x:c>
      <x:c r="G67" s="47" t="str">
        <x:v>Yes</x:v>
      </x:c>
      <x:c r="H67" s="47" t="str">
        <x:v>Make / assemble / qualify</x:v>
      </x:c>
      <x:c r="I67" s="47" t="str">
        <x:v>S-FOOD; W-ARCHIVE</x:v>
      </x:c>
      <x:c r="J67" s="47" t="str">
        <x:v>select / clean / dry / label</x:v>
      </x:c>
      <x:c r="K67" s="47" t="str">
        <x:v>T-STONE-KNIFE</x:v>
      </x:c>
      <x:c r="L67" s="47" t="str">
        <x:v>W-ARCHIVE</x:v>
      </x:c>
      <x:c r="M67" s="47" t="str">
        <x:v>cultivation / record</x:v>
      </x:c>
      <x:c r="N67" s="47" t="str">
        <x:v>low</x:v>
      </x:c>
      <x:c r="O67" s="51" t="n">
        <x:v>30</x:v>
      </x:c>
      <x:c r="P67" s="51" t="n">
        <x:v>240</x:v>
      </x:c>
      <x:c r="Q67" s="47" t="str">
        <x:v>germination test</x:v>
      </x:c>
      <x:c r="R67" s="47" t="str">
        <x:v>mold / low viability</x:v>
      </x:c>
      <x:c r="S67" s="47" t="str"/>
      <x:c r="T67" s="47" t="str"/>
      <x:c r="U67" s="47" t="str">
        <x:v>Governed node; variants not separated</x:v>
      </x:c>
      <x:c r="V67" s="49"/>
      <x:c r="W67" s="49"/>
    </x:row>
    <x:row r="68">
      <x:c r="A68" s="47" t="str">
        <x:v>T-MEASURE</x:v>
      </x:c>
      <x:c r="B68" s="47" t="str">
        <x:v>Marked cord/gauge/level</x:v>
      </x:c>
      <x:c r="C68" s="47" t="str">
        <x:v>Tools</x:v>
      </x:c>
      <x:c r="D68" s="47" t="str">
        <x:v>Tool</x:v>
      </x:c>
      <x:c r="E68" s="47" t="str">
        <x:v>H2</x:v>
      </x:c>
      <x:c r="F68" s="47" t="str">
        <x:v>Carryable tool/equipment</x:v>
      </x:c>
      <x:c r="G68" s="47" t="str">
        <x:v>Yes</x:v>
      </x:c>
      <x:c r="H68" s="47" t="str">
        <x:v>Make / assemble / qualify</x:v>
      </x:c>
      <x:c r="I68" s="47" t="str">
        <x:v>P-CORD; P-STRAIGHT-POLE; P-CLEAN-WATER</x:v>
      </x:c>
      <x:c r="J68" s="47" t="str">
        <x:v>mark / compare / calibrate</x:v>
      </x:c>
      <x:c r="K68" s="47" t="str">
        <x:v>T-STONE-KNIFE</x:v>
      </x:c>
      <x:c r="L68" s="47" t="str">
        <x:v>W-WORKMAT</x:v>
      </x:c>
      <x:c r="M68" s="47" t="str">
        <x:v>measurement</x:v>
      </x:c>
      <x:c r="N68" s="47" t="str">
        <x:v>dexterity</x:v>
      </x:c>
      <x:c r="O68" s="51" t="n">
        <x:v>45</x:v>
      </x:c>
      <x:c r="P68" s="51" t="n">
        <x:v>0</x:v>
      </x:c>
      <x:c r="Q68" s="47" t="str">
        <x:v>known-length/level test</x:v>
      </x:c>
      <x:c r="R68" s="47" t="str">
        <x:v>bad datum</x:v>
      </x:c>
      <x:c r="S68" s="47" t="str"/>
      <x:c r="T68" s="47" t="str"/>
      <x:c r="U68" s="47" t="str">
        <x:v>Compressed family/assembly</x:v>
      </x:c>
      <x:c r="V68" s="49"/>
      <x:c r="W68" s="49"/>
    </x:row>
    <x:row r="69">
      <x:c r="A69" s="47" t="str">
        <x:v>T-AXE</x:v>
      </x:c>
      <x:c r="B69" s="47" t="str">
        <x:v>Handled chopping tool</x:v>
      </x:c>
      <x:c r="C69" s="47" t="str">
        <x:v>Tools</x:v>
      </x:c>
      <x:c r="D69" s="47" t="str">
        <x:v>Tool</x:v>
      </x:c>
      <x:c r="E69" s="47" t="str">
        <x:v>H2</x:v>
      </x:c>
      <x:c r="F69" s="47" t="str">
        <x:v>Carryable tool/equipment</x:v>
      </x:c>
      <x:c r="G69" s="47" t="str">
        <x:v>Yes</x:v>
      </x:c>
      <x:c r="H69" s="47" t="str">
        <x:v>Make / assemble / qualify</x:v>
      </x:c>
      <x:c r="I69" s="47" t="str">
        <x:v>P-SHARP-EDGE; P-STRAIGHT-POLE; P-CORD; P-PEG</x:v>
      </x:c>
      <x:c r="J69" s="47" t="str">
        <x:v>fit / bind / wedge / balance / test</x:v>
      </x:c>
      <x:c r="K69" s="47" t="str">
        <x:v>T-MALLET</x:v>
      </x:c>
      <x:c r="L69" s="47" t="str">
        <x:v>W-BENCH</x:v>
      </x:c>
      <x:c r="M69" s="47" t="str">
        <x:v>toolmaking / timber</x:v>
      </x:c>
      <x:c r="N69" s="47" t="str">
        <x:v>strength + dexterity</x:v>
      </x:c>
      <x:c r="O69" s="51" t="n">
        <x:v>120</x:v>
      </x:c>
      <x:c r="P69" s="51" t="n">
        <x:v>0</x:v>
      </x:c>
      <x:c r="Q69" s="47" t="str">
        <x:v>repeated strike/haft test</x:v>
      </x:c>
      <x:c r="R69" s="47" t="str">
        <x:v>head shift / break</x:v>
      </x:c>
      <x:c r="S69" s="47" t="str">
        <x:v>Dual-use tool; no weapon model</x:v>
      </x:c>
      <x:c r="T69" s="47" t="str"/>
      <x:c r="U69" s="47" t="str">
        <x:v>Governed node; variants not separated</x:v>
      </x:c>
      <x:c r="V69" s="49"/>
      <x:c r="W69" s="49"/>
    </x:row>
    <x:row r="70">
      <x:c r="A70" s="47" t="str">
        <x:v>T-ADZE</x:v>
      </x:c>
      <x:c r="B70" s="47" t="str">
        <x:v>Adze/hewing tool</x:v>
      </x:c>
      <x:c r="C70" s="47" t="str">
        <x:v>Tools</x:v>
      </x:c>
      <x:c r="D70" s="47" t="str">
        <x:v>Tool</x:v>
      </x:c>
      <x:c r="E70" s="47" t="str">
        <x:v>H3</x:v>
      </x:c>
      <x:c r="F70" s="47" t="str">
        <x:v>Carryable tool/equipment</x:v>
      </x:c>
      <x:c r="G70" s="47" t="str">
        <x:v>Yes</x:v>
      </x:c>
      <x:c r="H70" s="47" t="str">
        <x:v>Make / assemble / qualify</x:v>
      </x:c>
      <x:c r="I70" s="47" t="str">
        <x:v>P-METAL-STOCK; P-STRAIGHT-POLE; P-PEG</x:v>
      </x:c>
      <x:c r="J70" s="47" t="str">
        <x:v>shape / haft / angle / test</x:v>
      </x:c>
      <x:c r="K70" s="47" t="str">
        <x:v>T-HAMMER</x:v>
      </x:c>
      <x:c r="L70" s="47" t="str">
        <x:v>W-BENCH</x:v>
      </x:c>
      <x:c r="M70" s="47" t="str">
        <x:v>metal / timber</x:v>
      </x:c>
      <x:c r="N70" s="47" t="str">
        <x:v>strength + dexterity</x:v>
      </x:c>
      <x:c r="O70" s="51" t="n">
        <x:v>180</x:v>
      </x:c>
      <x:c r="P70" s="51" t="n">
        <x:v>0</x:v>
      </x:c>
      <x:c r="Q70" s="47" t="str">
        <x:v>controlled hew</x:v>
      </x:c>
      <x:c r="R70" s="47" t="str">
        <x:v>head shift / cut</x:v>
      </x:c>
      <x:c r="S70" s="47" t="str"/>
      <x:c r="T70" s="47" t="str"/>
      <x:c r="U70" s="47" t="str">
        <x:v>Compressed family/assembly</x:v>
      </x:c>
      <x:c r="V70" s="49"/>
      <x:c r="W70" s="49"/>
    </x:row>
    <x:row r="71">
      <x:c r="A71" s="47" t="str">
        <x:v>T-MALLET</x:v>
      </x:c>
      <x:c r="B71" s="47" t="str">
        <x:v>Wood/stone mallet</x:v>
      </x:c>
      <x:c r="C71" s="47" t="str">
        <x:v>Tools</x:v>
      </x:c>
      <x:c r="D71" s="47" t="str">
        <x:v>Tool</x:v>
      </x:c>
      <x:c r="E71" s="47" t="str">
        <x:v>H1</x:v>
      </x:c>
      <x:c r="F71" s="47" t="str">
        <x:v>Carryable tool/equipment</x:v>
      </x:c>
      <x:c r="G71" s="47" t="str">
        <x:v>Yes</x:v>
      </x:c>
      <x:c r="H71" s="47" t="str">
        <x:v>Make / assemble / qualify</x:v>
      </x:c>
      <x:c r="I71" s="47" t="str">
        <x:v>P-STRAIGHT-POLE; P-PEG</x:v>
      </x:c>
      <x:c r="J71" s="47" t="str">
        <x:v>shape / haft / test</x:v>
      </x:c>
      <x:c r="K71" s="47" t="str">
        <x:v>T-STONE-KNIFE</x:v>
      </x:c>
      <x:c r="L71" s="47" t="str">
        <x:v>W-WORKMAT</x:v>
      </x:c>
      <x:c r="M71" s="47" t="str">
        <x:v>toolmaking</x:v>
      </x:c>
      <x:c r="N71" s="47" t="str">
        <x:v>strength</x:v>
      </x:c>
      <x:c r="O71" s="51" t="n">
        <x:v>45</x:v>
      </x:c>
      <x:c r="P71" s="51" t="n">
        <x:v>0</x:v>
      </x:c>
      <x:c r="Q71" s="47" t="str">
        <x:v>strike/haft test</x:v>
      </x:c>
      <x:c r="R71" s="47" t="str">
        <x:v>split</x:v>
      </x:c>
      <x:c r="S71" s="47" t="str"/>
      <x:c r="T71" s="47" t="str"/>
      <x:c r="U71" s="47" t="str">
        <x:v>Compressed family/assembly</x:v>
      </x:c>
      <x:c r="V71" s="49"/>
      <x:c r="W71" s="49"/>
    </x:row>
    <x:row r="72">
      <x:c r="A72" s="47" t="str">
        <x:v>T-HAMMER</x:v>
      </x:c>
      <x:c r="B72" s="47" t="str">
        <x:v>Fitted metal hammer</x:v>
      </x:c>
      <x:c r="C72" s="47" t="str">
        <x:v>Tools</x:v>
      </x:c>
      <x:c r="D72" s="47" t="str">
        <x:v>Tool</x:v>
      </x:c>
      <x:c r="E72" s="47" t="str">
        <x:v>H4</x:v>
      </x:c>
      <x:c r="F72" s="47" t="str">
        <x:v>Carryable tool/equipment</x:v>
      </x:c>
      <x:c r="G72" s="47" t="str">
        <x:v>Yes</x:v>
      </x:c>
      <x:c r="H72" s="47" t="str">
        <x:v>Make / assemble / qualify</x:v>
      </x:c>
      <x:c r="I72" s="47" t="str">
        <x:v>P-METAL-STOCK; P-STRAIGHT-POLE; P-PEG; W-FORGE</x:v>
      </x:c>
      <x:c r="J72" s="47" t="str">
        <x:v>forge / fit / wedge / temper / test</x:v>
      </x:c>
      <x:c r="K72" s="47" t="str">
        <x:v>T-TONGS</x:v>
      </x:c>
      <x:c r="L72" s="47" t="str">
        <x:v>W-FORGE</x:v>
      </x:c>
      <x:c r="M72" s="47" t="str">
        <x:v>metal / toolmaking</x:v>
      </x:c>
      <x:c r="N72" s="47" t="str">
        <x:v>strength + heat</x:v>
      </x:c>
      <x:c r="O72" s="51" t="n">
        <x:v>240</x:v>
      </x:c>
      <x:c r="P72" s="51" t="n">
        <x:v>0</x:v>
      </x:c>
      <x:c r="Q72" s="47" t="str">
        <x:v>face/haft/load test</x:v>
      </x:c>
      <x:c r="R72" s="47" t="str">
        <x:v>crack / mushroom</x:v>
      </x:c>
      <x:c r="S72" s="47" t="str"/>
      <x:c r="T72" s="47" t="str"/>
      <x:c r="U72" s="47" t="str">
        <x:v>Governed node; variants not separated</x:v>
      </x:c>
      <x:c r="V72" s="49"/>
      <x:c r="W72" s="49"/>
    </x:row>
    <x:row r="73">
      <x:c r="A73" s="47" t="str">
        <x:v>T-CHISEL</x:v>
      </x:c>
      <x:c r="B73" s="47" t="str">
        <x:v>Chisel/wedge set</x:v>
      </x:c>
      <x:c r="C73" s="47" t="str">
        <x:v>Tools</x:v>
      </x:c>
      <x:c r="D73" s="47" t="str">
        <x:v>Tool</x:v>
      </x:c>
      <x:c r="E73" s="47" t="str">
        <x:v>H3</x:v>
      </x:c>
      <x:c r="F73" s="47" t="str">
        <x:v>Carryable tool/equipment</x:v>
      </x:c>
      <x:c r="G73" s="47" t="str">
        <x:v>Yes</x:v>
      </x:c>
      <x:c r="H73" s="47" t="str">
        <x:v>Make / assemble / qualify</x:v>
      </x:c>
      <x:c r="I73" s="47" t="str">
        <x:v>P-METAL-STOCK; W-FORGE</x:v>
      </x:c>
      <x:c r="J73" s="47" t="str">
        <x:v>forge / grind / temper</x:v>
      </x:c>
      <x:c r="K73" s="47" t="str">
        <x:v>T-HAMMER</x:v>
      </x:c>
      <x:c r="L73" s="47" t="str">
        <x:v>W-FORGE</x:v>
      </x:c>
      <x:c r="M73" s="47" t="str">
        <x:v>metal / fracture</x:v>
      </x:c>
      <x:c r="N73" s="47" t="str">
        <x:v>heat + dexterity</x:v>
      </x:c>
      <x:c r="O73" s="51" t="n">
        <x:v>180</x:v>
      </x:c>
      <x:c r="P73" s="51" t="n">
        <x:v>0</x:v>
      </x:c>
      <x:c r="Q73" s="47" t="str">
        <x:v>edge and strike test</x:v>
      </x:c>
      <x:c r="R73" s="47" t="str">
        <x:v>chip / bend</x:v>
      </x:c>
      <x:c r="S73" s="47" t="str"/>
      <x:c r="T73" s="47" t="str"/>
      <x:c r="U73" s="47" t="str">
        <x:v>Compressed family/assembly</x:v>
      </x:c>
      <x:c r="V73" s="49"/>
      <x:c r="W73" s="49"/>
    </x:row>
    <x:row r="74">
      <x:c r="A74" s="47" t="str">
        <x:v>T-PRY</x:v>
      </x:c>
      <x:c r="B74" s="47" t="str">
        <x:v>Pry bar/leverage tool</x:v>
      </x:c>
      <x:c r="C74" s="47" t="str">
        <x:v>Tools</x:v>
      </x:c>
      <x:c r="D74" s="47" t="str">
        <x:v>Tool</x:v>
      </x:c>
      <x:c r="E74" s="47" t="str">
        <x:v>H3</x:v>
      </x:c>
      <x:c r="F74" s="47" t="str">
        <x:v>Carryable tool/equipment</x:v>
      </x:c>
      <x:c r="G74" s="47" t="str">
        <x:v>Yes</x:v>
      </x:c>
      <x:c r="H74" s="47" t="str">
        <x:v>Make / assemble / qualify</x:v>
      </x:c>
      <x:c r="I74" s="47" t="str">
        <x:v>P-METAL-STOCK; W-FORGE</x:v>
      </x:c>
      <x:c r="J74" s="47" t="str">
        <x:v>select / bend / shape / test</x:v>
      </x:c>
      <x:c r="K74" s="47" t="str">
        <x:v>T-HAMMER</x:v>
      </x:c>
      <x:c r="L74" s="47" t="str">
        <x:v>W-FORGE</x:v>
      </x:c>
      <x:c r="M74" s="47" t="str">
        <x:v>metal / leverage</x:v>
      </x:c>
      <x:c r="N74" s="47" t="str">
        <x:v>strength</x:v>
      </x:c>
      <x:c r="O74" s="51" t="n">
        <x:v>120</x:v>
      </x:c>
      <x:c r="P74" s="51" t="n">
        <x:v>0</x:v>
      </x:c>
      <x:c r="Q74" s="47" t="str">
        <x:v>proof bend</x:v>
      </x:c>
      <x:c r="R74" s="47" t="str">
        <x:v>springback / fracture</x:v>
      </x:c>
      <x:c r="S74" s="47" t="str">
        <x:v>Dual-use tool; no weapon model</x:v>
      </x:c>
      <x:c r="T74" s="47" t="str"/>
      <x:c r="U74" s="47" t="str">
        <x:v>Compressed family/assembly</x:v>
      </x:c>
      <x:c r="V74" s="49"/>
      <x:c r="W74" s="49"/>
    </x:row>
    <x:row r="75">
      <x:c r="A75" s="47" t="str">
        <x:v>T-AWL</x:v>
      </x:c>
      <x:c r="B75" s="47" t="str">
        <x:v>Awl/piercer</x:v>
      </x:c>
      <x:c r="C75" s="47" t="str">
        <x:v>Tools</x:v>
      </x:c>
      <x:c r="D75" s="47" t="str">
        <x:v>Tool</x:v>
      </x:c>
      <x:c r="E75" s="47" t="str">
        <x:v>H1</x:v>
      </x:c>
      <x:c r="F75" s="47" t="str">
        <x:v>Carryable tool/equipment</x:v>
      </x:c>
      <x:c r="G75" s="47" t="str">
        <x:v>Yes</x:v>
      </x:c>
      <x:c r="H75" s="47" t="str">
        <x:v>Make / assemble / qualify</x:v>
      </x:c>
      <x:c r="I75" s="47" t="str">
        <x:v>S-BONE; P-SHARP-EDGE</x:v>
      </x:c>
      <x:c r="J75" s="47" t="str">
        <x:v>shape / polish / grip</x:v>
      </x:c>
      <x:c r="K75" s="47" t="str">
        <x:v>T-STONE-KNIFE</x:v>
      </x:c>
      <x:c r="L75" s="47" t="str">
        <x:v>W-WORKMAT</x:v>
      </x:c>
      <x:c r="M75" s="47" t="str">
        <x:v>bone / sewing</x:v>
      </x:c>
      <x:c r="N75" s="47" t="str">
        <x:v>dexterity</x:v>
      </x:c>
      <x:c r="O75" s="51" t="n">
        <x:v>30</x:v>
      </x:c>
      <x:c r="P75" s="51" t="n">
        <x:v>0</x:v>
      </x:c>
      <x:c r="Q75" s="47" t="str">
        <x:v>pierce sample</x:v>
      </x:c>
      <x:c r="R75" s="47" t="str">
        <x:v>snap / puncture</x:v>
      </x:c>
      <x:c r="S75" s="47" t="str"/>
      <x:c r="T75" s="47" t="str"/>
      <x:c r="U75" s="47" t="str">
        <x:v>Compressed family/assembly</x:v>
      </x:c>
      <x:c r="V75" s="49"/>
      <x:c r="W75" s="49"/>
    </x:row>
    <x:row r="76">
      <x:c r="A76" s="47" t="str">
        <x:v>T-BOW-DRILL</x:v>
      </x:c>
      <x:c r="B76" s="47" t="str">
        <x:v>Bow/hand drill</x:v>
      </x:c>
      <x:c r="C76" s="47" t="str">
        <x:v>Tools</x:v>
      </x:c>
      <x:c r="D76" s="47" t="str">
        <x:v>Tool</x:v>
      </x:c>
      <x:c r="E76" s="47" t="str">
        <x:v>H2</x:v>
      </x:c>
      <x:c r="F76" s="47" t="str">
        <x:v>Carryable tool/equipment</x:v>
      </x:c>
      <x:c r="G76" s="47" t="str">
        <x:v>Yes</x:v>
      </x:c>
      <x:c r="H76" s="47" t="str">
        <x:v>Make / assemble / qualify</x:v>
      </x:c>
      <x:c r="I76" s="47" t="str">
        <x:v>P-STRAIGHT-POLE; P-CORD; P-SHARP-EDGE</x:v>
      </x:c>
      <x:c r="J76" s="47" t="str">
        <x:v>shape / assemble / brace / test</x:v>
      </x:c>
      <x:c r="K76" s="47" t="str">
        <x:v>T-STONE-KNIFE</x:v>
      </x:c>
      <x:c r="L76" s="47" t="str">
        <x:v>W-WORKMAT</x:v>
      </x:c>
      <x:c r="M76" s="47" t="str">
        <x:v>boring / fire</x:v>
      </x:c>
      <x:c r="N76" s="47" t="str">
        <x:v>coordination</x:v>
      </x:c>
      <x:c r="O76" s="51" t="n">
        <x:v>90</x:v>
      </x:c>
      <x:c r="P76" s="51" t="n">
        <x:v>0</x:v>
      </x:c>
      <x:c r="Q76" s="47" t="str">
        <x:v>controlled bore/ember</x:v>
      </x:c>
      <x:c r="R76" s="47" t="str">
        <x:v>slip / friction burn</x:v>
      </x:c>
      <x:c r="S76" s="47" t="str"/>
      <x:c r="T76" s="47" t="str"/>
      <x:c r="U76" s="47" t="str">
        <x:v>Compressed family/assembly</x:v>
      </x:c>
      <x:c r="V76" s="49"/>
      <x:c r="W76" s="49"/>
    </x:row>
    <x:row r="77">
      <x:c r="A77" s="47" t="str">
        <x:v>T-DRILL</x:v>
      </x:c>
      <x:c r="B77" s="47" t="str">
        <x:v>Brace/drill and bits</x:v>
      </x:c>
      <x:c r="C77" s="47" t="str">
        <x:v>Tools</x:v>
      </x:c>
      <x:c r="D77" s="47" t="str">
        <x:v>Tool</x:v>
      </x:c>
      <x:c r="E77" s="47" t="str">
        <x:v>H4</x:v>
      </x:c>
      <x:c r="F77" s="47" t="str">
        <x:v>Carryable tool/equipment</x:v>
      </x:c>
      <x:c r="G77" s="47" t="str">
        <x:v>Yes</x:v>
      </x:c>
      <x:c r="H77" s="47" t="str">
        <x:v>Make / assemble / qualify</x:v>
      </x:c>
      <x:c r="I77" s="47" t="str">
        <x:v>P-METAL-STOCK; P-STRAIGHT-POLE; W-FORGE</x:v>
      </x:c>
      <x:c r="J77" s="47" t="str">
        <x:v>forge bit / make brace / align</x:v>
      </x:c>
      <x:c r="K77" s="47" t="str">
        <x:v>T-HAMMER</x:v>
      </x:c>
      <x:c r="L77" s="47" t="str">
        <x:v>W-BENCH</x:v>
      </x:c>
      <x:c r="M77" s="47" t="str">
        <x:v>metal / boring</x:v>
      </x:c>
      <x:c r="N77" s="47" t="str">
        <x:v>dexterity</x:v>
      </x:c>
      <x:c r="O77" s="51" t="n">
        <x:v>300</x:v>
      </x:c>
      <x:c r="P77" s="51" t="n">
        <x:v>0</x:v>
      </x:c>
      <x:c r="Q77" s="47" t="str">
        <x:v>round/aligned hole</x:v>
      </x:c>
      <x:c r="R77" s="47" t="str">
        <x:v>bit break</x:v>
      </x:c>
      <x:c r="S77" s="47" t="str"/>
      <x:c r="T77" s="47" t="str"/>
      <x:c r="U77" s="47" t="str">
        <x:v>Compressed family/assembly</x:v>
      </x:c>
      <x:c r="V77" s="49"/>
      <x:c r="W77" s="49"/>
    </x:row>
    <x:row r="78">
      <x:c r="A78" s="47" t="str">
        <x:v>T-SAW</x:v>
      </x:c>
      <x:c r="B78" s="47" t="str">
        <x:v>Saw/hacksaw route</x:v>
      </x:c>
      <x:c r="C78" s="47" t="str">
        <x:v>Tools</x:v>
      </x:c>
      <x:c r="D78" s="47" t="str">
        <x:v>Tool</x:v>
      </x:c>
      <x:c r="E78" s="47" t="str">
        <x:v>H4</x:v>
      </x:c>
      <x:c r="F78" s="47" t="str">
        <x:v>Carryable tool/equipment</x:v>
      </x:c>
      <x:c r="G78" s="47" t="str">
        <x:v>Yes</x:v>
      </x:c>
      <x:c r="H78" s="47" t="str">
        <x:v>Make / assemble / qualify</x:v>
      </x:c>
      <x:c r="I78" s="47" t="str">
        <x:v>P-METAL-STOCK; P-STRAIGHT-POLE; W-FORGE</x:v>
      </x:c>
      <x:c r="J78" s="47" t="str">
        <x:v>tooth / tension / handle / test</x:v>
      </x:c>
      <x:c r="K78" s="47" t="str">
        <x:v>T-FILE</x:v>
      </x:c>
      <x:c r="L78" s="47" t="str">
        <x:v>W-BENCH</x:v>
      </x:c>
      <x:c r="M78" s="47" t="str">
        <x:v>metal / timber</x:v>
      </x:c>
      <x:c r="N78" s="47" t="str">
        <x:v>endurance + dexterity</x:v>
      </x:c>
      <x:c r="O78" s="51" t="n">
        <x:v>360</x:v>
      </x:c>
      <x:c r="P78" s="51" t="n">
        <x:v>0</x:v>
      </x:c>
      <x:c r="Q78" s="47" t="str">
        <x:v>straight cut</x:v>
      </x:c>
      <x:c r="R78" s="47" t="str">
        <x:v>bind / tooth loss</x:v>
      </x:c>
      <x:c r="S78" s="47" t="str"/>
      <x:c r="T78" s="47" t="str"/>
      <x:c r="U78" s="47" t="str">
        <x:v>Compressed family/assembly</x:v>
      </x:c>
      <x:c r="V78" s="49"/>
      <x:c r="W78" s="49"/>
    </x:row>
    <x:row r="79">
      <x:c r="A79" s="47" t="str">
        <x:v>T-FILE</x:v>
      </x:c>
      <x:c r="B79" s="47" t="str">
        <x:v>File/abrasive tool</x:v>
      </x:c>
      <x:c r="C79" s="47" t="str">
        <x:v>Tools</x:v>
      </x:c>
      <x:c r="D79" s="47" t="str">
        <x:v>Tool</x:v>
      </x:c>
      <x:c r="E79" s="47" t="str">
        <x:v>H3</x:v>
      </x:c>
      <x:c r="F79" s="47" t="str">
        <x:v>Carryable tool/equipment</x:v>
      </x:c>
      <x:c r="G79" s="47" t="str">
        <x:v>Yes</x:v>
      </x:c>
      <x:c r="H79" s="47" t="str">
        <x:v>Make / assemble / qualify</x:v>
      </x:c>
      <x:c r="I79" s="47" t="str">
        <x:v>S-STONE; P-METAL-STOCK</x:v>
      </x:c>
      <x:c r="J79" s="47" t="str">
        <x:v>select / groove / harden / handle</x:v>
      </x:c>
      <x:c r="K79" s="47" t="str">
        <x:v>T-HAMMER</x:v>
      </x:c>
      <x:c r="L79" s="47" t="str">
        <x:v>W-FORGE</x:v>
      </x:c>
      <x:c r="M79" s="47" t="str">
        <x:v>abrasion / metal</x:v>
      </x:c>
      <x:c r="N79" s="47" t="str">
        <x:v>dexterity</x:v>
      </x:c>
      <x:c r="O79" s="51" t="n">
        <x:v>180</x:v>
      </x:c>
      <x:c r="P79" s="51" t="n">
        <x:v>0</x:v>
      </x:c>
      <x:c r="Q79" s="47" t="str">
        <x:v>controlled deburr</x:v>
      </x:c>
      <x:c r="R79" s="47" t="str">
        <x:v>clog / scratch</x:v>
      </x:c>
      <x:c r="S79" s="47" t="str"/>
      <x:c r="T79" s="47" t="str"/>
      <x:c r="U79" s="47" t="str">
        <x:v>Compressed family/assembly</x:v>
      </x:c>
      <x:c r="V79" s="49"/>
      <x:c r="W79" s="49"/>
    </x:row>
    <x:row r="80">
      <x:c r="A80" s="47" t="str">
        <x:v>T-TONGS</x:v>
      </x:c>
      <x:c r="B80" s="47" t="str">
        <x:v>Tongs/gripping tool</x:v>
      </x:c>
      <x:c r="C80" s="47" t="str">
        <x:v>Tools</x:v>
      </x:c>
      <x:c r="D80" s="47" t="str">
        <x:v>Tool</x:v>
      </x:c>
      <x:c r="E80" s="47" t="str">
        <x:v>H3</x:v>
      </x:c>
      <x:c r="F80" s="47" t="str">
        <x:v>Carryable tool/equipment</x:v>
      </x:c>
      <x:c r="G80" s="47" t="str">
        <x:v>Yes</x:v>
      </x:c>
      <x:c r="H80" s="47" t="str">
        <x:v>Make / assemble / qualify</x:v>
      </x:c>
      <x:c r="I80" s="47" t="str">
        <x:v>P-METAL-STOCK; W-FORGE</x:v>
      </x:c>
      <x:c r="J80" s="47" t="str">
        <x:v>forge / pivot / fit</x:v>
      </x:c>
      <x:c r="K80" s="47" t="str">
        <x:v>T-HAMMER</x:v>
      </x:c>
      <x:c r="L80" s="47" t="str">
        <x:v>W-FORGE</x:v>
      </x:c>
      <x:c r="M80" s="47" t="str">
        <x:v>metal / holding</x:v>
      </x:c>
      <x:c r="N80" s="47" t="str">
        <x:v>dexterity</x:v>
      </x:c>
      <x:c r="O80" s="51" t="n">
        <x:v>180</x:v>
      </x:c>
      <x:c r="P80" s="51" t="n">
        <x:v>0</x:v>
      </x:c>
      <x:c r="Q80" s="47" t="str">
        <x:v>hot-object grip</x:v>
      </x:c>
      <x:c r="R80" s="47" t="str">
        <x:v>slip / pinch</x:v>
      </x:c>
      <x:c r="S80" s="47" t="str"/>
      <x:c r="T80" s="47" t="str"/>
      <x:c r="U80" s="47" t="str">
        <x:v>Compressed family/assembly</x:v>
      </x:c>
      <x:c r="V80" s="49"/>
      <x:c r="W80" s="49"/>
    </x:row>
    <x:row r="81">
      <x:c r="A81" s="47" t="str">
        <x:v>T-CLAMP</x:v>
      </x:c>
      <x:c r="B81" s="47" t="str">
        <x:v>Clamp/vice/jig</x:v>
      </x:c>
      <x:c r="C81" s="47" t="str">
        <x:v>Tools</x:v>
      </x:c>
      <x:c r="D81" s="47" t="str">
        <x:v>Tool</x:v>
      </x:c>
      <x:c r="E81" s="47" t="str">
        <x:v>H3</x:v>
      </x:c>
      <x:c r="F81" s="47" t="str">
        <x:v>Carryable tool/equipment</x:v>
      </x:c>
      <x:c r="G81" s="47" t="str">
        <x:v>Yes</x:v>
      </x:c>
      <x:c r="H81" s="47" t="str">
        <x:v>Make / assemble / qualify</x:v>
      </x:c>
      <x:c r="I81" s="47" t="str">
        <x:v>P-PLANK; P-PEG; S-FASTENER</x:v>
      </x:c>
      <x:c r="J81" s="47" t="str">
        <x:v>frame / screw/wedge / align</x:v>
      </x:c>
      <x:c r="K81" s="47" t="str">
        <x:v>T-DRILL</x:v>
      </x:c>
      <x:c r="L81" s="47" t="str">
        <x:v>W-BENCH</x:v>
      </x:c>
      <x:c r="M81" s="47" t="str">
        <x:v>workholding</x:v>
      </x:c>
      <x:c r="N81" s="47" t="str">
        <x:v>dexterity</x:v>
      </x:c>
      <x:c r="O81" s="51" t="n">
        <x:v>180</x:v>
      </x:c>
      <x:c r="P81" s="51" t="n">
        <x:v>0</x:v>
      </x:c>
      <x:c r="Q81" s="47" t="str">
        <x:v>holding force/alignment</x:v>
      </x:c>
      <x:c r="R81" s="47" t="str">
        <x:v>rack / crush</x:v>
      </x:c>
      <x:c r="S81" s="47" t="str"/>
      <x:c r="T81" s="47" t="str"/>
      <x:c r="U81" s="47" t="str">
        <x:v>Compressed family/assembly</x:v>
      </x:c>
      <x:c r="V81" s="49"/>
      <x:c r="W81" s="49"/>
    </x:row>
    <x:row r="82">
      <x:c r="A82" s="47" t="str">
        <x:v>T-DIG</x:v>
      </x:c>
      <x:c r="B82" s="47" t="str">
        <x:v>Digging stick/scoop</x:v>
      </x:c>
      <x:c r="C82" s="47" t="str">
        <x:v>Tools</x:v>
      </x:c>
      <x:c r="D82" s="47" t="str">
        <x:v>Tool</x:v>
      </x:c>
      <x:c r="E82" s="47" t="str">
        <x:v>H1</x:v>
      </x:c>
      <x:c r="F82" s="47" t="str">
        <x:v>Carryable tool/equipment</x:v>
      </x:c>
      <x:c r="G82" s="47" t="str">
        <x:v>Yes</x:v>
      </x:c>
      <x:c r="H82" s="47" t="str">
        <x:v>Make / assemble / qualify</x:v>
      </x:c>
      <x:c r="I82" s="47" t="str">
        <x:v>P-STRAIGHT-POLE; P-SHARP-EDGE</x:v>
      </x:c>
      <x:c r="J82" s="47" t="str">
        <x:v>shape / harden / test</x:v>
      </x:c>
      <x:c r="K82" s="47" t="str">
        <x:v>T-STONE-KNIFE</x:v>
      </x:c>
      <x:c r="L82" s="47" t="str">
        <x:v>W-WORKMAT</x:v>
      </x:c>
      <x:c r="M82" s="47" t="str">
        <x:v>earthwork</x:v>
      </x:c>
      <x:c r="N82" s="47" t="str">
        <x:v>strength</x:v>
      </x:c>
      <x:c r="O82" s="51" t="n">
        <x:v>45</x:v>
      </x:c>
      <x:c r="P82" s="51" t="n">
        <x:v>0</x:v>
      </x:c>
      <x:c r="Q82" s="47" t="str">
        <x:v>soil penetration</x:v>
      </x:c>
      <x:c r="R82" s="47" t="str">
        <x:v>break / blister</x:v>
      </x:c>
      <x:c r="S82" s="47" t="str"/>
      <x:c r="T82" s="47" t="str"/>
      <x:c r="U82" s="47" t="str">
        <x:v>Compressed family/assembly</x:v>
      </x:c>
      <x:c r="V82" s="49"/>
      <x:c r="W82" s="49"/>
    </x:row>
    <x:row r="83">
      <x:c r="A83" s="47" t="str">
        <x:v>T-SHOVEL</x:v>
      </x:c>
      <x:c r="B83" s="47" t="str">
        <x:v>Fitted shovel/mattock</x:v>
      </x:c>
      <x:c r="C83" s="47" t="str">
        <x:v>Tools</x:v>
      </x:c>
      <x:c r="D83" s="47" t="str">
        <x:v>Tool</x:v>
      </x:c>
      <x:c r="E83" s="47" t="str">
        <x:v>H3</x:v>
      </x:c>
      <x:c r="F83" s="47" t="str">
        <x:v>Carryable tool/equipment</x:v>
      </x:c>
      <x:c r="G83" s="47" t="str">
        <x:v>Yes</x:v>
      </x:c>
      <x:c r="H83" s="47" t="str">
        <x:v>Make / assemble / qualify</x:v>
      </x:c>
      <x:c r="I83" s="47" t="str">
        <x:v>P-METAL-STOCK; P-STRAIGHT-POLE; S-FASTENER</x:v>
      </x:c>
      <x:c r="J83" s="47" t="str">
        <x:v>shape / haft / test</x:v>
      </x:c>
      <x:c r="K83" s="47" t="str">
        <x:v>T-HAMMER</x:v>
      </x:c>
      <x:c r="L83" s="47" t="str">
        <x:v>W-BENCH</x:v>
      </x:c>
      <x:c r="M83" s="47" t="str">
        <x:v>earthwork / metal</x:v>
      </x:c>
      <x:c r="N83" s="47" t="str">
        <x:v>strength + endurance</x:v>
      </x:c>
      <x:c r="O83" s="51" t="n">
        <x:v>240</x:v>
      </x:c>
      <x:c r="P83" s="51" t="n">
        <x:v>0</x:v>
      </x:c>
      <x:c r="Q83" s="47" t="str">
        <x:v>dig/lift test</x:v>
      </x:c>
      <x:c r="R83" s="47" t="str">
        <x:v>bend / loose</x:v>
      </x:c>
      <x:c r="S83" s="47" t="str"/>
      <x:c r="T83" s="47" t="str"/>
      <x:c r="U83" s="47" t="str">
        <x:v>Compressed family/assembly</x:v>
      </x:c>
      <x:c r="V83" s="49"/>
      <x:c r="W83" s="49"/>
    </x:row>
    <x:row r="84">
      <x:c r="A84" s="47" t="str">
        <x:v>T-NEEDLE</x:v>
      </x:c>
      <x:c r="B84" s="47" t="str">
        <x:v>Needle/sewing set</x:v>
      </x:c>
      <x:c r="C84" s="47" t="str">
        <x:v>Tools</x:v>
      </x:c>
      <x:c r="D84" s="47" t="str">
        <x:v>Tool</x:v>
      </x:c>
      <x:c r="E84" s="47" t="str">
        <x:v>H2</x:v>
      </x:c>
      <x:c r="F84" s="47" t="str">
        <x:v>Carryable tool/equipment</x:v>
      </x:c>
      <x:c r="G84" s="47" t="str">
        <x:v>Yes</x:v>
      </x:c>
      <x:c r="H84" s="47" t="str">
        <x:v>Make / assemble / qualify</x:v>
      </x:c>
      <x:c r="I84" s="47" t="str">
        <x:v>S-BONE; T-AWL</x:v>
      </x:c>
      <x:c r="J84" s="47" t="str">
        <x:v>shape / polish / eye</x:v>
      </x:c>
      <x:c r="K84" s="47" t="str">
        <x:v>T-STONE-KNIFE</x:v>
      </x:c>
      <x:c r="L84" s="47" t="str">
        <x:v>W-WORKMAT</x:v>
      </x:c>
      <x:c r="M84" s="47" t="str">
        <x:v>sewing</x:v>
      </x:c>
      <x:c r="N84" s="47" t="str">
        <x:v>dexterity</x:v>
      </x:c>
      <x:c r="O84" s="51" t="n">
        <x:v>45</x:v>
      </x:c>
      <x:c r="P84" s="51" t="n">
        <x:v>0</x:v>
      </x:c>
      <x:c r="Q84" s="47" t="str">
        <x:v>seam sample</x:v>
      </x:c>
      <x:c r="R84" s="47" t="str">
        <x:v>snap / puncture</x:v>
      </x:c>
      <x:c r="S84" s="47" t="str"/>
      <x:c r="T84" s="47" t="str"/>
      <x:c r="U84" s="47" t="str">
        <x:v>Compressed family/assembly</x:v>
      </x:c>
      <x:c r="V84" s="49"/>
      <x:c r="W84" s="49"/>
    </x:row>
    <x:row r="85">
      <x:c r="A85" s="47" t="str">
        <x:v>T-SNIPS</x:v>
      </x:c>
      <x:c r="B85" s="47" t="str">
        <x:v>Sheet cutting tool</x:v>
      </x:c>
      <x:c r="C85" s="47" t="str">
        <x:v>Tools</x:v>
      </x:c>
      <x:c r="D85" s="47" t="str">
        <x:v>Tool</x:v>
      </x:c>
      <x:c r="E85" s="47" t="str">
        <x:v>H4</x:v>
      </x:c>
      <x:c r="F85" s="47" t="str">
        <x:v>Carryable tool/equipment</x:v>
      </x:c>
      <x:c r="G85" s="47" t="str">
        <x:v>Yes</x:v>
      </x:c>
      <x:c r="H85" s="47" t="str">
        <x:v>Make / assemble / qualify</x:v>
      </x:c>
      <x:c r="I85" s="47" t="str">
        <x:v>P-METAL-STOCK; W-FORGE</x:v>
      </x:c>
      <x:c r="J85" s="47" t="str">
        <x:v>forge / pivot / sharpen / test</x:v>
      </x:c>
      <x:c r="K85" s="47" t="str">
        <x:v>T-HAMMER</x:v>
      </x:c>
      <x:c r="L85" s="47" t="str">
        <x:v>W-FORGE</x:v>
      </x:c>
      <x:c r="M85" s="47" t="str">
        <x:v>metal / sheet</x:v>
      </x:c>
      <x:c r="N85" s="47" t="str">
        <x:v>strength + dexterity</x:v>
      </x:c>
      <x:c r="O85" s="51" t="n">
        <x:v>300</x:v>
      </x:c>
      <x:c r="P85" s="51" t="n">
        <x:v>0</x:v>
      </x:c>
      <x:c r="Q85" s="47" t="str">
        <x:v>clean sheet cut</x:v>
      </x:c>
      <x:c r="R85" s="47" t="str">
        <x:v>burr / jaw spread</x:v>
      </x:c>
      <x:c r="S85" s="47" t="str"/>
      <x:c r="T85" s="47" t="str"/>
      <x:c r="U85" s="47" t="str">
        <x:v>Governed node; variants not separated</x:v>
      </x:c>
      <x:c r="V85" s="49"/>
      <x:c r="W85" s="49"/>
    </x:row>
    <x:row r="86">
      <x:c r="A86" s="47" t="str">
        <x:v>T-PUNCH</x:v>
      </x:c>
      <x:c r="B86" s="47" t="str">
        <x:v>Punch/rivet set</x:v>
      </x:c>
      <x:c r="C86" s="47" t="str">
        <x:v>Tools</x:v>
      </x:c>
      <x:c r="D86" s="47" t="str">
        <x:v>Tool</x:v>
      </x:c>
      <x:c r="E86" s="47" t="str">
        <x:v>H4</x:v>
      </x:c>
      <x:c r="F86" s="47" t="str">
        <x:v>Carryable tool/equipment</x:v>
      </x:c>
      <x:c r="G86" s="47" t="str">
        <x:v>Yes</x:v>
      </x:c>
      <x:c r="H86" s="47" t="str">
        <x:v>Make / assemble / qualify</x:v>
      </x:c>
      <x:c r="I86" s="47" t="str">
        <x:v>P-METAL-STOCK; W-FORGE</x:v>
      </x:c>
      <x:c r="J86" s="47" t="str">
        <x:v>forge / temper / size</x:v>
      </x:c>
      <x:c r="K86" s="47" t="str">
        <x:v>T-HAMMER</x:v>
      </x:c>
      <x:c r="L86" s="47" t="str">
        <x:v>W-FORGE</x:v>
      </x:c>
      <x:c r="M86" s="47" t="str">
        <x:v>metal / fastening</x:v>
      </x:c>
      <x:c r="N86" s="47" t="str">
        <x:v>dexterity</x:v>
      </x:c>
      <x:c r="O86" s="51" t="n">
        <x:v>180</x:v>
      </x:c>
      <x:c r="P86" s="51" t="n">
        <x:v>0</x:v>
      </x:c>
      <x:c r="Q86" s="47" t="str">
        <x:v>hole/rivet sample</x:v>
      </x:c>
      <x:c r="R86" s="47" t="str">
        <x:v>mushroom / misalign</x:v>
      </x:c>
      <x:c r="S86" s="47" t="str"/>
      <x:c r="T86" s="47" t="str"/>
      <x:c r="U86" s="47" t="str">
        <x:v>Compressed family/assembly</x:v>
      </x:c>
      <x:c r="V86" s="49"/>
      <x:c r="W86" s="49"/>
    </x:row>
    <x:row r="87">
      <x:c r="A87" s="47" t="str">
        <x:v>T-METER</x:v>
      </x:c>
      <x:c r="B87" s="47" t="str">
        <x:v>Electrical test meter</x:v>
      </x:c>
      <x:c r="C87" s="47" t="str">
        <x:v>Tools</x:v>
      </x:c>
      <x:c r="D87" s="47" t="str">
        <x:v>Tool</x:v>
      </x:c>
      <x:c r="E87" s="47" t="str">
        <x:v>H5</x:v>
      </x:c>
      <x:c r="F87" s="47" t="str">
        <x:v>Carryable tool/equipment</x:v>
      </x:c>
      <x:c r="G87" s="47" t="str">
        <x:v>Yes</x:v>
      </x:c>
      <x:c r="H87" s="47" t="str">
        <x:v>Recover / repair / qualify</x:v>
      </x:c>
      <x:c r="I87" s="47" t="str">
        <x:v>S-BATTERY; S-WIRE; S-RADIO</x:v>
      </x:c>
      <x:c r="J87" s="47" t="str">
        <x:v>recover / protect / calibrate</x:v>
      </x:c>
      <x:c r="K87" s="47" t="str"/>
      <x:c r="L87" s="47" t="str">
        <x:v>W-ELECTRICAL</x:v>
      </x:c>
      <x:c r="M87" s="47" t="str">
        <x:v>electrical / measurement</x:v>
      </x:c>
      <x:c r="N87" s="47" t="str">
        <x:v>dexterity + knowledge</x:v>
      </x:c>
      <x:c r="O87" s="51" t="n">
        <x:v>240</x:v>
      </x:c>
      <x:c r="P87" s="51" t="n">
        <x:v>0</x:v>
      </x:c>
      <x:c r="Q87" s="47" t="str">
        <x:v>known reference test</x:v>
      </x:c>
      <x:c r="R87" s="47" t="str">
        <x:v>short / false reading</x:v>
      </x:c>
      <x:c r="S87" s="47" t="str"/>
      <x:c r="T87" s="47" t="str">
        <x:v>Steam/electric supporting chain</x:v>
      </x:c>
      <x:c r="U87" s="47" t="str">
        <x:v>Governed node; variants not separated</x:v>
      </x:c>
      <x:c r="V87" s="49"/>
      <x:c r="W87" s="49"/>
    </x:row>
    <x:row r="88">
      <x:c r="A88" s="47" t="str">
        <x:v>W-WORKMAT</x:v>
      </x:c>
      <x:c r="B88" s="47" t="str">
        <x:v>Work mat/support</x:v>
      </x:c>
      <x:c r="C88" s="47" t="str">
        <x:v>Workspace</x:v>
      </x:c>
      <x:c r="D88" s="47" t="str">
        <x:v>Workspace</x:v>
      </x:c>
      <x:c r="E88" s="47" t="str">
        <x:v>H1</x:v>
      </x:c>
      <x:c r="F88" s="47" t="str">
        <x:v>Placeable workspace</x:v>
      </x:c>
      <x:c r="G88" s="47" t="str">
        <x:v>No</x:v>
      </x:c>
      <x:c r="H88" s="47" t="str">
        <x:v>Make / assemble / qualify</x:v>
      </x:c>
      <x:c r="I88" s="47" t="str">
        <x:v>P-MAT</x:v>
      </x:c>
      <x:c r="J88" s="47" t="str">
        <x:v>place / clean / support</x:v>
      </x:c>
      <x:c r="K88" s="47" t="str"/>
      <x:c r="L88" s="47" t="str">
        <x:v>sheltered ground</x:v>
      </x:c>
      <x:c r="M88" s="47" t="str">
        <x:v>workholding / hygiene</x:v>
      </x:c>
      <x:c r="N88" s="47" t="str">
        <x:v>low</x:v>
      </x:c>
      <x:c r="O88" s="51" t="n">
        <x:v>10</x:v>
      </x:c>
      <x:c r="P88" s="51" t="n">
        <x:v>0</x:v>
      </x:c>
      <x:c r="Q88" s="47" t="str">
        <x:v>dry/stable surface</x:v>
      </x:c>
      <x:c r="R88" s="47" t="str">
        <x:v>dirty / unstable</x:v>
      </x:c>
      <x:c r="S88" s="47" t="str"/>
      <x:c r="T88" s="47" t="str"/>
      <x:c r="U88" s="47" t="str">
        <x:v>Compressed family/assembly</x:v>
      </x:c>
      <x:c r="V88" s="49"/>
      <x:c r="W88" s="49"/>
    </x:row>
    <x:row r="89">
      <x:c r="A89" s="47" t="str">
        <x:v>W-HEARTH</x:v>
      </x:c>
      <x:c r="B89" s="47" t="str">
        <x:v>Controlled hearth</x:v>
      </x:c>
      <x:c r="C89" s="47" t="str">
        <x:v>Thermal</x:v>
      </x:c>
      <x:c r="D89" s="47" t="str">
        <x:v>Workspace</x:v>
      </x:c>
      <x:c r="E89" s="47" t="str">
        <x:v>H2</x:v>
      </x:c>
      <x:c r="F89" s="47" t="str">
        <x:v>Placeable workspace</x:v>
      </x:c>
      <x:c r="G89" s="47" t="str">
        <x:v>No</x:v>
      </x:c>
      <x:c r="H89" s="47" t="str">
        <x:v>Make / assemble / qualify</x:v>
      </x:c>
      <x:c r="I89" s="47" t="str">
        <x:v>S-STONE; S-WOODFUEL; P-CORD</x:v>
      </x:c>
      <x:c r="J89" s="47" t="str">
        <x:v>site / contain / ignite / manage / extinguish</x:v>
      </x:c>
      <x:c r="K89" s="47" t="str">
        <x:v>T-DIG</x:v>
      </x:c>
      <x:c r="L89" s="47" t="str">
        <x:v>safe exterior</x:v>
      </x:c>
      <x:c r="M89" s="47" t="str">
        <x:v>firecraft</x:v>
      </x:c>
      <x:c r="N89" s="47" t="str">
        <x:v>moderate</x:v>
      </x:c>
      <x:c r="O89" s="51" t="n">
        <x:v>90</x:v>
      </x:c>
      <x:c r="P89" s="51" t="n">
        <x:v>0</x:v>
      </x:c>
      <x:c r="Q89" s="47" t="str">
        <x:v>sustained heat/smoke/escape</x:v>
      </x:c>
      <x:c r="R89" s="47" t="str">
        <x:v>fire / smoke / extinction</x:v>
      </x:c>
      <x:c r="S89" s="47" t="str"/>
      <x:c r="T89" s="47" t="str"/>
      <x:c r="U89" s="47" t="str">
        <x:v>Governed node; variants not separated</x:v>
      </x:c>
      <x:c r="V89" s="49"/>
      <x:c r="W89" s="49"/>
    </x:row>
    <x:row r="90">
      <x:c r="A90" s="47" t="str">
        <x:v>W-BENCH</x:v>
      </x:c>
      <x:c r="B90" s="47" t="str">
        <x:v>Workbench with holding</x:v>
      </x:c>
      <x:c r="C90" s="47" t="str">
        <x:v>Workspace</x:v>
      </x:c>
      <x:c r="D90" s="47" t="str">
        <x:v>Workspace</x:v>
      </x:c>
      <x:c r="E90" s="47" t="str">
        <x:v>H3</x:v>
      </x:c>
      <x:c r="F90" s="47" t="str">
        <x:v>Placeable workspace</x:v>
      </x:c>
      <x:c r="G90" s="47" t="str">
        <x:v>No</x:v>
      </x:c>
      <x:c r="H90" s="47" t="str">
        <x:v>Make / assemble / qualify</x:v>
      </x:c>
      <x:c r="I90" s="47" t="str">
        <x:v>P-PLANK; P-STRAIGHT-POLE; P-PEG; T-MEASURE</x:v>
      </x:c>
      <x:c r="J90" s="47" t="str">
        <x:v>frame / brace / level / test</x:v>
      </x:c>
      <x:c r="K90" s="47" t="str">
        <x:v>T-AXE</x:v>
      </x:c>
      <x:c r="L90" s="47" t="str">
        <x:v>working home</x:v>
      </x:c>
      <x:c r="M90" s="47" t="str">
        <x:v>construction / workholding</x:v>
      </x:c>
      <x:c r="N90" s="47" t="str">
        <x:v>strength + dexterity</x:v>
      </x:c>
      <x:c r="O90" s="51" t="n">
        <x:v>360</x:v>
      </x:c>
      <x:c r="P90" s="51" t="n">
        <x:v>0</x:v>
      </x:c>
      <x:c r="Q90" s="47" t="str">
        <x:v>rack/load/clamp test</x:v>
      </x:c>
      <x:c r="R90" s="47" t="str">
        <x:v>rack / overturn</x:v>
      </x:c>
      <x:c r="S90" s="47" t="str"/>
      <x:c r="T90" s="47" t="str"/>
      <x:c r="U90" s="47" t="str">
        <x:v>Governed node; variants not separated</x:v>
      </x:c>
      <x:c r="V90" s="49"/>
      <x:c r="W90" s="49"/>
    </x:row>
    <x:row r="91">
      <x:c r="A91" s="47" t="str">
        <x:v>W-CHARCOAL</x:v>
      </x:c>
      <x:c r="B91" s="47" t="str">
        <x:v>Charcoal pit/retort</x:v>
      </x:c>
      <x:c r="C91" s="47" t="str">
        <x:v>Thermal</x:v>
      </x:c>
      <x:c r="D91" s="47" t="str">
        <x:v>Workspace</x:v>
      </x:c>
      <x:c r="E91" s="47" t="str">
        <x:v>H3</x:v>
      </x:c>
      <x:c r="F91" s="47" t="str">
        <x:v>Placeable workspace</x:v>
      </x:c>
      <x:c r="G91" s="47" t="str">
        <x:v>No</x:v>
      </x:c>
      <x:c r="H91" s="47" t="str">
        <x:v>Make / assemble / qualify</x:v>
      </x:c>
      <x:c r="I91" s="47" t="str">
        <x:v>S-STONE; P-CLAY-BODY; S-WOODFUEL</x:v>
      </x:c>
      <x:c r="J91" s="47" t="str">
        <x:v>build / seal / vent / control</x:v>
      </x:c>
      <x:c r="K91" s="47" t="str">
        <x:v>T-DIG</x:v>
      </x:c>
      <x:c r="L91" s="47" t="str">
        <x:v>safe yard</x:v>
      </x:c>
      <x:c r="M91" s="47" t="str">
        <x:v>firecraft</x:v>
      </x:c>
      <x:c r="N91" s="47" t="str">
        <x:v>heat</x:v>
      </x:c>
      <x:c r="O91" s="51" t="n">
        <x:v>240</x:v>
      </x:c>
      <x:c r="P91" s="51" t="n">
        <x:v>0</x:v>
      </x:c>
      <x:c r="Q91" s="47" t="str">
        <x:v>controlled low-oxygen burn</x:v>
      </x:c>
      <x:c r="R91" s="47" t="str">
        <x:v>wildfire / ash</x:v>
      </x:c>
      <x:c r="S91" s="47" t="str"/>
      <x:c r="T91" s="47" t="str"/>
      <x:c r="U91" s="47" t="str">
        <x:v>Compressed family/assembly</x:v>
      </x:c>
      <x:c r="V91" s="49"/>
      <x:c r="W91" s="49"/>
    </x:row>
    <x:row r="92">
      <x:c r="A92" s="47" t="str">
        <x:v>W-KILN</x:v>
      </x:c>
      <x:c r="B92" s="47" t="str">
        <x:v>Kiln/firing hearth</x:v>
      </x:c>
      <x:c r="C92" s="47" t="str">
        <x:v>Ceramic</x:v>
      </x:c>
      <x:c r="D92" s="47" t="str">
        <x:v>Workspace</x:v>
      </x:c>
      <x:c r="E92" s="47" t="str">
        <x:v>H4</x:v>
      </x:c>
      <x:c r="F92" s="47" t="str">
        <x:v>Placeable workspace</x:v>
      </x:c>
      <x:c r="G92" s="47" t="str">
        <x:v>No</x:v>
      </x:c>
      <x:c r="H92" s="47" t="str">
        <x:v>Make / assemble / qualify</x:v>
      </x:c>
      <x:c r="I92" s="47" t="str">
        <x:v>P-FIRED-CERAMIC; S-STONE; P-CHARCOAL</x:v>
      </x:c>
      <x:c r="J92" s="47" t="str">
        <x:v>build / draft / fire / cool</x:v>
      </x:c>
      <x:c r="K92" s="47" t="str">
        <x:v>T-TONGS</x:v>
      </x:c>
      <x:c r="L92" s="47" t="str">
        <x:v>safe yard</x:v>
      </x:c>
      <x:c r="M92" s="47" t="str">
        <x:v>ceramic / thermal</x:v>
      </x:c>
      <x:c r="N92" s="47" t="str">
        <x:v>heat</x:v>
      </x:c>
      <x:c r="O92" s="51" t="n">
        <x:v>720</x:v>
      </x:c>
      <x:c r="P92" s="51" t="n">
        <x:v>0</x:v>
      </x:c>
      <x:c r="Q92" s="47" t="str">
        <x:v>fired test pieces</x:v>
      </x:c>
      <x:c r="R92" s="47" t="str">
        <x:v>collapse / uneven heat</x:v>
      </x:c>
      <x:c r="S92" s="47" t="str"/>
      <x:c r="T92" s="47" t="str"/>
      <x:c r="U92" s="47" t="str">
        <x:v>Compressed family/assembly</x:v>
      </x:c>
      <x:c r="V92" s="49"/>
      <x:c r="W92" s="49"/>
    </x:row>
    <x:row r="93">
      <x:c r="A93" s="47" t="str">
        <x:v>W-FORGE</x:v>
      </x:c>
      <x:c r="B93" s="47" t="str">
        <x:v>Forge/anvil station</x:v>
      </x:c>
      <x:c r="C93" s="47" t="str">
        <x:v>Metal</x:v>
      </x:c>
      <x:c r="D93" s="47" t="str">
        <x:v>Workspace</x:v>
      </x:c>
      <x:c r="E93" s="47" t="str">
        <x:v>H4</x:v>
      </x:c>
      <x:c r="F93" s="47" t="str">
        <x:v>Placeable workspace</x:v>
      </x:c>
      <x:c r="G93" s="47" t="str">
        <x:v>No</x:v>
      </x:c>
      <x:c r="H93" s="47" t="str">
        <x:v>Make / assemble / qualify</x:v>
      </x:c>
      <x:c r="I93" s="47" t="str">
        <x:v>P-FIRED-CERAMIC; P-CHARCOAL; T-TONGS; T-HAMMER</x:v>
      </x:c>
      <x:c r="J93" s="47" t="str">
        <x:v>build / draft / heat / form</x:v>
      </x:c>
      <x:c r="K93" s="47" t="str">
        <x:v>T-TONGS</x:v>
      </x:c>
      <x:c r="L93" s="47" t="str">
        <x:v>ventilated yard</x:v>
      </x:c>
      <x:c r="M93" s="47" t="str">
        <x:v>metal / thermal</x:v>
      </x:c>
      <x:c r="N93" s="47" t="str">
        <x:v>strength + heat</x:v>
      </x:c>
      <x:c r="O93" s="51" t="n">
        <x:v>720</x:v>
      </x:c>
      <x:c r="P93" s="51" t="n">
        <x:v>0</x:v>
      </x:c>
      <x:c r="Q93" s="47" t="str">
        <x:v>forged test stock</x:v>
      </x:c>
      <x:c r="R93" s="47" t="str">
        <x:v>burn / fume / crack</x:v>
      </x:c>
      <x:c r="S93" s="47" t="str"/>
      <x:c r="T93" s="47" t="str"/>
      <x:c r="U93" s="47" t="str">
        <x:v>Compressed family/assembly</x:v>
      </x:c>
      <x:c r="V93" s="49"/>
      <x:c r="W93" s="49"/>
    </x:row>
    <x:row r="94">
      <x:c r="A94" s="47" t="str">
        <x:v>W-CLEAN</x:v>
      </x:c>
      <x:c r="B94" s="47" t="str">
        <x:v>Clean treatment surface</x:v>
      </x:c>
      <x:c r="C94" s="47" t="str">
        <x:v>Medicine</x:v>
      </x:c>
      <x:c r="D94" s="47" t="str">
        <x:v>Workspace</x:v>
      </x:c>
      <x:c r="E94" s="47" t="str">
        <x:v>H2</x:v>
      </x:c>
      <x:c r="F94" s="47" t="str">
        <x:v>Placeable workspace</x:v>
      </x:c>
      <x:c r="G94" s="47" t="str">
        <x:v>No</x:v>
      </x:c>
      <x:c r="H94" s="47" t="str">
        <x:v>Make / assemble / qualify</x:v>
      </x:c>
      <x:c r="I94" s="47" t="str">
        <x:v>P-CLEAN-WATER; P-MAT; A-ROOF</x:v>
      </x:c>
      <x:c r="J94" s="47" t="str">
        <x:v>clean / separate / light / store</x:v>
      </x:c>
      <x:c r="K94" s="47" t="str"/>
      <x:c r="L94" s="47" t="str">
        <x:v>refuge</x:v>
      </x:c>
      <x:c r="M94" s="47" t="str">
        <x:v>hygiene / medicine</x:v>
      </x:c>
      <x:c r="N94" s="47" t="str">
        <x:v>low</x:v>
      </x:c>
      <x:c r="O94" s="51" t="n">
        <x:v>60</x:v>
      </x:c>
      <x:c r="P94" s="51" t="n">
        <x:v>0</x:v>
      </x:c>
      <x:c r="Q94" s="47" t="str">
        <x:v>clean/dirty separation</x:v>
      </x:c>
      <x:c r="R94" s="47" t="str">
        <x:v>recontaminate</x:v>
      </x:c>
      <x:c r="S94" s="47" t="str"/>
      <x:c r="T94" s="47" t="str"/>
      <x:c r="U94" s="47" t="str">
        <x:v>Governed node; variants not separated</x:v>
      </x:c>
      <x:c r="V94" s="49"/>
      <x:c r="W94" s="49"/>
    </x:row>
    <x:row r="95">
      <x:c r="A95" s="47" t="str">
        <x:v>W-WATER</x:v>
      </x:c>
      <x:c r="B95" s="47" t="str">
        <x:v>Water treatment station</x:v>
      </x:c>
      <x:c r="C95" s="47" t="str">
        <x:v>Water</x:v>
      </x:c>
      <x:c r="D95" s="47" t="str">
        <x:v>Workspace</x:v>
      </x:c>
      <x:c r="E95" s="47" t="str">
        <x:v>H2</x:v>
      </x:c>
      <x:c r="F95" s="47" t="str">
        <x:v>Placeable workspace</x:v>
      </x:c>
      <x:c r="G95" s="47" t="str">
        <x:v>No</x:v>
      </x:c>
      <x:c r="H95" s="47" t="str">
        <x:v>Make / assemble / qualify</x:v>
      </x:c>
      <x:c r="I95" s="47" t="str">
        <x:v>W-HEARTH; W-CLEAN; C-COVERED-STORE</x:v>
      </x:c>
      <x:c r="J95" s="47" t="str">
        <x:v>separate raw/treated / heat / cool / label</x:v>
      </x:c>
      <x:c r="K95" s="47" t="str"/>
      <x:c r="L95" s="47" t="str">
        <x:v>working shelter</x:v>
      </x:c>
      <x:c r="M95" s="47" t="str">
        <x:v>water / hygiene</x:v>
      </x:c>
      <x:c r="N95" s="47" t="str">
        <x:v>moderate</x:v>
      </x:c>
      <x:c r="O95" s="51" t="n">
        <x:v>120</x:v>
      </x:c>
      <x:c r="P95" s="51" t="n">
        <x:v>0</x:v>
      </x:c>
      <x:c r="Q95" s="47" t="str">
        <x:v>no cross-contamination</x:v>
      </x:c>
      <x:c r="R95" s="47" t="str">
        <x:v>mix / spill</x:v>
      </x:c>
      <x:c r="S95" s="47" t="str"/>
      <x:c r="T95" s="47" t="str"/>
      <x:c r="U95" s="47" t="str">
        <x:v>Compressed family/assembly</x:v>
      </x:c>
      <x:c r="V95" s="49"/>
      <x:c r="W95" s="49"/>
    </x:row>
    <x:row r="96">
      <x:c r="A96" s="47" t="str">
        <x:v>A-SMOKER</x:v>
      </x:c>
      <x:c r="B96" s="47" t="str">
        <x:v>Smoking/drying station</x:v>
      </x:c>
      <x:c r="C96" s="47" t="str">
        <x:v>Food</x:v>
      </x:c>
      <x:c r="D96" s="47" t="str">
        <x:v>Workspace</x:v>
      </x:c>
      <x:c r="E96" s="47" t="str">
        <x:v>H3</x:v>
      </x:c>
      <x:c r="F96" s="47" t="str">
        <x:v>Placeable workspace</x:v>
      </x:c>
      <x:c r="G96" s="47" t="str">
        <x:v>No</x:v>
      </x:c>
      <x:c r="H96" s="47" t="str">
        <x:v>Make / assemble / qualify</x:v>
      </x:c>
      <x:c r="I96" s="47" t="str">
        <x:v>P-STRAIGHT-POLE; P-MAT; W-HEARTH</x:v>
      </x:c>
      <x:c r="J96" s="47" t="str">
        <x:v>frame / rack / draft / smoke</x:v>
      </x:c>
      <x:c r="K96" s="47" t="str">
        <x:v>T-STONE-KNIFE</x:v>
      </x:c>
      <x:c r="L96" s="47" t="str">
        <x:v>safe food yard</x:v>
      </x:c>
      <x:c r="M96" s="47" t="str">
        <x:v>food / thermal</x:v>
      </x:c>
      <x:c r="N96" s="47" t="str">
        <x:v>moderate</x:v>
      </x:c>
      <x:c r="O96" s="51" t="n">
        <x:v>240</x:v>
      </x:c>
      <x:c r="P96" s="51" t="n">
        <x:v>0</x:v>
      </x:c>
      <x:c r="Q96" s="47" t="str">
        <x:v>time/condition test</x:v>
      </x:c>
      <x:c r="R96" s="47" t="str">
        <x:v>spoil / fire</x:v>
      </x:c>
      <x:c r="S96" s="47" t="str"/>
      <x:c r="T96" s="47" t="str"/>
      <x:c r="U96" s="47" t="str">
        <x:v>Compressed family/assembly</x:v>
      </x:c>
      <x:c r="V96" s="49"/>
      <x:c r="W96" s="49"/>
    </x:row>
    <x:row r="97">
      <x:c r="A97" s="47" t="str">
        <x:v>W-CLINIC</x:v>
      </x:c>
      <x:c r="B97" s="47" t="str">
        <x:v>Clinic/recovery station</x:v>
      </x:c>
      <x:c r="C97" s="47" t="str">
        <x:v>Medicine</x:v>
      </x:c>
      <x:c r="D97" s="47" t="str">
        <x:v>Workspace</x:v>
      </x:c>
      <x:c r="E97" s="47" t="str">
        <x:v>H5</x:v>
      </x:c>
      <x:c r="F97" s="47" t="str">
        <x:v>Placeable workspace</x:v>
      </x:c>
      <x:c r="G97" s="47" t="str">
        <x:v>No</x:v>
      </x:c>
      <x:c r="H97" s="47" t="str">
        <x:v>Make / assemble / qualify</x:v>
      </x:c>
      <x:c r="I97" s="47" t="str">
        <x:v>W-CLEAN; A-RAISED-BED; A-COVERED-STORE; A-LAMP</x:v>
      </x:c>
      <x:c r="J97" s="47" t="str">
        <x:v>separate / treat / monitor / record</x:v>
      </x:c>
      <x:c r="K97" s="47" t="str"/>
      <x:c r="L97" s="47" t="str">
        <x:v>legacy home</x:v>
      </x:c>
      <x:c r="M97" s="47" t="str">
        <x:v>medicine / archive</x:v>
      </x:c>
      <x:c r="N97" s="47" t="str">
        <x:v>low</x:v>
      </x:c>
      <x:c r="O97" s="51" t="n">
        <x:v>720</x:v>
      </x:c>
      <x:c r="P97" s="51" t="n">
        <x:v>0</x:v>
      </x:c>
      <x:c r="Q97" s="47" t="str">
        <x:v>care/recovery drill</x:v>
      </x:c>
      <x:c r="R97" s="47" t="str">
        <x:v>contamination / power loss</x:v>
      </x:c>
      <x:c r="S97" s="47" t="str"/>
      <x:c r="T97" s="47" t="str"/>
      <x:c r="U97" s="47" t="str">
        <x:v>Compressed family/assembly</x:v>
      </x:c>
      <x:c r="V97" s="49"/>
      <x:c r="W97" s="49"/>
    </x:row>
    <x:row r="98">
      <x:c r="A98" s="47" t="str">
        <x:v>W-BOATYARD</x:v>
      </x:c>
      <x:c r="B98" s="47" t="str">
        <x:v>Boatyard</x:v>
      </x:c>
      <x:c r="C98" s="47" t="str">
        <x:v>Maritime</x:v>
      </x:c>
      <x:c r="D98" s="47" t="str">
        <x:v>Workspace</x:v>
      </x:c>
      <x:c r="E98" s="47" t="str">
        <x:v>H5</x:v>
      </x:c>
      <x:c r="F98" s="47" t="str">
        <x:v>Placeable workspace</x:v>
      </x:c>
      <x:c r="G98" s="47" t="str">
        <x:v>No</x:v>
      </x:c>
      <x:c r="H98" s="47" t="str">
        <x:v>Make / assemble / qualify</x:v>
      </x:c>
      <x:c r="I98" s="47" t="str">
        <x:v>W-BENCH; A-TRIPOD; A-DOCK; W-ARCHIVE</x:v>
      </x:c>
      <x:c r="J98" s="47" t="str">
        <x:v>support / dry / fit / launch</x:v>
      </x:c>
      <x:c r="K98" s="47" t="str">
        <x:v>T-MEASURE</x:v>
      </x:c>
      <x:c r="L98" s="47" t="str">
        <x:v>shore</x:v>
      </x:c>
      <x:c r="M98" s="47" t="str">
        <x:v>boat / rigging</x:v>
      </x:c>
      <x:c r="N98" s="47" t="str">
        <x:v>high</x:v>
      </x:c>
      <x:c r="O98" s="51" t="n">
        <x:v>1200</x:v>
      </x:c>
      <x:c r="P98" s="51" t="n">
        <x:v>0</x:v>
      </x:c>
      <x:c r="Q98" s="47" t="str">
        <x:v>hull/load/launch tests</x:v>
      </x:c>
      <x:c r="R98" s="47" t="str">
        <x:v>collapse / contamination</x:v>
      </x:c>
      <x:c r="S98" s="47" t="str"/>
      <x:c r="T98" s="47" t="str"/>
      <x:c r="U98" s="47" t="str">
        <x:v>Governed node; variants not separated</x:v>
      </x:c>
      <x:c r="V98" s="49"/>
      <x:c r="W98" s="49"/>
    </x:row>
    <x:row r="99">
      <x:c r="A99" s="47" t="str">
        <x:v>W-ELECTRICAL</x:v>
      </x:c>
      <x:c r="B99" s="47" t="str">
        <x:v>Protected electrical bench</x:v>
      </x:c>
      <x:c r="C99" s="47" t="str">
        <x:v>Electrical</x:v>
      </x:c>
      <x:c r="D99" s="47" t="str">
        <x:v>Workspace</x:v>
      </x:c>
      <x:c r="E99" s="47" t="str">
        <x:v>H5</x:v>
      </x:c>
      <x:c r="F99" s="47" t="str">
        <x:v>Placeable workspace</x:v>
      </x:c>
      <x:c r="G99" s="47" t="str">
        <x:v>No</x:v>
      </x:c>
      <x:c r="H99" s="47" t="str">
        <x:v>Make / assemble / qualify</x:v>
      </x:c>
      <x:c r="I99" s="47" t="str">
        <x:v>W-BENCH; A-ROOF; T-METER; P-CONDUCTOR</x:v>
      </x:c>
      <x:c r="J99" s="47" t="str">
        <x:v>isolate / dry / fuse / test</x:v>
      </x:c>
      <x:c r="K99" s="47" t="str">
        <x:v>T-METER</x:v>
      </x:c>
      <x:c r="L99" s="47" t="str">
        <x:v>working home</x:v>
      </x:c>
      <x:c r="M99" s="47" t="str">
        <x:v>electrical</x:v>
      </x:c>
      <x:c r="N99" s="47" t="str">
        <x:v>dexterity</x:v>
      </x:c>
      <x:c r="O99" s="51" t="n">
        <x:v>600</x:v>
      </x:c>
      <x:c r="P99" s="51" t="n">
        <x:v>0</x:v>
      </x:c>
      <x:c r="Q99" s="47" t="str">
        <x:v>known-reference/isolation</x:v>
      </x:c>
      <x:c r="R99" s="47" t="str">
        <x:v>short / fire</x:v>
      </x:c>
      <x:c r="S99" s="47" t="str"/>
      <x:c r="T99" s="47" t="str">
        <x:v>Steam/electric supporting chain</x:v>
      </x:c>
      <x:c r="U99" s="47" t="str">
        <x:v>Governed node; variants not separated</x:v>
      </x:c>
      <x:c r="V99" s="49"/>
      <x:c r="W99" s="49"/>
    </x:row>
    <x:row r="100">
      <x:c r="A100" s="47" t="str">
        <x:v>W-ARCHIVE</x:v>
      </x:c>
      <x:c r="B100" s="47" t="str">
        <x:v>Continuity archive</x:v>
      </x:c>
      <x:c r="C100" s="47" t="str">
        <x:v>Legacy</x:v>
      </x:c>
      <x:c r="D100" s="47" t="str">
        <x:v>Workspace</x:v>
      </x:c>
      <x:c r="E100" s="47" t="str">
        <x:v>H6</x:v>
      </x:c>
      <x:c r="F100" s="47" t="str">
        <x:v>Placeable workspace</x:v>
      </x:c>
      <x:c r="G100" s="47" t="str">
        <x:v>No</x:v>
      </x:c>
      <x:c r="H100" s="47" t="str">
        <x:v>Make / assemble / qualify</x:v>
      </x:c>
      <x:c r="I100" s="47" t="str">
        <x:v>A-COVERED-STORE; S-MANUAL; T-MEASURE</x:v>
      </x:c>
      <x:c r="J100" s="47" t="str">
        <x:v>document / label / sample / index</x:v>
      </x:c>
      <x:c r="K100" s="47" t="str"/>
      <x:c r="L100" s="47" t="str">
        <x:v>legacy home</x:v>
      </x:c>
      <x:c r="M100" s="47" t="str">
        <x:v>documentation / teaching</x:v>
      </x:c>
      <x:c r="N100" s="47" t="str">
        <x:v>low</x:v>
      </x:c>
      <x:c r="O100" s="51" t="n">
        <x:v>480</x:v>
      </x:c>
      <x:c r="P100" s="51" t="n">
        <x:v>0</x:v>
      </x:c>
      <x:c r="Q100" s="47" t="str">
        <x:v>successor reproduction drill</x:v>
      </x:c>
      <x:c r="R100" s="47" t="str">
        <x:v>loss / ambiguity</x:v>
      </x:c>
      <x:c r="S100" s="47" t="str"/>
      <x:c r="T100" s="47" t="str"/>
      <x:c r="U100" s="47" t="str">
        <x:v>Governed node; variants not separated</x:v>
      </x:c>
      <x:c r="V100" s="49"/>
      <x:c r="W100" s="49"/>
    </x:row>
    <x:row r="101">
      <x:c r="A101" s="47" t="str">
        <x:v>C-COCONUT-CUP</x:v>
      </x:c>
      <x:c r="B101" s="47" t="str">
        <x:v>Coconut shell cup</x:v>
      </x:c>
      <x:c r="C101" s="47" t="str">
        <x:v>Water</x:v>
      </x:c>
      <x:c r="D101" s="47" t="str">
        <x:v>Container</x:v>
      </x:c>
      <x:c r="E101" s="47" t="str">
        <x:v>H1</x:v>
      </x:c>
      <x:c r="F101" s="47" t="str">
        <x:v>Carryable container</x:v>
      </x:c>
      <x:c r="G101" s="47" t="str">
        <x:v>Yes</x:v>
      </x:c>
      <x:c r="H101" s="47" t="str">
        <x:v>Make / assemble / qualify</x:v>
      </x:c>
      <x:c r="I101" s="47" t="str">
        <x:v>S-COCONUT; T-STONE-KNIFE</x:v>
      </x:c>
      <x:c r="J101" s="47" t="str">
        <x:v>open / clean / stabilize</x:v>
      </x:c>
      <x:c r="K101" s="47" t="str">
        <x:v>T-STONE-KNIFE</x:v>
      </x:c>
      <x:c r="L101" s="47" t="str">
        <x:v>W-WORKMAT</x:v>
      </x:c>
      <x:c r="M101" s="47" t="str">
        <x:v>water / hygiene</x:v>
      </x:c>
      <x:c r="N101" s="47" t="str">
        <x:v>dexterity</x:v>
      </x:c>
      <x:c r="O101" s="51" t="n">
        <x:v>15</x:v>
      </x:c>
      <x:c r="P101" s="51" t="n">
        <x:v>0</x:v>
      </x:c>
      <x:c r="Q101" s="47" t="str">
        <x:v>leak/stability</x:v>
      </x:c>
      <x:c r="R101" s="47" t="str">
        <x:v>crack / spill</x:v>
      </x:c>
      <x:c r="S101" s="47" t="str"/>
      <x:c r="T101" s="47" t="str"/>
      <x:c r="U101" s="47" t="str">
        <x:v>Governed node; variants not separated</x:v>
      </x:c>
      <x:c r="V101" s="49"/>
      <x:c r="W101" s="49"/>
    </x:row>
    <x:row r="102">
      <x:c r="A102" s="47" t="str">
        <x:v>C-COCONUT-BOILER</x:v>
      </x:c>
      <x:c r="B102" s="47" t="str">
        <x:v>Coconut emergency boiler</x:v>
      </x:c>
      <x:c r="C102" s="47" t="str">
        <x:v>Water</x:v>
      </x:c>
      <x:c r="D102" s="47" t="str">
        <x:v>Container</x:v>
      </x:c>
      <x:c r="E102" s="47" t="str">
        <x:v>H2</x:v>
      </x:c>
      <x:c r="F102" s="47" t="str">
        <x:v>Carryable container</x:v>
      </x:c>
      <x:c r="G102" s="47" t="str">
        <x:v>Yes</x:v>
      </x:c>
      <x:c r="H102" s="47" t="str">
        <x:v>Make / assemble / qualify</x:v>
      </x:c>
      <x:c r="I102" s="47" t="str">
        <x:v>C-COCONUT-CUP; W-HEARTH; S-STONE</x:v>
      </x:c>
      <x:c r="J102" s="47" t="str">
        <x:v>support / heat / manage / cool</x:v>
      </x:c>
      <x:c r="K102" s="47" t="str">
        <x:v>T-TONGS</x:v>
      </x:c>
      <x:c r="L102" s="47" t="str">
        <x:v>W-HEARTH</x:v>
      </x:c>
      <x:c r="M102" s="47" t="str">
        <x:v>water / thermal</x:v>
      </x:c>
      <x:c r="N102" s="47" t="str">
        <x:v>heat control</x:v>
      </x:c>
      <x:c r="O102" s="51" t="n">
        <x:v>30</x:v>
      </x:c>
      <x:c r="P102" s="51" t="n">
        <x:v>0</x:v>
      </x:c>
      <x:c r="Q102" s="47" t="str">
        <x:v>small-batch boil</x:v>
      </x:c>
      <x:c r="R102" s="47" t="str">
        <x:v>crack / scald</x:v>
      </x:c>
      <x:c r="S102" s="47" t="str"/>
      <x:c r="T102" s="47" t="str"/>
      <x:c r="U102" s="47" t="str">
        <x:v>Governed node; variants not separated</x:v>
      </x:c>
      <x:c r="V102" s="49"/>
      <x:c r="W102" s="49"/>
    </x:row>
    <x:row r="103">
      <x:c r="A103" s="47" t="str">
        <x:v>C-HIDE-POUCH</x:v>
      </x:c>
      <x:c r="B103" s="47" t="str">
        <x:v>Organic/hide water pouch</x:v>
      </x:c>
      <x:c r="C103" s="47" t="str">
        <x:v>Water</x:v>
      </x:c>
      <x:c r="D103" s="47" t="str">
        <x:v>Container</x:v>
      </x:c>
      <x:c r="E103" s="47" t="str">
        <x:v>H2</x:v>
      </x:c>
      <x:c r="F103" s="47" t="str">
        <x:v>Carryable container</x:v>
      </x:c>
      <x:c r="G103" s="47" t="str">
        <x:v>Yes</x:v>
      </x:c>
      <x:c r="H103" s="47" t="str">
        <x:v>Make / assemble / qualify</x:v>
      </x:c>
      <x:c r="I103" s="47" t="str">
        <x:v>S-HIDE; P-CORD; T-NEEDLE</x:v>
      </x:c>
      <x:c r="J103" s="47" t="str">
        <x:v>clean / scrape / sew / seal / support</x:v>
      </x:c>
      <x:c r="K103" s="47" t="str">
        <x:v>T-NEEDLE</x:v>
      </x:c>
      <x:c r="L103" s="47" t="str">
        <x:v>W-CLEAN</x:v>
      </x:c>
      <x:c r="M103" s="47" t="str">
        <x:v>hide / hygiene</x:v>
      </x:c>
      <x:c r="N103" s="47" t="str">
        <x:v>dexterity</x:v>
      </x:c>
      <x:c r="O103" s="51" t="n">
        <x:v>240</x:v>
      </x:c>
      <x:c r="P103" s="51" t="n">
        <x:v>120</x:v>
      </x:c>
      <x:c r="Q103" s="47" t="str">
        <x:v>leak and heat-route test</x:v>
      </x:c>
      <x:c r="R103" s="47" t="str">
        <x:v>leak / contamination</x:v>
      </x:c>
      <x:c r="S103" s="47" t="str"/>
      <x:c r="T103" s="47" t="str"/>
      <x:c r="U103" s="47" t="str">
        <x:v>Compressed family/assembly</x:v>
      </x:c>
      <x:c r="V103" s="49"/>
      <x:c r="W103" s="49"/>
    </x:row>
    <x:row r="104">
      <x:c r="A104" s="47" t="str">
        <x:v>C-FOUND-PAN</x:v>
      </x:c>
      <x:c r="B104" s="47" t="str">
        <x:v>Qualified found pan</x:v>
      </x:c>
      <x:c r="C104" s="47" t="str">
        <x:v>Water</x:v>
      </x:c>
      <x:c r="D104" s="47" t="str">
        <x:v>Container</x:v>
      </x:c>
      <x:c r="E104" s="47" t="str">
        <x:v>H2</x:v>
      </x:c>
      <x:c r="F104" s="47" t="str">
        <x:v>Carryable container</x:v>
      </x:c>
      <x:c r="G104" s="47" t="str">
        <x:v>Yes</x:v>
      </x:c>
      <x:c r="H104" s="47" t="str">
        <x:v>Recover / repair / qualify</x:v>
      </x:c>
      <x:c r="I104" s="47" t="str">
        <x:v>S-PAN; P-CLEAN-WATER</x:v>
      </x:c>
      <x:c r="J104" s="47" t="str">
        <x:v>recover / clean / inspect / leak / heat test</x:v>
      </x:c>
      <x:c r="K104" s="47" t="str">
        <x:v>T-STONE-KNIFE</x:v>
      </x:c>
      <x:c r="L104" s="47" t="str">
        <x:v>W-CLEAN</x:v>
      </x:c>
      <x:c r="M104" s="47" t="str">
        <x:v>salvage / hygiene</x:v>
      </x:c>
      <x:c r="N104" s="47" t="str">
        <x:v>low</x:v>
      </x:c>
      <x:c r="O104" s="51" t="n">
        <x:v>60</x:v>
      </x:c>
      <x:c r="P104" s="51" t="n">
        <x:v>0</x:v>
      </x:c>
      <x:c r="Q104" s="47" t="str">
        <x:v>repeated boil/leak</x:v>
      </x:c>
      <x:c r="R104" s="47" t="str">
        <x:v>coating / corrosion</x:v>
      </x:c>
      <x:c r="S104" s="47" t="str"/>
      <x:c r="T104" s="47" t="str"/>
      <x:c r="U104" s="47" t="str">
        <x:v>Governed node; variants not separated</x:v>
      </x:c>
      <x:c r="V104" s="49"/>
      <x:c r="W104" s="49"/>
    </x:row>
    <x:row r="105">
      <x:c r="A105" s="47" t="str">
        <x:v>C-CLAY-POT</x:v>
      </x:c>
      <x:c r="B105" s="47" t="str">
        <x:v>Fired clay pot</x:v>
      </x:c>
      <x:c r="C105" s="47" t="str">
        <x:v>Water</x:v>
      </x:c>
      <x:c r="D105" s="47" t="str">
        <x:v>Container</x:v>
      </x:c>
      <x:c r="E105" s="47" t="str">
        <x:v>H4</x:v>
      </x:c>
      <x:c r="F105" s="47" t="str">
        <x:v>Carryable container</x:v>
      </x:c>
      <x:c r="G105" s="47" t="str">
        <x:v>Yes</x:v>
      </x:c>
      <x:c r="H105" s="47" t="str">
        <x:v>Make / assemble / qualify</x:v>
      </x:c>
      <x:c r="I105" s="47" t="str">
        <x:v>P-FIRED-CERAMIC</x:v>
      </x:c>
      <x:c r="J105" s="47" t="str">
        <x:v>form / fire / leak / heat test</x:v>
      </x:c>
      <x:c r="K105" s="47" t="str">
        <x:v>T-TONGS</x:v>
      </x:c>
      <x:c r="L105" s="47" t="str">
        <x:v>W-KILN</x:v>
      </x:c>
      <x:c r="M105" s="47" t="str">
        <x:v>ceramic / water</x:v>
      </x:c>
      <x:c r="N105" s="47" t="str">
        <x:v>dexterity + heat</x:v>
      </x:c>
      <x:c r="O105" s="51" t="n">
        <x:v>180</x:v>
      </x:c>
      <x:c r="P105" s="51" t="n">
        <x:v>720</x:v>
      </x:c>
      <x:c r="Q105" s="47" t="str">
        <x:v>leak/thermal cycle</x:v>
      </x:c>
      <x:c r="R105" s="47" t="str">
        <x:v>crack / spall</x:v>
      </x:c>
      <x:c r="S105" s="47" t="str"/>
      <x:c r="T105" s="47" t="str"/>
      <x:c r="U105" s="47" t="str">
        <x:v>Governed node; variants not separated</x:v>
      </x:c>
      <x:c r="V105" s="49"/>
      <x:c r="W105" s="49"/>
    </x:row>
    <x:row r="106">
      <x:c r="A106" s="47" t="str">
        <x:v>C-AL-POT</x:v>
      </x:c>
      <x:c r="B106" s="47" t="str">
        <x:v>Qualified aluminum boiling vessel</x:v>
      </x:c>
      <x:c r="C106" s="47" t="str">
        <x:v>Water</x:v>
      </x:c>
      <x:c r="D106" s="47" t="str">
        <x:v>Container</x:v>
      </x:c>
      <x:c r="E106" s="47" t="str">
        <x:v>H5</x:v>
      </x:c>
      <x:c r="F106" s="47" t="str">
        <x:v>Carryable container</x:v>
      </x:c>
      <x:c r="G106" s="47" t="str">
        <x:v>Yes</x:v>
      </x:c>
      <x:c r="H106" s="47" t="str">
        <x:v>Make / assemble / qualify</x:v>
      </x:c>
      <x:c r="I106" s="47" t="str">
        <x:v>P-DEBURRED-AL; P-RIVET; T-PUNCH; T-CLAMP</x:v>
      </x:c>
      <x:c r="J106" s="47" t="str">
        <x:v>form / join / deburr / leak / heat test</x:v>
      </x:c>
      <x:c r="K106" s="47" t="str">
        <x:v>T-SNIPS; T-FILE; T-PUNCH</x:v>
      </x:c>
      <x:c r="L106" s="47" t="str">
        <x:v>W-BENCH</x:v>
      </x:c>
      <x:c r="M106" s="47" t="str">
        <x:v>metal / food-contact / water</x:v>
      </x:c>
      <x:c r="N106" s="47" t="str">
        <x:v>dexterity</x:v>
      </x:c>
      <x:c r="O106" s="51" t="n">
        <x:v>480</x:v>
      </x:c>
      <x:c r="P106" s="51" t="n">
        <x:v>60</x:v>
      </x:c>
      <x:c r="Q106" s="47" t="str">
        <x:v>cold/hot leak and surface</x:v>
      </x:c>
      <x:c r="R106" s="47" t="str">
        <x:v>leak / coating / distort</x:v>
      </x:c>
      <x:c r="S106" s="47" t="str"/>
      <x:c r="T106" s="47" t="str"/>
      <x:c r="U106" s="47" t="str">
        <x:v>Governed node; variants not separated</x:v>
      </x:c>
      <x:c r="V106" s="49"/>
      <x:c r="W106" s="49"/>
    </x:row>
    <x:row r="107">
      <x:c r="A107" s="47" t="str">
        <x:v>C-COVERED-STORE</x:v>
      </x:c>
      <x:c r="B107" s="47" t="str">
        <x:v>Covered water reserve</x:v>
      </x:c>
      <x:c r="C107" s="47" t="str">
        <x:v>Water</x:v>
      </x:c>
      <x:c r="D107" s="47" t="str">
        <x:v>Assembly</x:v>
      </x:c>
      <x:c r="E107" s="47" t="str">
        <x:v>H2</x:v>
      </x:c>
      <x:c r="F107" s="47" t="str">
        <x:v>Placeable/deployable assembly</x:v>
      </x:c>
      <x:c r="G107" s="47" t="str">
        <x:v>No</x:v>
      </x:c>
      <x:c r="H107" s="47" t="str">
        <x:v>Make / assemble / qualify</x:v>
      </x:c>
      <x:c r="I107" s="47" t="str">
        <x:v>C-FOUND-PAN; P-MAT; P-CORD</x:v>
      </x:c>
      <x:c r="J107" s="47" t="str">
        <x:v>clean / fill / cover / controlled draw</x:v>
      </x:c>
      <x:c r="K107" s="47" t="str"/>
      <x:c r="L107" s="47" t="str">
        <x:v>W-CLEAN</x:v>
      </x:c>
      <x:c r="M107" s="47" t="str">
        <x:v>water / storage</x:v>
      </x:c>
      <x:c r="N107" s="47" t="str">
        <x:v>low</x:v>
      </x:c>
      <x:c r="O107" s="51" t="n">
        <x:v>30</x:v>
      </x:c>
      <x:c r="P107" s="51" t="n">
        <x:v>0</x:v>
      </x:c>
      <x:c r="Q107" s="47" t="str">
        <x:v>protected draw</x:v>
      </x:c>
      <x:c r="R107" s="47" t="str">
        <x:v>recontamination</x:v>
      </x:c>
      <x:c r="S107" s="47" t="str"/>
      <x:c r="T107" s="47" t="str"/>
      <x:c r="U107" s="47" t="str">
        <x:v>Governed node; variants not separated</x:v>
      </x:c>
      <x:c r="V107" s="49"/>
      <x:c r="W107" s="49"/>
    </x:row>
    <x:row r="108">
      <x:c r="A108" s="47" t="str">
        <x:v>A-GUTTER</x:v>
      </x:c>
      <x:c r="B108" s="47" t="str">
        <x:v>Rain gutter/channel</x:v>
      </x:c>
      <x:c r="C108" s="47" t="str">
        <x:v>Water</x:v>
      </x:c>
      <x:c r="D108" s="47" t="str">
        <x:v>Assembly</x:v>
      </x:c>
      <x:c r="E108" s="47" t="str">
        <x:v>H3</x:v>
      </x:c>
      <x:c r="F108" s="47" t="str">
        <x:v>Placeable/deployable assembly</x:v>
      </x:c>
      <x:c r="G108" s="47" t="str">
        <x:v>No</x:v>
      </x:c>
      <x:c r="H108" s="47" t="str">
        <x:v>Make / assemble / qualify</x:v>
      </x:c>
      <x:c r="I108" s="47" t="str">
        <x:v>S-CANVAS; P-STRAIGHT-POLE; P-CORD; T-MEASURE</x:v>
      </x:c>
      <x:c r="J108" s="47" t="str">
        <x:v>slope / join / tension / test</x:v>
      </x:c>
      <x:c r="K108" s="47" t="str">
        <x:v>T-MEASURE</x:v>
      </x:c>
      <x:c r="L108" s="47" t="str">
        <x:v>A-ROOF</x:v>
      </x:c>
      <x:c r="M108" s="47" t="str">
        <x:v>water / construction</x:v>
      </x:c>
      <x:c r="N108" s="47" t="str">
        <x:v>moderate</x:v>
      </x:c>
      <x:c r="O108" s="51" t="n">
        <x:v>180</x:v>
      </x:c>
      <x:c r="P108" s="51" t="n">
        <x:v>0</x:v>
      </x:c>
      <x:c r="Q108" s="47" t="str">
        <x:v>flow/leak/overflow</x:v>
      </x:c>
      <x:c r="R108" s="47" t="str">
        <x:v>dirty surface / leak</x:v>
      </x:c>
      <x:c r="S108" s="47" t="str"/>
      <x:c r="T108" s="47" t="str"/>
      <x:c r="U108" s="47" t="str">
        <x:v>Compressed family/assembly</x:v>
      </x:c>
      <x:c r="V108" s="49"/>
      <x:c r="W108" s="49"/>
    </x:row>
    <x:row r="109">
      <x:c r="A109" s="47" t="str">
        <x:v>A-FIRST-FLUSH</x:v>
      </x:c>
      <x:c r="B109" s="47" t="str">
        <x:v>First-flush diverter</x:v>
      </x:c>
      <x:c r="C109" s="47" t="str">
        <x:v>Water</x:v>
      </x:c>
      <x:c r="D109" s="47" t="str">
        <x:v>Assembly</x:v>
      </x:c>
      <x:c r="E109" s="47" t="str">
        <x:v>H4</x:v>
      </x:c>
      <x:c r="F109" s="47" t="str">
        <x:v>Placeable/deployable assembly</x:v>
      </x:c>
      <x:c r="G109" s="47" t="str">
        <x:v>No</x:v>
      </x:c>
      <x:c r="H109" s="47" t="str">
        <x:v>Make / assemble / qualify</x:v>
      </x:c>
      <x:c r="I109" s="47" t="str">
        <x:v>A-GUTTER; S-BOTTLE; P-CORD</x:v>
      </x:c>
      <x:c r="J109" s="47" t="str">
        <x:v>divert / reset / test</x:v>
      </x:c>
      <x:c r="K109" s="47" t="str">
        <x:v>T-MEASURE</x:v>
      </x:c>
      <x:c r="L109" s="47" t="str">
        <x:v>A-ROOF</x:v>
      </x:c>
      <x:c r="M109" s="47" t="str">
        <x:v>water / mechanics</x:v>
      </x:c>
      <x:c r="N109" s="47" t="str">
        <x:v>dexterity</x:v>
      </x:c>
      <x:c r="O109" s="51" t="n">
        <x:v>120</x:v>
      </x:c>
      <x:c r="P109" s="51" t="n">
        <x:v>0</x:v>
      </x:c>
      <x:c r="Q109" s="47" t="str">
        <x:v>dirty first-run separation</x:v>
      </x:c>
      <x:c r="R109" s="47" t="str">
        <x:v>stuck / cross-flow</x:v>
      </x:c>
      <x:c r="S109" s="47" t="str"/>
      <x:c r="T109" s="47" t="str"/>
      <x:c r="U109" s="47" t="str">
        <x:v>Governed node; variants not separated</x:v>
      </x:c>
      <x:c r="V109" s="49"/>
      <x:c r="W109" s="49"/>
    </x:row>
    <x:row r="110">
      <x:c r="A110" s="47" t="str">
        <x:v>A-CISTERN</x:v>
      </x:c>
      <x:c r="B110" s="47" t="str">
        <x:v>Covered cistern</x:v>
      </x:c>
      <x:c r="C110" s="47" t="str">
        <x:v>Water</x:v>
      </x:c>
      <x:c r="D110" s="47" t="str">
        <x:v>Assembly</x:v>
      </x:c>
      <x:c r="E110" s="47" t="str">
        <x:v>H4</x:v>
      </x:c>
      <x:c r="F110" s="47" t="str">
        <x:v>Placeable/deployable assembly</x:v>
      </x:c>
      <x:c r="G110" s="47" t="str">
        <x:v>No</x:v>
      </x:c>
      <x:c r="H110" s="47" t="str">
        <x:v>Make / assemble / qualify</x:v>
      </x:c>
      <x:c r="I110" s="47" t="str">
        <x:v>P-FIRED-CERAMIC; A-GUTTER; A-FIRST-FLUSH; P-PITCH</x:v>
      </x:c>
      <x:c r="J110" s="47" t="str">
        <x:v>site / seal / cover / overflow / clean</x:v>
      </x:c>
      <x:c r="K110" s="47" t="str">
        <x:v>T-MEASURE</x:v>
      </x:c>
      <x:c r="L110" s="47" t="str">
        <x:v>working home</x:v>
      </x:c>
      <x:c r="M110" s="47" t="str">
        <x:v>water / construction</x:v>
      </x:c>
      <x:c r="N110" s="47" t="str">
        <x:v>high</x:v>
      </x:c>
      <x:c r="O110" s="51" t="n">
        <x:v>1200</x:v>
      </x:c>
      <x:c r="P110" s="51" t="n">
        <x:v>240</x:v>
      </x:c>
      <x:c r="Q110" s="47" t="str">
        <x:v>leak/clean/overflow</x:v>
      </x:c>
      <x:c r="R110" s="47" t="str">
        <x:v>leak / stagnation</x:v>
      </x:c>
      <x:c r="S110" s="47" t="str"/>
      <x:c r="T110" s="47" t="str"/>
      <x:c r="U110" s="47" t="str">
        <x:v>Governed node; variants not separated</x:v>
      </x:c>
      <x:c r="V110" s="49"/>
      <x:c r="W110" s="49"/>
    </x:row>
    <x:row r="111">
      <x:c r="A111" s="47" t="str">
        <x:v>A-FILTER</x:v>
      </x:c>
      <x:c r="B111" s="47" t="str">
        <x:v>Qualified treatment train</x:v>
      </x:c>
      <x:c r="C111" s="47" t="str">
        <x:v>Water</x:v>
      </x:c>
      <x:c r="D111" s="47" t="str">
        <x:v>Assembly</x:v>
      </x:c>
      <x:c r="E111" s="47" t="str">
        <x:v>H4</x:v>
      </x:c>
      <x:c r="F111" s="47" t="str">
        <x:v>Placeable/deployable assembly</x:v>
      </x:c>
      <x:c r="G111" s="47" t="str">
        <x:v>No</x:v>
      </x:c>
      <x:c r="H111" s="47" t="str">
        <x:v>Make / assemble / qualify</x:v>
      </x:c>
      <x:c r="I111" s="47" t="str">
        <x:v>S-SAND; P-CHARCOAL; P-MAT; C-COVERED-STORE</x:v>
      </x:c>
      <x:c r="J111" s="47" t="str">
        <x:v>settle / filter / disinfect / maintain</x:v>
      </x:c>
      <x:c r="K111" s="47" t="str">
        <x:v>T-MEASURE</x:v>
      </x:c>
      <x:c r="L111" s="47" t="str">
        <x:v>W-WATER</x:v>
      </x:c>
      <x:c r="M111" s="47" t="str">
        <x:v>water / fabrication</x:v>
      </x:c>
      <x:c r="N111" s="47" t="str">
        <x:v>moderate</x:v>
      </x:c>
      <x:c r="O111" s="51" t="n">
        <x:v>360</x:v>
      </x:c>
      <x:c r="P111" s="51" t="n">
        <x:v>0</x:v>
      </x:c>
      <x:c r="Q111" s="47" t="str">
        <x:v>flow/integrity/outcome</x:v>
      </x:c>
      <x:c r="R111" s="47" t="str">
        <x:v>breakthrough</x:v>
      </x:c>
      <x:c r="S111" s="47" t="str"/>
      <x:c r="T111" s="47" t="str"/>
      <x:c r="U111" s="47" t="str">
        <x:v>Governed node; variants not separated</x:v>
      </x:c>
      <x:c r="V111" s="49"/>
      <x:c r="W111" s="49"/>
    </x:row>
    <x:row r="112">
      <x:c r="A112" s="47" t="str">
        <x:v>A-DISTILLER</x:v>
      </x:c>
      <x:c r="B112" s="47" t="str">
        <x:v>Distiller/desalinator</x:v>
      </x:c>
      <x:c r="C112" s="47" t="str">
        <x:v>Water</x:v>
      </x:c>
      <x:c r="D112" s="47" t="str">
        <x:v>Assembly</x:v>
      </x:c>
      <x:c r="E112" s="47" t="str">
        <x:v>H5</x:v>
      </x:c>
      <x:c r="F112" s="47" t="str">
        <x:v>Placeable/deployable assembly</x:v>
      </x:c>
      <x:c r="G112" s="47" t="str">
        <x:v>No</x:v>
      </x:c>
      <x:c r="H112" s="47" t="str">
        <x:v>Make / assemble / qualify</x:v>
      </x:c>
      <x:c r="I112" s="47" t="str">
        <x:v>C-AL-POT; S-COPPER; P-GASKET; C-COVERED-STORE; W-HEARTH</x:v>
      </x:c>
      <x:c r="J112" s="47" t="str">
        <x:v>boil / condense / separate / clean</x:v>
      </x:c>
      <x:c r="K112" s="47" t="str">
        <x:v>T-MEASURE</x:v>
      </x:c>
      <x:c r="L112" s="47" t="str">
        <x:v>thermal workshop</x:v>
      </x:c>
      <x:c r="M112" s="47" t="str">
        <x:v>thermal / water / metal</x:v>
      </x:c>
      <x:c r="N112" s="47" t="str">
        <x:v>high</x:v>
      </x:c>
      <x:c r="O112" s="51" t="n">
        <x:v>720</x:v>
      </x:c>
      <x:c r="P112" s="51" t="n">
        <x:v>0</x:v>
      </x:c>
      <x:c r="Q112" s="47" t="str">
        <x:v>salt rejection and clean distillate</x:v>
      </x:c>
      <x:c r="R112" s="47" t="str">
        <x:v>leak / volatile carryover</x:v>
      </x:c>
      <x:c r="S112" s="47" t="str"/>
      <x:c r="T112" s="47" t="str"/>
      <x:c r="U112" s="47" t="str">
        <x:v>Compressed family/assembly</x:v>
      </x:c>
      <x:c r="V112" s="49"/>
      <x:c r="W112" s="49"/>
    </x:row>
    <x:row r="113">
      <x:c r="A113" s="47" t="str">
        <x:v>A-PIPE</x:v>
      </x:c>
      <x:c r="B113" s="47" t="str">
        <x:v>Pipe/hose line</x:v>
      </x:c>
      <x:c r="C113" s="47" t="str">
        <x:v>Water</x:v>
      </x:c>
      <x:c r="D113" s="47" t="str">
        <x:v>Assembly</x:v>
      </x:c>
      <x:c r="E113" s="47" t="str">
        <x:v>H4</x:v>
      </x:c>
      <x:c r="F113" s="47" t="str">
        <x:v>Placeable/deployable assembly</x:v>
      </x:c>
      <x:c r="G113" s="47" t="str">
        <x:v>No</x:v>
      </x:c>
      <x:c r="H113" s="47" t="str">
        <x:v>Make / assemble / qualify</x:v>
      </x:c>
      <x:c r="I113" s="47" t="str">
        <x:v>S-RUBBER; S-COPPER; P-GASKET</x:v>
      </x:c>
      <x:c r="J113" s="47" t="str">
        <x:v>cut / fit / support / flush</x:v>
      </x:c>
      <x:c r="K113" s="47" t="str">
        <x:v>T-STONE-KNIFE</x:v>
      </x:c>
      <x:c r="L113" s="47" t="str">
        <x:v>W-BENCH</x:v>
      </x:c>
      <x:c r="M113" s="47" t="str">
        <x:v>plumbing</x:v>
      </x:c>
      <x:c r="N113" s="47" t="str">
        <x:v>moderate</x:v>
      </x:c>
      <x:c r="O113" s="51" t="n">
        <x:v>240</x:v>
      </x:c>
      <x:c r="P113" s="51" t="n">
        <x:v>0</x:v>
      </x:c>
      <x:c r="Q113" s="47" t="str">
        <x:v>flow/leak/clean</x:v>
      </x:c>
      <x:c r="R113" s="47" t="str">
        <x:v>leak / contamination</x:v>
      </x:c>
      <x:c r="S113" s="47" t="str"/>
      <x:c r="T113" s="47" t="str"/>
      <x:c r="U113" s="47" t="str">
        <x:v>Compressed family/assembly</x:v>
      </x:c>
      <x:c r="V113" s="49"/>
      <x:c r="W113" s="49"/>
    </x:row>
    <x:row r="114">
      <x:c r="A114" s="47" t="str">
        <x:v>A-VALVE</x:v>
      </x:c>
      <x:c r="B114" s="47" t="str">
        <x:v>Shutoff valve</x:v>
      </x:c>
      <x:c r="C114" s="47" t="str">
        <x:v>Water</x:v>
      </x:c>
      <x:c r="D114" s="47" t="str">
        <x:v>Assembly</x:v>
      </x:c>
      <x:c r="E114" s="47" t="str">
        <x:v>H5</x:v>
      </x:c>
      <x:c r="F114" s="47" t="str">
        <x:v>Placeable/deployable assembly</x:v>
      </x:c>
      <x:c r="G114" s="47" t="str">
        <x:v>No</x:v>
      </x:c>
      <x:c r="H114" s="47" t="str">
        <x:v>Recover / repair / qualify</x:v>
      </x:c>
      <x:c r="I114" s="47" t="str">
        <x:v>S-BRASS; P-GASKET; A-PIPE</x:v>
      </x:c>
      <x:c r="J114" s="47" t="str">
        <x:v>recover / clean / fit / exercise</x:v>
      </x:c>
      <x:c r="K114" s="47" t="str">
        <x:v>T-PRY</x:v>
      </x:c>
      <x:c r="L114" s="47" t="str">
        <x:v>W-BENCH</x:v>
      </x:c>
      <x:c r="M114" s="47" t="str">
        <x:v>mechanics / plumbing</x:v>
      </x:c>
      <x:c r="N114" s="47" t="str">
        <x:v>dexterity</x:v>
      </x:c>
      <x:c r="O114" s="51" t="n">
        <x:v>180</x:v>
      </x:c>
      <x:c r="P114" s="51" t="n">
        <x:v>0</x:v>
      </x:c>
      <x:c r="Q114" s="47" t="str">
        <x:v>close/open/leak</x:v>
      </x:c>
      <x:c r="R114" s="47" t="str">
        <x:v>seize / leak</x:v>
      </x:c>
      <x:c r="S114" s="47" t="str"/>
      <x:c r="T114" s="47" t="str">
        <x:v>Steam/electric supporting chain</x:v>
      </x:c>
      <x:c r="U114" s="47" t="str">
        <x:v>Governed node; variants not separated</x:v>
      </x:c>
      <x:c r="V114" s="49"/>
      <x:c r="W114" s="49"/>
    </x:row>
    <x:row r="115">
      <x:c r="A115" s="47" t="str">
        <x:v>A-PUMP</x:v>
      </x:c>
      <x:c r="B115" s="47" t="str">
        <x:v>Hand pump</x:v>
      </x:c>
      <x:c r="C115" s="47" t="str">
        <x:v>Water</x:v>
      </x:c>
      <x:c r="D115" s="47" t="str">
        <x:v>Assembly</x:v>
      </x:c>
      <x:c r="E115" s="47" t="str">
        <x:v>H5</x:v>
      </x:c>
      <x:c r="F115" s="47" t="str">
        <x:v>Placeable/deployable assembly</x:v>
      </x:c>
      <x:c r="G115" s="47" t="str">
        <x:v>No</x:v>
      </x:c>
      <x:c r="H115" s="47" t="str">
        <x:v>Make / assemble / qualify</x:v>
      </x:c>
      <x:c r="I115" s="47" t="str">
        <x:v>S-BEARING; A-PIPE; A-VALVE; P-GASKET</x:v>
      </x:c>
      <x:c r="J115" s="47" t="str">
        <x:v>diagnose / fit / prime / test</x:v>
      </x:c>
      <x:c r="K115" s="47" t="str">
        <x:v>T-MEASURE</x:v>
      </x:c>
      <x:c r="L115" s="47" t="str">
        <x:v>W-BENCH</x:v>
      </x:c>
      <x:c r="M115" s="47" t="str">
        <x:v>mechanics / water</x:v>
      </x:c>
      <x:c r="N115" s="47" t="str">
        <x:v>strength + dexterity</x:v>
      </x:c>
      <x:c r="O115" s="51" t="n">
        <x:v>480</x:v>
      </x:c>
      <x:c r="P115" s="51" t="n">
        <x:v>0</x:v>
      </x:c>
      <x:c r="Q115" s="47" t="str">
        <x:v>prime/flow/leak</x:v>
      </x:c>
      <x:c r="R115" s="47" t="str">
        <x:v>air leak / contamination</x:v>
      </x:c>
      <x:c r="S115" s="47" t="str"/>
      <x:c r="T115" s="47" t="str">
        <x:v>Steam/electric supporting chain</x:v>
      </x:c>
      <x:c r="U115" s="47" t="str">
        <x:v>Governed node; variants not separated</x:v>
      </x:c>
      <x:c r="V115" s="49"/>
      <x:c r="W115" s="49"/>
    </x:row>
    <x:row r="116">
      <x:c r="A116" s="47" t="str">
        <x:v>A-WINDBREAK</x:v>
      </x:c>
      <x:c r="B116" s="47" t="str">
        <x:v>Oriented windbreak</x:v>
      </x:c>
      <x:c r="C116" s="47" t="str">
        <x:v>Shelter</x:v>
      </x:c>
      <x:c r="D116" s="47" t="str">
        <x:v>Assembly</x:v>
      </x:c>
      <x:c r="E116" s="47" t="str">
        <x:v>H1</x:v>
      </x:c>
      <x:c r="F116" s="47" t="str">
        <x:v>Placeable/deployable assembly</x:v>
      </x:c>
      <x:c r="G116" s="47" t="str">
        <x:v>No</x:v>
      </x:c>
      <x:c r="H116" s="47" t="str">
        <x:v>Make / assemble / qualify</x:v>
      </x:c>
      <x:c r="I116" s="47" t="str">
        <x:v>P-STRAIGHT-POLE; P-MAT; P-CORD</x:v>
      </x:c>
      <x:c r="J116" s="47" t="str">
        <x:v>site / anchor / orient / test</x:v>
      </x:c>
      <x:c r="K116" s="47" t="str">
        <x:v>T-DIG</x:v>
      </x:c>
      <x:c r="L116" s="47" t="str">
        <x:v>world</x:v>
      </x:c>
      <x:c r="M116" s="47" t="str">
        <x:v>construction / weather</x:v>
      </x:c>
      <x:c r="N116" s="47" t="str">
        <x:v>moderate</x:v>
      </x:c>
      <x:c r="O116" s="51" t="n">
        <x:v>90</x:v>
      </x:c>
      <x:c r="P116" s="51" t="n">
        <x:v>0</x:v>
      </x:c>
      <x:c r="Q116" s="47" t="str">
        <x:v>occupied wind comparison</x:v>
      </x:c>
      <x:c r="R116" s="47" t="str">
        <x:v>collapse / wrong side</x:v>
      </x:c>
      <x:c r="S116" s="47" t="str"/>
      <x:c r="T116" s="47" t="str"/>
      <x:c r="U116" s="47" t="str">
        <x:v>Governed node; variants not separated</x:v>
      </x:c>
      <x:c r="V116" s="49"/>
      <x:c r="W116" s="49"/>
    </x:row>
    <x:row r="117">
      <x:c r="A117" s="47" t="str">
        <x:v>A-ROOF</x:v>
      </x:c>
      <x:c r="B117" s="47" t="str">
        <x:v>Rain roof</x:v>
      </x:c>
      <x:c r="C117" s="47" t="str">
        <x:v>Shelter</x:v>
      </x:c>
      <x:c r="D117" s="47" t="str">
        <x:v>Assembly</x:v>
      </x:c>
      <x:c r="E117" s="47" t="str">
        <x:v>H1</x:v>
      </x:c>
      <x:c r="F117" s="47" t="str">
        <x:v>Placeable/deployable assembly</x:v>
      </x:c>
      <x:c r="G117" s="47" t="str">
        <x:v>No</x:v>
      </x:c>
      <x:c r="H117" s="47" t="str">
        <x:v>Make / assemble / qualify</x:v>
      </x:c>
      <x:c r="I117" s="47" t="str">
        <x:v>P-STRAIGHT-POLE; P-MAT; P-CORD</x:v>
      </x:c>
      <x:c r="J117" s="47" t="str">
        <x:v>frame / pitch / cover / drain</x:v>
      </x:c>
      <x:c r="K117" s="47" t="str">
        <x:v>T-MEASURE</x:v>
      </x:c>
      <x:c r="L117" s="47" t="str">
        <x:v>world</x:v>
      </x:c>
      <x:c r="M117" s="47" t="str">
        <x:v>construction</x:v>
      </x:c>
      <x:c r="N117" s="47" t="str">
        <x:v>moderate</x:v>
      </x:c>
      <x:c r="O117" s="51" t="n">
        <x:v>150</x:v>
      </x:c>
      <x:c r="P117" s="51" t="n">
        <x:v>0</x:v>
      </x:c>
      <x:c r="Q117" s="47" t="str">
        <x:v>occupied rain coverage</x:v>
      </x:c>
      <x:c r="R117" s="47" t="str">
        <x:v>leak / pond / collapse</x:v>
      </x:c>
      <x:c r="S117" s="47" t="str"/>
      <x:c r="T117" s="47" t="str"/>
      <x:c r="U117" s="47" t="str">
        <x:v>Governed node; variants not separated</x:v>
      </x:c>
      <x:c r="V117" s="49"/>
      <x:c r="W117" s="49"/>
    </x:row>
    <x:row r="118">
      <x:c r="A118" s="47" t="str">
        <x:v>A-RAISED-BED</x:v>
      </x:c>
      <x:c r="B118" s="47" t="str">
        <x:v>Raised insulated sleep</x:v>
      </x:c>
      <x:c r="C118" s="47" t="str">
        <x:v>Shelter</x:v>
      </x:c>
      <x:c r="D118" s="47" t="str">
        <x:v>Assembly</x:v>
      </x:c>
      <x:c r="E118" s="47" t="str">
        <x:v>H2</x:v>
      </x:c>
      <x:c r="F118" s="47" t="str">
        <x:v>Placeable/deployable assembly</x:v>
      </x:c>
      <x:c r="G118" s="47" t="str">
        <x:v>No</x:v>
      </x:c>
      <x:c r="H118" s="47" t="str">
        <x:v>Make / assemble / qualify</x:v>
      </x:c>
      <x:c r="I118" s="47" t="str">
        <x:v>P-STRAIGHT-POLE; P-MAT; P-CORD</x:v>
      </x:c>
      <x:c r="J118" s="47" t="str">
        <x:v>frame / raise / insulate / test</x:v>
      </x:c>
      <x:c r="K118" s="47" t="str">
        <x:v>T-MEASURE</x:v>
      </x:c>
      <x:c r="L118" s="47" t="str">
        <x:v>A-ROOF</x:v>
      </x:c>
      <x:c r="M118" s="47" t="str">
        <x:v>construction / body care</x:v>
      </x:c>
      <x:c r="N118" s="47" t="str">
        <x:v>moderate</x:v>
      </x:c>
      <x:c r="O118" s="51" t="n">
        <x:v>180</x:v>
      </x:c>
      <x:c r="P118" s="51" t="n">
        <x:v>0</x:v>
      </x:c>
      <x:c r="Q118" s="47" t="str">
        <x:v>stability/ground-loss</x:v>
      </x:c>
      <x:c r="R118" s="47" t="str">
        <x:v>collapse / damp</x:v>
      </x:c>
      <x:c r="S118" s="47" t="str"/>
      <x:c r="T118" s="47" t="str"/>
      <x:c r="U118" s="47" t="str">
        <x:v>Governed node; variants not separated</x:v>
      </x:c>
      <x:c r="V118" s="49"/>
      <x:c r="W118" s="49"/>
    </x:row>
    <x:row r="119">
      <x:c r="A119" s="47" t="str">
        <x:v>A-REFUGE</x:v>
      </x:c>
      <x:c r="B119" s="47" t="str">
        <x:v>Truthful first refuge</x:v>
      </x:c>
      <x:c r="C119" s="47" t="str">
        <x:v>Shelter</x:v>
      </x:c>
      <x:c r="D119" s="47" t="str">
        <x:v>Assembly</x:v>
      </x:c>
      <x:c r="E119" s="47" t="str">
        <x:v>H2</x:v>
      </x:c>
      <x:c r="F119" s="47" t="str">
        <x:v>Placeable/deployable assembly</x:v>
      </x:c>
      <x:c r="G119" s="47" t="str">
        <x:v>No</x:v>
      </x:c>
      <x:c r="H119" s="47" t="str">
        <x:v>Make / assemble / qualify</x:v>
      </x:c>
      <x:c r="I119" s="47" t="str">
        <x:v>A-WINDBREAK; A-ROOF; A-RAISED-BED; W-HEARTH</x:v>
      </x:c>
      <x:c r="J119" s="47" t="str">
        <x:v>occupy / heat / smoke / egress test</x:v>
      </x:c>
      <x:c r="K119" s="47" t="str"/>
      <x:c r="L119" s="47" t="str">
        <x:v>world</x:v>
      </x:c>
      <x:c r="M119" s="47" t="str">
        <x:v>survival / construction</x:v>
      </x:c>
      <x:c r="N119" s="47" t="str">
        <x:v>moderate</x:v>
      </x:c>
      <x:c r="O119" s="51" t="n">
        <x:v>300</x:v>
      </x:c>
      <x:c r="P119" s="51" t="n">
        <x:v>0</x:v>
      </x:c>
      <x:c r="Q119" s="47" t="str">
        <x:v>night exposure test</x:v>
      </x:c>
      <x:c r="R119" s="47" t="str">
        <x:v>smoke / leak / fire</x:v>
      </x:c>
      <x:c r="S119" s="47" t="str"/>
      <x:c r="T119" s="47" t="str"/>
      <x:c r="U119" s="47" t="str">
        <x:v>Governed node; variants not separated</x:v>
      </x:c>
      <x:c r="V119" s="49"/>
      <x:c r="W119" s="49"/>
    </x:row>
    <x:row r="120">
      <x:c r="A120" s="47" t="str">
        <x:v>A-COVERED-STORE</x:v>
      </x:c>
      <x:c r="B120" s="47" t="str">
        <x:v>Dry cache/chest</x:v>
      </x:c>
      <x:c r="C120" s="47" t="str">
        <x:v>Storage</x:v>
      </x:c>
      <x:c r="D120" s="47" t="str">
        <x:v>Assembly</x:v>
      </x:c>
      <x:c r="E120" s="47" t="str">
        <x:v>H2</x:v>
      </x:c>
      <x:c r="F120" s="47" t="str">
        <x:v>Placeable/deployable assembly</x:v>
      </x:c>
      <x:c r="G120" s="47" t="str">
        <x:v>No</x:v>
      </x:c>
      <x:c r="H120" s="47" t="str">
        <x:v>Make / assemble / qualify</x:v>
      </x:c>
      <x:c r="I120" s="47" t="str">
        <x:v>P-MAT; P-STRAIGHT-POLE; P-CORD; A-ROOF</x:v>
      </x:c>
      <x:c r="J120" s="47" t="str">
        <x:v>raise / enclose / close / inspect</x:v>
      </x:c>
      <x:c r="K120" s="47" t="str">
        <x:v>T-STONE-KNIFE</x:v>
      </x:c>
      <x:c r="L120" s="47" t="str">
        <x:v>A-REFUGE</x:v>
      </x:c>
      <x:c r="M120" s="47" t="str">
        <x:v>storage / construction</x:v>
      </x:c>
      <x:c r="N120" s="47" t="str">
        <x:v>moderate</x:v>
      </x:c>
      <x:c r="O120" s="51" t="n">
        <x:v>120</x:v>
      </x:c>
      <x:c r="P120" s="51" t="n">
        <x:v>0</x:v>
      </x:c>
      <x:c r="Q120" s="47" t="str">
        <x:v>dry/pest test</x:v>
      </x:c>
      <x:c r="R120" s="47" t="str">
        <x:v>mold / pest / leak</x:v>
      </x:c>
      <x:c r="S120" s="47" t="str"/>
      <x:c r="T120" s="47" t="str"/>
      <x:c r="U120" s="47" t="str">
        <x:v>Compressed family/assembly</x:v>
      </x:c>
      <x:c r="V120" s="49"/>
      <x:c r="W120" s="49"/>
    </x:row>
    <x:row r="121">
      <x:c r="A121" s="47" t="str">
        <x:v>A-LAMP</x:v>
      </x:c>
      <x:c r="B121" s="47" t="str">
        <x:v>Protected lamp/light</x:v>
      </x:c>
      <x:c r="C121" s="47" t="str">
        <x:v>Power</x:v>
      </x:c>
      <x:c r="D121" s="47" t="str">
        <x:v>Assembly</x:v>
      </x:c>
      <x:c r="E121" s="47" t="str">
        <x:v>H4</x:v>
      </x:c>
      <x:c r="F121" s="47" t="str">
        <x:v>Placeable/deployable assembly</x:v>
      </x:c>
      <x:c r="G121" s="47" t="str">
        <x:v>No</x:v>
      </x:c>
      <x:c r="H121" s="47" t="str">
        <x:v>Make / assemble / qualify</x:v>
      </x:c>
      <x:c r="I121" s="47" t="str">
        <x:v>S-BATTERY; S-WIRE; S-GLASS</x:v>
      </x:c>
      <x:c r="J121" s="47" t="str">
        <x:v>connect / protect / switch / test</x:v>
      </x:c>
      <x:c r="K121" s="47" t="str">
        <x:v>T-METER</x:v>
      </x:c>
      <x:c r="L121" s="47" t="str">
        <x:v>W-ELECTRICAL</x:v>
      </x:c>
      <x:c r="M121" s="47" t="str">
        <x:v>electrical</x:v>
      </x:c>
      <x:c r="N121" s="47" t="str">
        <x:v>dexterity</x:v>
      </x:c>
      <x:c r="O121" s="51" t="n">
        <x:v>120</x:v>
      </x:c>
      <x:c r="P121" s="51" t="n">
        <x:v>0</x:v>
      </x:c>
      <x:c r="Q121" s="47" t="str">
        <x:v>light/load/short</x:v>
      </x:c>
      <x:c r="R121" s="47" t="str">
        <x:v>fire / drain</x:v>
      </x:c>
      <x:c r="S121" s="47" t="str"/>
      <x:c r="T121" s="47" t="str">
        <x:v>Steam/electric supporting chain</x:v>
      </x:c>
      <x:c r="U121" s="47" t="str">
        <x:v>Compressed family/assembly</x:v>
      </x:c>
      <x:c r="V121" s="49"/>
      <x:c r="W121" s="49"/>
    </x:row>
    <x:row r="122">
      <x:c r="A122" s="47" t="str">
        <x:v>A-WORKING-HOME</x:v>
      </x:c>
      <x:c r="B122" s="47" t="str">
        <x:v>Working home</x:v>
      </x:c>
      <x:c r="C122" s="47" t="str">
        <x:v>Shelter</x:v>
      </x:c>
      <x:c r="D122" s="47" t="str">
        <x:v>Endpoint</x:v>
      </x:c>
      <x:c r="E122" s="47" t="str">
        <x:v>H5</x:v>
      </x:c>
      <x:c r="F122" s="47" t="str">
        <x:v>Placeable system/capability</x:v>
      </x:c>
      <x:c r="G122" s="47" t="str">
        <x:v>No</x:v>
      </x:c>
      <x:c r="H122" s="47" t="str">
        <x:v>Make / assemble / qualify</x:v>
      </x:c>
      <x:c r="I122" s="47" t="str">
        <x:v>A-REFUGE; A-CISTERN; A-COVERED-STORE; W-BENCH; W-CLEAN</x:v>
      </x:c>
      <x:c r="J122" s="47" t="str">
        <x:v>integrate / maintain / audit</x:v>
      </x:c>
      <x:c r="K122" s="47" t="str"/>
      <x:c r="L122" s="47" t="str">
        <x:v>world</x:v>
      </x:c>
      <x:c r="M122" s="47" t="str">
        <x:v>systems / logistics</x:v>
      </x:c>
      <x:c r="N122" s="47" t="str">
        <x:v>mixed</x:v>
      </x:c>
      <x:c r="O122" s="51" t="n">
        <x:v>2400</x:v>
      </x:c>
      <x:c r="P122" s="51" t="n">
        <x:v>0</x:v>
      </x:c>
      <x:c r="Q122" s="47" t="str">
        <x:v>daily-cycle proof</x:v>
      </x:c>
      <x:c r="R122" s="47" t="str">
        <x:v>maintenance cascade</x:v>
      </x:c>
      <x:c r="S122" s="47" t="str"/>
      <x:c r="T122" s="47" t="str"/>
      <x:c r="U122" s="47" t="str">
        <x:v>Governed node; variants not separated</x:v>
      </x:c>
      <x:c r="V122" s="49"/>
      <x:c r="W122" s="49"/>
    </x:row>
    <x:row r="123">
      <x:c r="A123" s="47" t="str">
        <x:v>A-LEGACY-HOME</x:v>
      </x:c>
      <x:c r="B123" s="47" t="str">
        <x:v>Legacy compound</x:v>
      </x:c>
      <x:c r="C123" s="47" t="str">
        <x:v>Legacy</x:v>
      </x:c>
      <x:c r="D123" s="47" t="str">
        <x:v>Endpoint</x:v>
      </x:c>
      <x:c r="E123" s="47" t="str">
        <x:v>H6</x:v>
      </x:c>
      <x:c r="F123" s="47" t="str">
        <x:v>Major end capability</x:v>
      </x:c>
      <x:c r="G123" s="47" t="str">
        <x:v>No</x:v>
      </x:c>
      <x:c r="H123" s="47" t="str">
        <x:v>Make / assemble / qualify</x:v>
      </x:c>
      <x:c r="I123" s="47" t="str">
        <x:v>A-WORKING-HOME; W-CLINIC; W-ARCHIVE; A-ARRIVAL</x:v>
      </x:c>
      <x:c r="J123" s="47" t="str">
        <x:v>harden / label / distribute / test</x:v>
      </x:c>
      <x:c r="K123" s="47" t="str"/>
      <x:c r="L123" s="47" t="str">
        <x:v>world</x:v>
      </x:c>
      <x:c r="M123" s="47" t="str">
        <x:v>systems / inheritance</x:v>
      </x:c>
      <x:c r="N123" s="47" t="str">
        <x:v>mixed</x:v>
      </x:c>
      <x:c r="O123" s="51" t="n">
        <x:v>6000</x:v>
      </x:c>
      <x:c r="P123" s="51" t="n">
        <x:v>0</x:v>
      </x:c>
      <x:c r="Q123" s="47" t="str">
        <x:v>successor recovery drill</x:v>
      </x:c>
      <x:c r="R123" s="47" t="str">
        <x:v>unreadable / single point</x:v>
      </x:c>
      <x:c r="S123" s="47" t="str"/>
      <x:c r="T123" s="47" t="str"/>
      <x:c r="U123" s="47" t="str">
        <x:v>Governed node; variants not separated</x:v>
      </x:c>
      <x:c r="V123" s="49"/>
      <x:c r="W123" s="49"/>
    </x:row>
    <x:row r="124">
      <x:c r="A124" s="47" t="str">
        <x:v>A-HANDWASH</x:v>
      </x:c>
      <x:c r="B124" s="47" t="str">
        <x:v>Handwashing station</x:v>
      </x:c>
      <x:c r="C124" s="47" t="str">
        <x:v>Medicine</x:v>
      </x:c>
      <x:c r="D124" s="47" t="str">
        <x:v>Assembly</x:v>
      </x:c>
      <x:c r="E124" s="47" t="str">
        <x:v>H3</x:v>
      </x:c>
      <x:c r="F124" s="47" t="str">
        <x:v>Deployable/carryable assembly</x:v>
      </x:c>
      <x:c r="G124" s="47" t="str">
        <x:v>Mixed</x:v>
      </x:c>
      <x:c r="H124" s="47" t="str">
        <x:v>Make / assemble / qualify</x:v>
      </x:c>
      <x:c r="I124" s="47" t="str">
        <x:v>P-CLEAN-WATER; C-COVERED-STORE; P-CORD</x:v>
      </x:c>
      <x:c r="J124" s="47" t="str">
        <x:v>mount / controlled pour / drain</x:v>
      </x:c>
      <x:c r="K124" s="47" t="str"/>
      <x:c r="L124" s="47" t="str">
        <x:v>W-CLEAN</x:v>
      </x:c>
      <x:c r="M124" s="47" t="str">
        <x:v>hygiene / water</x:v>
      </x:c>
      <x:c r="N124" s="47" t="str">
        <x:v>low</x:v>
      </x:c>
      <x:c r="O124" s="51" t="n">
        <x:v>60</x:v>
      </x:c>
      <x:c r="P124" s="51" t="n">
        <x:v>0</x:v>
      </x:c>
      <x:c r="Q124" s="47" t="str">
        <x:v>clean draw and drainage</x:v>
      </x:c>
      <x:c r="R124" s="47" t="str">
        <x:v>recontamination</x:v>
      </x:c>
      <x:c r="S124" s="47" t="str"/>
      <x:c r="T124" s="47" t="str"/>
      <x:c r="U124" s="47" t="str">
        <x:v>Compressed family/assembly</x:v>
      </x:c>
      <x:c r="V124" s="49"/>
      <x:c r="W124" s="49"/>
    </x:row>
    <x:row r="125">
      <x:c r="A125" s="47" t="str">
        <x:v>A-LATRINE</x:v>
      </x:c>
      <x:c r="B125" s="47" t="str">
        <x:v>Latrine/waste separation</x:v>
      </x:c>
      <x:c r="C125" s="47" t="str">
        <x:v>Medicine</x:v>
      </x:c>
      <x:c r="D125" s="47" t="str">
        <x:v>Assembly</x:v>
      </x:c>
      <x:c r="E125" s="47" t="str">
        <x:v>H2</x:v>
      </x:c>
      <x:c r="F125" s="47" t="str">
        <x:v>Deployable/carryable assembly</x:v>
      </x:c>
      <x:c r="G125" s="47" t="str">
        <x:v>Mixed</x:v>
      </x:c>
      <x:c r="H125" s="47" t="str">
        <x:v>Make / assemble / qualify</x:v>
      </x:c>
      <x:c r="I125" s="47" t="str">
        <x:v>T-DIG; P-STRAIGHT-POLE; P-MAT</x:v>
      </x:c>
      <x:c r="J125" s="47" t="str">
        <x:v>site / dig / cover / mark</x:v>
      </x:c>
      <x:c r="K125" s="47" t="str">
        <x:v>T-DIG</x:v>
      </x:c>
      <x:c r="L125" s="47" t="str">
        <x:v>down-gradient safe site</x:v>
      </x:c>
      <x:c r="M125" s="47" t="str">
        <x:v>sanitation / ecology</x:v>
      </x:c>
      <x:c r="N125" s="47" t="str">
        <x:v>high</x:v>
      </x:c>
      <x:c r="O125" s="51" t="n">
        <x:v>180</x:v>
      </x:c>
      <x:c r="P125" s="51" t="n">
        <x:v>0</x:v>
      </x:c>
      <x:c r="Q125" s="47" t="str">
        <x:v>distance/drainage/source audit</x:v>
      </x:c>
      <x:c r="R125" s="47" t="str">
        <x:v>source contamination</x:v>
      </x:c>
      <x:c r="S125" s="47" t="str"/>
      <x:c r="T125" s="47" t="str"/>
      <x:c r="U125" s="47" t="str">
        <x:v>Compressed family/assembly</x:v>
      </x:c>
      <x:c r="V125" s="49"/>
      <x:c r="W125" s="49"/>
    </x:row>
    <x:row r="126">
      <x:c r="A126" s="47" t="str">
        <x:v>A-BANDAGE</x:v>
      </x:c>
      <x:c r="B126" s="47" t="str">
        <x:v>Applied clean dressing</x:v>
      </x:c>
      <x:c r="C126" s="47" t="str">
        <x:v>Medicine</x:v>
      </x:c>
      <x:c r="D126" s="47" t="str">
        <x:v>Capability</x:v>
      </x:c>
      <x:c r="E126" s="47" t="str">
        <x:v>H2</x:v>
      </x:c>
      <x:c r="F126" s="47" t="str">
        <x:v>Abstract applied capability</x:v>
      </x:c>
      <x:c r="G126" s="47" t="str">
        <x:v>No</x:v>
      </x:c>
      <x:c r="H126" s="47" t="str">
        <x:v>Make / assemble / qualify</x:v>
      </x:c>
      <x:c r="I126" s="47" t="str">
        <x:v>P-DRESSING; P-CLEAN-WATER</x:v>
      </x:c>
      <x:c r="J126" s="47" t="str">
        <x:v>clean / pressure / secure / monitor</x:v>
      </x:c>
      <x:c r="K126" s="47" t="str"/>
      <x:c r="L126" s="47" t="str">
        <x:v>W-CLEAN</x:v>
      </x:c>
      <x:c r="M126" s="47" t="str">
        <x:v>medicine</x:v>
      </x:c>
      <x:c r="N126" s="47" t="str">
        <x:v>dexterity + composure</x:v>
      </x:c>
      <x:c r="O126" s="51" t="n">
        <x:v>20</x:v>
      </x:c>
      <x:c r="P126" s="51" t="n">
        <x:v>0</x:v>
      </x:c>
      <x:c r="Q126" s="47" t="str">
        <x:v>bleeding/cleanliness/fit</x:v>
      </x:c>
      <x:c r="R126" s="47" t="str">
        <x:v>too tight / dirty</x:v>
      </x:c>
      <x:c r="S126" s="47" t="str"/>
      <x:c r="T126" s="47" t="str"/>
      <x:c r="U126" s="47" t="str">
        <x:v>Abstract; not a discrete item</x:v>
      </x:c>
      <x:c r="V126" s="49"/>
      <x:c r="W126" s="49"/>
    </x:row>
    <x:row r="127">
      <x:c r="A127" s="47" t="str">
        <x:v>A-SPLINT</x:v>
      </x:c>
      <x:c r="B127" s="47" t="str">
        <x:v>Fitted splint</x:v>
      </x:c>
      <x:c r="C127" s="47" t="str">
        <x:v>Medicine</x:v>
      </x:c>
      <x:c r="D127" s="47" t="str">
        <x:v>Capability</x:v>
      </x:c>
      <x:c r="E127" s="47" t="str">
        <x:v>H2</x:v>
      </x:c>
      <x:c r="F127" s="47" t="str">
        <x:v>Abstract applied capability</x:v>
      </x:c>
      <x:c r="G127" s="47" t="str">
        <x:v>No</x:v>
      </x:c>
      <x:c r="H127" s="47" t="str">
        <x:v>Make / assemble / qualify</x:v>
      </x:c>
      <x:c r="I127" s="47" t="str">
        <x:v>P-SPLINT-STOCK; P-CORD</x:v>
      </x:c>
      <x:c r="J127" s="47" t="str">
        <x:v>assess / align / pad / bind / monitor</x:v>
      </x:c>
      <x:c r="K127" s="47" t="str"/>
      <x:c r="L127" s="47" t="str">
        <x:v>W-CLEAN</x:v>
      </x:c>
      <x:c r="M127" s="47" t="str">
        <x:v>medicine / fit</x:v>
      </x:c>
      <x:c r="N127" s="47" t="str">
        <x:v>dexterity</x:v>
      </x:c>
      <x:c r="O127" s="51" t="n">
        <x:v>30</x:v>
      </x:c>
      <x:c r="P127" s="51" t="n">
        <x:v>0</x:v>
      </x:c>
      <x:c r="Q127" s="47" t="str">
        <x:v>support/circulation</x:v>
      </x:c>
      <x:c r="R127" s="47" t="str">
        <x:v>pressure / misalign</x:v>
      </x:c>
      <x:c r="S127" s="47" t="str"/>
      <x:c r="T127" s="47" t="str"/>
      <x:c r="U127" s="47" t="str">
        <x:v>Abstract; not a discrete item</x:v>
      </x:c>
      <x:c r="V127" s="49"/>
      <x:c r="W127" s="49"/>
    </x:row>
    <x:row r="128">
      <x:c r="A128" s="47" t="str">
        <x:v>A-CRUTCH</x:v>
      </x:c>
      <x:c r="B128" s="47" t="str">
        <x:v>Crutch/cane</x:v>
      </x:c>
      <x:c r="C128" s="47" t="str">
        <x:v>Medicine</x:v>
      </x:c>
      <x:c r="D128" s="47" t="str">
        <x:v>Tool</x:v>
      </x:c>
      <x:c r="E128" s="47" t="str">
        <x:v>H3</x:v>
      </x:c>
      <x:c r="F128" s="47" t="str">
        <x:v>Carryable tool/equipment</x:v>
      </x:c>
      <x:c r="G128" s="47" t="str">
        <x:v>Yes</x:v>
      </x:c>
      <x:c r="H128" s="47" t="str">
        <x:v>Make / assemble / qualify</x:v>
      </x:c>
      <x:c r="I128" s="47" t="str">
        <x:v>P-STRAIGHT-POLE; P-MAT; P-CORD</x:v>
      </x:c>
      <x:c r="J128" s="47" t="str">
        <x:v>fit / pad / gait test</x:v>
      </x:c>
      <x:c r="K128" s="47" t="str">
        <x:v>T-STONE-KNIFE</x:v>
      </x:c>
      <x:c r="L128" s="47" t="str">
        <x:v>W-BENCH</x:v>
      </x:c>
      <x:c r="M128" s="47" t="str">
        <x:v>medicine / construction</x:v>
      </x:c>
      <x:c r="N128" s="47" t="str">
        <x:v>dexterity</x:v>
      </x:c>
      <x:c r="O128" s="51" t="n">
        <x:v>90</x:v>
      </x:c>
      <x:c r="P128" s="51" t="n">
        <x:v>0</x:v>
      </x:c>
      <x:c r="Q128" s="47" t="str">
        <x:v>gait/load test</x:v>
      </x:c>
      <x:c r="R128" s="47" t="str">
        <x:v>slip / wrong height</x:v>
      </x:c>
      <x:c r="S128" s="47" t="str"/>
      <x:c r="T128" s="47" t="str"/>
      <x:c r="U128" s="47" t="str">
        <x:v>Compressed family/assembly</x:v>
      </x:c>
      <x:c r="V128" s="49"/>
      <x:c r="W128" s="49"/>
    </x:row>
    <x:row r="129">
      <x:c r="A129" s="47" t="str">
        <x:v>A-STRETCHER</x:v>
      </x:c>
      <x:c r="B129" s="47" t="str">
        <x:v>Stretcher/litter</x:v>
      </x:c>
      <x:c r="C129" s="47" t="str">
        <x:v>Medicine</x:v>
      </x:c>
      <x:c r="D129" s="47" t="str">
        <x:v>Assembly</x:v>
      </x:c>
      <x:c r="E129" s="47" t="str">
        <x:v>H3</x:v>
      </x:c>
      <x:c r="F129" s="47" t="str">
        <x:v>Deployable/carryable assembly</x:v>
      </x:c>
      <x:c r="G129" s="47" t="str">
        <x:v>Mixed</x:v>
      </x:c>
      <x:c r="H129" s="47" t="str">
        <x:v>Make / assemble / qualify</x:v>
      </x:c>
      <x:c r="I129" s="47" t="str">
        <x:v>P-STRAIGHT-POLE; P-MAT; P-ROPE</x:v>
      </x:c>
      <x:c r="J129" s="47" t="str">
        <x:v>frame / carry points / load test</x:v>
      </x:c>
      <x:c r="K129" s="47" t="str">
        <x:v>T-MEASURE</x:v>
      </x:c>
      <x:c r="L129" s="47" t="str">
        <x:v>W-BENCH</x:v>
      </x:c>
      <x:c r="M129" s="47" t="str">
        <x:v>medicine / logistics</x:v>
      </x:c>
      <x:c r="N129" s="47" t="str">
        <x:v>team</x:v>
      </x:c>
      <x:c r="O129" s="51" t="n">
        <x:v>180</x:v>
      </x:c>
      <x:c r="P129" s="51" t="n">
        <x:v>0</x:v>
      </x:c>
      <x:c r="Q129" s="47" t="str">
        <x:v>proof load/carry drill</x:v>
      </x:c>
      <x:c r="R129" s="47" t="str">
        <x:v>drop / tear</x:v>
      </x:c>
      <x:c r="S129" s="47" t="str"/>
      <x:c r="T129" s="47" t="str"/>
      <x:c r="U129" s="47" t="str">
        <x:v>Compressed family/assembly</x:v>
      </x:c>
      <x:c r="V129" s="49"/>
      <x:c r="W129" s="49"/>
    </x:row>
    <x:row r="130">
      <x:c r="A130" s="47" t="str">
        <x:v>A-COOKING</x:v>
      </x:c>
      <x:c r="B130" s="47" t="str">
        <x:v>Controlled cooking system</x:v>
      </x:c>
      <x:c r="C130" s="47" t="str">
        <x:v>Food</x:v>
      </x:c>
      <x:c r="D130" s="47" t="str">
        <x:v>Assembly</x:v>
      </x:c>
      <x:c r="E130" s="47" t="str">
        <x:v>H2</x:v>
      </x:c>
      <x:c r="F130" s="47" t="str">
        <x:v>Placeable/deployable assembly</x:v>
      </x:c>
      <x:c r="G130" s="47" t="str">
        <x:v>No</x:v>
      </x:c>
      <x:c r="H130" s="47" t="str">
        <x:v>Make / assemble / qualify</x:v>
      </x:c>
      <x:c r="I130" s="47" t="str">
        <x:v>W-HEARTH; C-FOUND-PAN; T-STONE-KNIFE; P-CLEAN-WATER</x:v>
      </x:c>
      <x:c r="J130" s="47" t="str">
        <x:v>clean / portion / heat / inspect</x:v>
      </x:c>
      <x:c r="K130" s="47" t="str"/>
      <x:c r="L130" s="47" t="str">
        <x:v>W-HEARTH</x:v>
      </x:c>
      <x:c r="M130" s="47" t="str">
        <x:v>food / hygiene</x:v>
      </x:c>
      <x:c r="N130" s="47" t="str">
        <x:v>moderate</x:v>
      </x:c>
      <x:c r="O130" s="51" t="n">
        <x:v>60</x:v>
      </x:c>
      <x:c r="P130" s="51" t="n">
        <x:v>0</x:v>
      </x:c>
      <x:c r="Q130" s="47" t="str">
        <x:v>safe batch</x:v>
      </x:c>
      <x:c r="R130" s="47" t="str">
        <x:v>undercook / contaminate</x:v>
      </x:c>
      <x:c r="S130" s="47" t="str"/>
      <x:c r="T130" s="47" t="str"/>
      <x:c r="U130" s="47" t="str">
        <x:v>Compressed family/assembly</x:v>
      </x:c>
      <x:c r="V130" s="49"/>
      <x:c r="W130" s="49"/>
    </x:row>
    <x:row r="131">
      <x:c r="A131" s="47" t="str">
        <x:v>A-FISH-LINE</x:v>
      </x:c>
      <x:c r="B131" s="47" t="str">
        <x:v>Fishing line/hook</x:v>
      </x:c>
      <x:c r="C131" s="47" t="str">
        <x:v>Food</x:v>
      </x:c>
      <x:c r="D131" s="47" t="str">
        <x:v>Tool</x:v>
      </x:c>
      <x:c r="E131" s="47" t="str">
        <x:v>H2</x:v>
      </x:c>
      <x:c r="F131" s="47" t="str">
        <x:v>Carryable tool/equipment</x:v>
      </x:c>
      <x:c r="G131" s="47" t="str">
        <x:v>Yes</x:v>
      </x:c>
      <x:c r="H131" s="47" t="str">
        <x:v>Make / assemble / qualify</x:v>
      </x:c>
      <x:c r="I131" s="47" t="str">
        <x:v>P-CORD; S-BONE; P-SHARP-EDGE</x:v>
      </x:c>
      <x:c r="J131" s="47" t="str">
        <x:v>form / tie / bait / retrieve</x:v>
      </x:c>
      <x:c r="K131" s="47" t="str">
        <x:v>T-STONE-KNIFE</x:v>
      </x:c>
      <x:c r="L131" s="47" t="str">
        <x:v>shore</x:v>
      </x:c>
      <x:c r="M131" s="47" t="str">
        <x:v>fishing / ecology</x:v>
      </x:c>
      <x:c r="N131" s="47" t="str">
        <x:v>dexterity</x:v>
      </x:c>
      <x:c r="O131" s="51" t="n">
        <x:v>60</x:v>
      </x:c>
      <x:c r="P131" s="51" t="n">
        <x:v>0</x:v>
      </x:c>
      <x:c r="Q131" s="47" t="str">
        <x:v>catch/retrieval test</x:v>
      </x:c>
      <x:c r="R131" s="47" t="str">
        <x:v>hook injury / lost gear</x:v>
      </x:c>
      <x:c r="S131" s="47" t="str"/>
      <x:c r="T131" s="47" t="str"/>
      <x:c r="U131" s="47" t="str">
        <x:v>Compressed family/assembly</x:v>
      </x:c>
      <x:c r="V131" s="49"/>
      <x:c r="W131" s="49"/>
    </x:row>
    <x:row r="132">
      <x:c r="A132" s="47" t="str">
        <x:v>A-FISH-TRAP</x:v>
      </x:c>
      <x:c r="B132" s="47" t="str">
        <x:v>Selective fish/crab trap</x:v>
      </x:c>
      <x:c r="C132" s="47" t="str">
        <x:v>Food</x:v>
      </x:c>
      <x:c r="D132" s="47" t="str">
        <x:v>Assembly</x:v>
      </x:c>
      <x:c r="E132" s="47" t="str">
        <x:v>H3</x:v>
      </x:c>
      <x:c r="F132" s="47" t="str">
        <x:v>Placeable/deployable assembly</x:v>
      </x:c>
      <x:c r="G132" s="47" t="str">
        <x:v>No</x:v>
      </x:c>
      <x:c r="H132" s="47" t="str">
        <x:v>Make / assemble / qualify</x:v>
      </x:c>
      <x:c r="I132" s="47" t="str">
        <x:v>P-MAT; P-CORD; P-STRAIGHT-POLE</x:v>
      </x:c>
      <x:c r="J132" s="47" t="str">
        <x:v>frame / entrance / mark / retrieve</x:v>
      </x:c>
      <x:c r="K132" s="47" t="str">
        <x:v>T-STONE-KNIFE</x:v>
      </x:c>
      <x:c r="L132" s="47" t="str">
        <x:v>shore</x:v>
      </x:c>
      <x:c r="M132" s="47" t="str">
        <x:v>fishing / ecology</x:v>
      </x:c>
      <x:c r="N132" s="47" t="str">
        <x:v>moderate</x:v>
      </x:c>
      <x:c r="O132" s="51" t="n">
        <x:v>180</x:v>
      </x:c>
      <x:c r="P132" s="51" t="n">
        <x:v>0</x:v>
      </x:c>
      <x:c r="Q132" s="47" t="str">
        <x:v>selectivity/check test</x:v>
      </x:c>
      <x:c r="R132" s="47" t="str">
        <x:v>bycatch / ghost gear</x:v>
      </x:c>
      <x:c r="S132" s="47" t="str"/>
      <x:c r="T132" s="47" t="str"/>
      <x:c r="U132" s="47" t="str">
        <x:v>Compressed family/assembly</x:v>
      </x:c>
      <x:c r="V132" s="49"/>
      <x:c r="W132" s="49"/>
    </x:row>
    <x:row r="133">
      <x:c r="A133" s="47" t="str">
        <x:v>A-SPEAR</x:v>
      </x:c>
      <x:c r="B133" s="47" t="str">
        <x:v>Spear/harpoon</x:v>
      </x:c>
      <x:c r="C133" s="47" t="str">
        <x:v>Food</x:v>
      </x:c>
      <x:c r="D133" s="47" t="str">
        <x:v>Tool</x:v>
      </x:c>
      <x:c r="E133" s="47" t="str">
        <x:v>H2</x:v>
      </x:c>
      <x:c r="F133" s="47" t="str">
        <x:v>Carryable weapon/tool</x:v>
      </x:c>
      <x:c r="G133" s="47" t="str">
        <x:v>Yes</x:v>
      </x:c>
      <x:c r="H133" s="47" t="str">
        <x:v>Make / assemble / qualify</x:v>
      </x:c>
      <x:c r="I133" s="47" t="str">
        <x:v>P-STRAIGHT-POLE; P-SHARP-EDGE; P-CORD</x:v>
      </x:c>
      <x:c r="J133" s="47" t="str">
        <x:v>fit / bind / balance / practice</x:v>
      </x:c>
      <x:c r="K133" s="47" t="str">
        <x:v>T-STONE-KNIFE</x:v>
      </x:c>
      <x:c r="L133" s="47" t="str">
        <x:v>safe range</x:v>
      </x:c>
      <x:c r="M133" s="47" t="str">
        <x:v>hunting / toolmaking</x:v>
      </x:c>
      <x:c r="N133" s="47" t="str">
        <x:v>strength + dexterity</x:v>
      </x:c>
      <x:c r="O133" s="51" t="n">
        <x:v>90</x:v>
      </x:c>
      <x:c r="P133" s="51" t="n">
        <x:v>0</x:v>
      </x:c>
      <x:c r="Q133" s="47" t="str">
        <x:v>range/retention</x:v>
      </x:c>
      <x:c r="R133" s="47" t="str">
        <x:v>self injury / head loss</x:v>
      </x:c>
      <x:c r="S133" s="47" t="str">
        <x:v>Weapon family (misclassified under Food)</x:v>
      </x:c>
      <x:c r="T133" s="47" t="str"/>
      <x:c r="U133" s="47" t="str">
        <x:v>Compressed family/assembly</x:v>
      </x:c>
      <x:c r="V133" s="49"/>
      <x:c r="W133" s="49"/>
    </x:row>
    <x:row r="134">
      <x:c r="A134" s="47" t="str">
        <x:v>A-GARDEN</x:v>
      </x:c>
      <x:c r="B134" s="47" t="str">
        <x:v>Garden bed</x:v>
      </x:c>
      <x:c r="C134" s="47" t="str">
        <x:v>Food</x:v>
      </x:c>
      <x:c r="D134" s="47" t="str">
        <x:v>Assembly</x:v>
      </x:c>
      <x:c r="E134" s="47" t="str">
        <x:v>H3</x:v>
      </x:c>
      <x:c r="F134" s="47" t="str">
        <x:v>Placeable/deployable assembly</x:v>
      </x:c>
      <x:c r="G134" s="47" t="str">
        <x:v>No</x:v>
      </x:c>
      <x:c r="H134" s="47" t="str">
        <x:v>Make / assemble / qualify</x:v>
      </x:c>
      <x:c r="I134" s="47" t="str">
        <x:v>T-DIG; P-SEED-LOT; P-CLEAN-WATER; S-FOOD</x:v>
      </x:c>
      <x:c r="J134" s="47" t="str">
        <x:v>site / prepare / plant / water / observe</x:v>
      </x:c>
      <x:c r="K134" s="47" t="str">
        <x:v>T-DIG</x:v>
      </x:c>
      <x:c r="L134" s="47" t="str">
        <x:v>working home</x:v>
      </x:c>
      <x:c r="M134" s="47" t="str">
        <x:v>cultivation / ecology</x:v>
      </x:c>
      <x:c r="N134" s="47" t="str">
        <x:v>moderate</x:v>
      </x:c>
      <x:c r="O134" s="51" t="n">
        <x:v>360</x:v>
      </x:c>
      <x:c r="P134" s="51" t="n">
        <x:v>10080</x:v>
      </x:c>
      <x:c r="Q134" s="47" t="str">
        <x:v>germination/yield/soil record</x:v>
      </x:c>
      <x:c r="R134" s="47" t="str">
        <x:v>pest / drought / disease</x:v>
      </x:c>
      <x:c r="S134" s="47" t="str"/>
      <x:c r="T134" s="47" t="str"/>
      <x:c r="U134" s="47" t="str">
        <x:v>Governed node; variants not separated</x:v>
      </x:c>
      <x:c r="V134" s="49"/>
      <x:c r="W134" s="49"/>
    </x:row>
    <x:row r="135">
      <x:c r="A135" s="47" t="str">
        <x:v>A-COMPOST</x:v>
      </x:c>
      <x:c r="B135" s="47" t="str">
        <x:v>Managed compost</x:v>
      </x:c>
      <x:c r="C135" s="47" t="str">
        <x:v>Food</x:v>
      </x:c>
      <x:c r="D135" s="47" t="str">
        <x:v>Assembly</x:v>
      </x:c>
      <x:c r="E135" s="47" t="str">
        <x:v>H3</x:v>
      </x:c>
      <x:c r="F135" s="47" t="str">
        <x:v>Placeable/deployable assembly</x:v>
      </x:c>
      <x:c r="G135" s="47" t="str">
        <x:v>No</x:v>
      </x:c>
      <x:c r="H135" s="47" t="str">
        <x:v>Make / assemble / qualify</x:v>
      </x:c>
      <x:c r="I135" s="47" t="str">
        <x:v>S-FOOD; P-MAT; P-CLEAN-WATER</x:v>
      </x:c>
      <x:c r="J135" s="47" t="str">
        <x:v>separate / layer / aerate / cure</x:v>
      </x:c>
      <x:c r="K135" s="47" t="str">
        <x:v>T-DIG</x:v>
      </x:c>
      <x:c r="L135" s="47" t="str">
        <x:v>garden edge</x:v>
      </x:c>
      <x:c r="M135" s="47" t="str">
        <x:v>soil / sanitation</x:v>
      </x:c>
      <x:c r="N135" s="47" t="str">
        <x:v>moderate</x:v>
      </x:c>
      <x:c r="O135" s="51" t="n">
        <x:v>120</x:v>
      </x:c>
      <x:c r="P135" s="51" t="n">
        <x:v>10080</x:v>
      </x:c>
      <x:c r="Q135" s="47" t="str">
        <x:v>maturity/odor/heat</x:v>
      </x:c>
      <x:c r="R135" s="47" t="str">
        <x:v>pest / pathogen</x:v>
      </x:c>
      <x:c r="S135" s="47" t="str"/>
      <x:c r="T135" s="47" t="str"/>
      <x:c r="U135" s="47" t="str">
        <x:v>Governed node; variants not separated</x:v>
      </x:c>
      <x:c r="V135" s="49"/>
      <x:c r="W135" s="49"/>
    </x:row>
    <x:row r="136">
      <x:c r="A136" s="47" t="str">
        <x:v>A-FOOD-STORE</x:v>
      </x:c>
      <x:c r="B136" s="47" t="str">
        <x:v>Food continuity store</x:v>
      </x:c>
      <x:c r="C136" s="47" t="str">
        <x:v>Food</x:v>
      </x:c>
      <x:c r="D136" s="47" t="str">
        <x:v>Endpoint</x:v>
      </x:c>
      <x:c r="E136" s="47" t="str">
        <x:v>H4</x:v>
      </x:c>
      <x:c r="F136" s="47" t="str">
        <x:v>Placeable system/capability</x:v>
      </x:c>
      <x:c r="G136" s="47" t="str">
        <x:v>No</x:v>
      </x:c>
      <x:c r="H136" s="47" t="str">
        <x:v>Make / assemble / qualify</x:v>
      </x:c>
      <x:c r="I136" s="47" t="str">
        <x:v>P-PRESERVED-FOOD; A-COVERED-STORE; A-GARDEN</x:v>
      </x:c>
      <x:c r="J136" s="47" t="str">
        <x:v>rotate / inspect / ration / record</x:v>
      </x:c>
      <x:c r="K136" s="47" t="str"/>
      <x:c r="L136" s="47" t="str">
        <x:v>working home</x:v>
      </x:c>
      <x:c r="M136" s="47" t="str">
        <x:v>food / storage</x:v>
      </x:c>
      <x:c r="N136" s="47" t="str">
        <x:v>low</x:v>
      </x:c>
      <x:c r="O136" s="51" t="n">
        <x:v>240</x:v>
      </x:c>
      <x:c r="P136" s="51" t="n">
        <x:v>0</x:v>
      </x:c>
      <x:c r="Q136" s="47" t="str">
        <x:v>spoilage and reserve audit</x:v>
      </x:c>
      <x:c r="R136" s="47" t="str">
        <x:v>hidden spoilage</x:v>
      </x:c>
      <x:c r="S136" s="47" t="str"/>
      <x:c r="T136" s="47" t="str"/>
      <x:c r="U136" s="47" t="str">
        <x:v>Governed node; variants not separated</x:v>
      </x:c>
      <x:c r="V136" s="49"/>
      <x:c r="W136" s="49"/>
    </x:row>
    <x:row r="137">
      <x:c r="A137" s="47" t="str">
        <x:v>A-BASKET</x:v>
      </x:c>
      <x:c r="B137" s="47" t="str">
        <x:v>Carry basket</x:v>
      </x:c>
      <x:c r="C137" s="47" t="str">
        <x:v>Logistics</x:v>
      </x:c>
      <x:c r="D137" s="47" t="str">
        <x:v>Tool</x:v>
      </x:c>
      <x:c r="E137" s="47" t="str">
        <x:v>H1</x:v>
      </x:c>
      <x:c r="F137" s="47" t="str">
        <x:v>Carryable tool/equipment</x:v>
      </x:c>
      <x:c r="G137" s="47" t="str">
        <x:v>Yes</x:v>
      </x:c>
      <x:c r="H137" s="47" t="str">
        <x:v>Make / assemble / qualify</x:v>
      </x:c>
      <x:c r="I137" s="47" t="str">
        <x:v>P-MAT; P-CORD</x:v>
      </x:c>
      <x:c r="J137" s="47" t="str">
        <x:v>weave / handle / load test</x:v>
      </x:c>
      <x:c r="K137" s="47" t="str">
        <x:v>T-STONE-KNIFE</x:v>
      </x:c>
      <x:c r="L137" s="47" t="str">
        <x:v>W-WORKMAT</x:v>
      </x:c>
      <x:c r="M137" s="47" t="str">
        <x:v>weaving / logistics</x:v>
      </x:c>
      <x:c r="N137" s="47" t="str">
        <x:v>dexterity</x:v>
      </x:c>
      <x:c r="O137" s="51" t="n">
        <x:v>120</x:v>
      </x:c>
      <x:c r="P137" s="51" t="n">
        <x:v>0</x:v>
      </x:c>
      <x:c r="Q137" s="47" t="str">
        <x:v>load/carry</x:v>
      </x:c>
      <x:c r="R137" s="47" t="str">
        <x:v>tear / imbalance</x:v>
      </x:c>
      <x:c r="S137" s="47" t="str"/>
      <x:c r="T137" s="47" t="str"/>
      <x:c r="U137" s="47" t="str">
        <x:v>Governed node; variants not separated</x:v>
      </x:c>
      <x:c r="V137" s="49"/>
      <x:c r="W137" s="49"/>
    </x:row>
    <x:row r="138">
      <x:c r="A138" s="47" t="str">
        <x:v>A-PACK</x:v>
      </x:c>
      <x:c r="B138" s="47" t="str">
        <x:v>Pack frame/harness</x:v>
      </x:c>
      <x:c r="C138" s="47" t="str">
        <x:v>Logistics</x:v>
      </x:c>
      <x:c r="D138" s="47" t="str">
        <x:v>Tool</x:v>
      </x:c>
      <x:c r="E138" s="47" t="str">
        <x:v>H3</x:v>
      </x:c>
      <x:c r="F138" s="47" t="str">
        <x:v>Carryable tool/equipment</x:v>
      </x:c>
      <x:c r="G138" s="47" t="str">
        <x:v>Yes</x:v>
      </x:c>
      <x:c r="H138" s="47" t="str">
        <x:v>Make / assemble / qualify</x:v>
      </x:c>
      <x:c r="I138" s="47" t="str">
        <x:v>P-STRAIGHT-POLE; P-MAT; P-CORD</x:v>
      </x:c>
      <x:c r="J138" s="47" t="str">
        <x:v>frame / pad / adjust / route test</x:v>
      </x:c>
      <x:c r="K138" s="47" t="str">
        <x:v>T-MEASURE</x:v>
      </x:c>
      <x:c r="L138" s="47" t="str">
        <x:v>W-BENCH</x:v>
      </x:c>
      <x:c r="M138" s="47" t="str">
        <x:v>construction / logistics</x:v>
      </x:c>
      <x:c r="N138" s="47" t="str">
        <x:v>dexterity</x:v>
      </x:c>
      <x:c r="O138" s="51" t="n">
        <x:v>240</x:v>
      </x:c>
      <x:c r="P138" s="51" t="n">
        <x:v>0</x:v>
      </x:c>
      <x:c r="Q138" s="47" t="str">
        <x:v>fit/load/route</x:v>
      </x:c>
      <x:c r="R138" s="47" t="str">
        <x:v>hotspot / sway</x:v>
      </x:c>
      <x:c r="S138" s="47" t="str"/>
      <x:c r="T138" s="47" t="str"/>
      <x:c r="U138" s="47" t="str">
        <x:v>Compressed family/assembly</x:v>
      </x:c>
      <x:c r="V138" s="49"/>
      <x:c r="W138" s="49"/>
    </x:row>
    <x:row r="139">
      <x:c r="A139" s="47" t="str">
        <x:v>A-SLED</x:v>
      </x:c>
      <x:c r="B139" s="47" t="str">
        <x:v>Drag sled/travois</x:v>
      </x:c>
      <x:c r="C139" s="47" t="str">
        <x:v>Logistics</x:v>
      </x:c>
      <x:c r="D139" s="47" t="str">
        <x:v>Assembly</x:v>
      </x:c>
      <x:c r="E139" s="47" t="str">
        <x:v>H2</x:v>
      </x:c>
      <x:c r="F139" s="47" t="str">
        <x:v>Deployable/carryable assembly</x:v>
      </x:c>
      <x:c r="G139" s="47" t="str">
        <x:v>Mixed</x:v>
      </x:c>
      <x:c r="H139" s="47" t="str">
        <x:v>Make / assemble / qualify</x:v>
      </x:c>
      <x:c r="I139" s="47" t="str">
        <x:v>P-STRAIGHT-POLE; P-CORD; P-MAT</x:v>
      </x:c>
      <x:c r="J139" s="47" t="str">
        <x:v>frame / runner / tow / brake test</x:v>
      </x:c>
      <x:c r="K139" s="47" t="str">
        <x:v>T-AXE</x:v>
      </x:c>
      <x:c r="L139" s="47" t="str">
        <x:v>W-BENCH</x:v>
      </x:c>
      <x:c r="M139" s="47" t="str">
        <x:v>construction / logistics</x:v>
      </x:c>
      <x:c r="N139" s="47" t="str">
        <x:v>strength</x:v>
      </x:c>
      <x:c r="O139" s="51" t="n">
        <x:v>180</x:v>
      </x:c>
      <x:c r="P139" s="51" t="n">
        <x:v>0</x:v>
      </x:c>
      <x:c r="Q139" s="47" t="str">
        <x:v>loaded route/stop</x:v>
      </x:c>
      <x:c r="R139" s="47" t="str">
        <x:v>runaway / break</x:v>
      </x:c>
      <x:c r="S139" s="47" t="str"/>
      <x:c r="T139" s="47" t="str"/>
      <x:c r="U139" s="47" t="str">
        <x:v>Compressed family/assembly</x:v>
      </x:c>
      <x:c r="V139" s="49"/>
      <x:c r="W139" s="49"/>
    </x:row>
    <x:row r="140">
      <x:c r="A140" s="47" t="str">
        <x:v>A-CART</x:v>
      </x:c>
      <x:c r="B140" s="47" t="str">
        <x:v>Handcart</x:v>
      </x:c>
      <x:c r="C140" s="47" t="str">
        <x:v>Logistics</x:v>
      </x:c>
      <x:c r="D140" s="47" t="str">
        <x:v>Assembly</x:v>
      </x:c>
      <x:c r="E140" s="47" t="str">
        <x:v>H4</x:v>
      </x:c>
      <x:c r="F140" s="47" t="str">
        <x:v>Deployable/carryable assembly</x:v>
      </x:c>
      <x:c r="G140" s="47" t="str">
        <x:v>Mixed</x:v>
      </x:c>
      <x:c r="H140" s="47" t="str">
        <x:v>Make / assemble / qualify</x:v>
      </x:c>
      <x:c r="I140" s="47" t="str">
        <x:v>P-PLANK; S-BEARING; S-FASTENER; T-DRILL</x:v>
      </x:c>
      <x:c r="J140" s="47" t="str">
        <x:v>frame / axle / wheel / brake / test</x:v>
      </x:c>
      <x:c r="K140" s="47" t="str">
        <x:v>T-MEASURE</x:v>
      </x:c>
      <x:c r="L140" s="47" t="str">
        <x:v>W-BENCH</x:v>
      </x:c>
      <x:c r="M140" s="47" t="str">
        <x:v>mechanics / logistics</x:v>
      </x:c>
      <x:c r="N140" s="47" t="str">
        <x:v>strength + dexterity</x:v>
      </x:c>
      <x:c r="O140" s="51" t="n">
        <x:v>720</x:v>
      </x:c>
      <x:c r="P140" s="51" t="n">
        <x:v>0</x:v>
      </x:c>
      <x:c r="Q140" s="47" t="str">
        <x:v>load/turn/slope/stop</x:v>
      </x:c>
      <x:c r="R140" s="47" t="str">
        <x:v>tip / axle fail</x:v>
      </x:c>
      <x:c r="S140" s="47" t="str"/>
      <x:c r="T140" s="47" t="str"/>
      <x:c r="U140" s="47" t="str">
        <x:v>Governed node; variants not separated</x:v>
      </x:c>
      <x:c r="V140" s="49"/>
      <x:c r="W140" s="49"/>
    </x:row>
    <x:row r="141">
      <x:c r="A141" s="47" t="str">
        <x:v>A-TRIPOD</x:v>
      </x:c>
      <x:c r="B141" s="47" t="str">
        <x:v>Tripod/A-frame lift</x:v>
      </x:c>
      <x:c r="C141" s="47" t="str">
        <x:v>Logistics</x:v>
      </x:c>
      <x:c r="D141" s="47" t="str">
        <x:v>Assembly</x:v>
      </x:c>
      <x:c r="E141" s="47" t="str">
        <x:v>H3</x:v>
      </x:c>
      <x:c r="F141" s="47" t="str">
        <x:v>Deployable/carryable assembly</x:v>
      </x:c>
      <x:c r="G141" s="47" t="str">
        <x:v>Mixed</x:v>
      </x:c>
      <x:c r="H141" s="47" t="str">
        <x:v>Make / assemble / qualify</x:v>
      </x:c>
      <x:c r="I141" s="47" t="str">
        <x:v>P-STRAIGHT-POLE; P-ROPE; T-MEASURE</x:v>
      </x:c>
      <x:c r="J141" s="47" t="str">
        <x:v>anchor / lash / erect / proof</x:v>
      </x:c>
      <x:c r="K141" s="47" t="str">
        <x:v>T-MEASURE</x:v>
      </x:c>
      <x:c r="L141" s="47" t="str">
        <x:v>lift yard</x:v>
      </x:c>
      <x:c r="M141" s="47" t="str">
        <x:v>rigging</x:v>
      </x:c>
      <x:c r="N141" s="47" t="str">
        <x:v>team + strength</x:v>
      </x:c>
      <x:c r="O141" s="51" t="n">
        <x:v>240</x:v>
      </x:c>
      <x:c r="P141" s="51" t="n">
        <x:v>0</x:v>
      </x:c>
      <x:c r="Q141" s="47" t="str">
        <x:v>proof load and exclusion</x:v>
      </x:c>
      <x:c r="R141" s="47" t="str">
        <x:v>collapse / crush</x:v>
      </x:c>
      <x:c r="S141" s="47" t="str"/>
      <x:c r="T141" s="47" t="str"/>
      <x:c r="U141" s="47" t="str">
        <x:v>Compressed family/assembly</x:v>
      </x:c>
      <x:c r="V141" s="49"/>
      <x:c r="W141" s="49"/>
    </x:row>
    <x:row r="142">
      <x:c r="A142" s="47" t="str">
        <x:v>A-PULLEY</x:v>
      </x:c>
      <x:c r="B142" s="47" t="str">
        <x:v>Pulley/tackle</x:v>
      </x:c>
      <x:c r="C142" s="47" t="str">
        <x:v>Logistics</x:v>
      </x:c>
      <x:c r="D142" s="47" t="str">
        <x:v>Assembly</x:v>
      </x:c>
      <x:c r="E142" s="47" t="str">
        <x:v>H4</x:v>
      </x:c>
      <x:c r="F142" s="47" t="str">
        <x:v>Deployable/carryable assembly</x:v>
      </x:c>
      <x:c r="G142" s="47" t="str">
        <x:v>Mixed</x:v>
      </x:c>
      <x:c r="H142" s="47" t="str">
        <x:v>Recover / repair / qualify</x:v>
      </x:c>
      <x:c r="I142" s="47" t="str">
        <x:v>S-BEARING; P-ROPE; A-TRIPOD</x:v>
      </x:c>
      <x:c r="J142" s="47" t="str">
        <x:v>recover / reeve / anchor / brake</x:v>
      </x:c>
      <x:c r="K142" s="47" t="str">
        <x:v>T-PRY</x:v>
      </x:c>
      <x:c r="L142" s="47" t="str">
        <x:v>lift yard</x:v>
      </x:c>
      <x:c r="M142" s="47" t="str">
        <x:v>rigging / mechanics</x:v>
      </x:c>
      <x:c r="N142" s="47" t="str">
        <x:v>strength + dexterity</x:v>
      </x:c>
      <x:c r="O142" s="51" t="n">
        <x:v>240</x:v>
      </x:c>
      <x:c r="P142" s="51" t="n">
        <x:v>0</x:v>
      </x:c>
      <x:c r="Q142" s="47" t="str">
        <x:v>controlled raise/lower</x:v>
      </x:c>
      <x:c r="R142" s="47" t="str">
        <x:v>rope/sheave failure</x:v>
      </x:c>
      <x:c r="S142" s="47" t="str"/>
      <x:c r="T142" s="47" t="str"/>
      <x:c r="U142" s="47" t="str">
        <x:v>Compressed family/assembly</x:v>
      </x:c>
      <x:c r="V142" s="49"/>
      <x:c r="W142" s="49"/>
    </x:row>
    <x:row r="143">
      <x:c r="A143" s="47" t="str">
        <x:v>A-WINCH</x:v>
      </x:c>
      <x:c r="B143" s="47" t="str">
        <x:v>Braked winch/capstan</x:v>
      </x:c>
      <x:c r="C143" s="47" t="str">
        <x:v>Logistics</x:v>
      </x:c>
      <x:c r="D143" s="47" t="str">
        <x:v>Assembly</x:v>
      </x:c>
      <x:c r="E143" s="47" t="str">
        <x:v>H5</x:v>
      </x:c>
      <x:c r="F143" s="47" t="str">
        <x:v>Deployable/carryable assembly</x:v>
      </x:c>
      <x:c r="G143" s="47" t="str">
        <x:v>Mixed</x:v>
      </x:c>
      <x:c r="H143" s="47" t="str">
        <x:v>Make / assemble / qualify</x:v>
      </x:c>
      <x:c r="I143" s="47" t="str">
        <x:v>S-BEARING; P-METAL-STOCK; P-ROPE; W-BENCH</x:v>
      </x:c>
      <x:c r="J143" s="47" t="str">
        <x:v>frame / drum / gear / brake / test</x:v>
      </x:c>
      <x:c r="K143" s="47" t="str">
        <x:v>T-HAMMER</x:v>
      </x:c>
      <x:c r="L143" s="47" t="str">
        <x:v>lift yard</x:v>
      </x:c>
      <x:c r="M143" s="47" t="str">
        <x:v>mechanics / rigging</x:v>
      </x:c>
      <x:c r="N143" s="47" t="str">
        <x:v>strength + dexterity</x:v>
      </x:c>
      <x:c r="O143" s="51" t="n">
        <x:v>900</x:v>
      </x:c>
      <x:c r="P143" s="51" t="n">
        <x:v>0</x:v>
      </x:c>
      <x:c r="Q143" s="47" t="str">
        <x:v>proof load/brake</x:v>
      </x:c>
      <x:c r="R143" s="47" t="str">
        <x:v>runaway / crush</x:v>
      </x:c>
      <x:c r="S143" s="47" t="str"/>
      <x:c r="T143" s="47" t="str"/>
      <x:c r="U143" s="47" t="str">
        <x:v>Compressed family/assembly</x:v>
      </x:c>
      <x:c r="V143" s="49"/>
      <x:c r="W143" s="49"/>
    </x:row>
    <x:row r="144">
      <x:c r="A144" s="47" t="str">
        <x:v>A-DOCK</x:v>
      </x:c>
      <x:c r="B144" s="47" t="str">
        <x:v>Dock/landing</x:v>
      </x:c>
      <x:c r="C144" s="47" t="str">
        <x:v>Maritime</x:v>
      </x:c>
      <x:c r="D144" s="47" t="str">
        <x:v>Assembly</x:v>
      </x:c>
      <x:c r="E144" s="47" t="str">
        <x:v>H4</x:v>
      </x:c>
      <x:c r="F144" s="47" t="str">
        <x:v>Deployable/carryable assembly</x:v>
      </x:c>
      <x:c r="G144" s="47" t="str">
        <x:v>Mixed</x:v>
      </x:c>
      <x:c r="H144" s="47" t="str">
        <x:v>Make / assemble / qualify</x:v>
      </x:c>
      <x:c r="I144" s="47" t="str">
        <x:v>P-STRAIGHT-POLE; P-PLANK; P-ROPE; T-MEASURE</x:v>
      </x:c>
      <x:c r="J144" s="47" t="str">
        <x:v>site / anchor / deck / ladder / test</x:v>
      </x:c>
      <x:c r="K144" s="47" t="str">
        <x:v>T-AXE</x:v>
      </x:c>
      <x:c r="L144" s="47" t="str">
        <x:v>shore</x:v>
      </x:c>
      <x:c r="M144" s="47" t="str">
        <x:v>construction / maritime</x:v>
      </x:c>
      <x:c r="N144" s="47" t="str">
        <x:v>high</x:v>
      </x:c>
      <x:c r="O144" s="51" t="n">
        <x:v>1200</x:v>
      </x:c>
      <x:c r="P144" s="51" t="n">
        <x:v>0</x:v>
      </x:c>
      <x:c r="Q144" s="47" t="str">
        <x:v>tide/load/reboard</x:v>
      </x:c>
      <x:c r="R144" s="47" t="str">
        <x:v>collapse / surge</x:v>
      </x:c>
      <x:c r="S144" s="47" t="str"/>
      <x:c r="T144" s="47" t="str"/>
      <x:c r="U144" s="47" t="str">
        <x:v>Compressed family/assembly</x:v>
      </x:c>
      <x:c r="V144" s="49"/>
      <x:c r="W144" s="49"/>
    </x:row>
    <x:row r="145">
      <x:c r="A145" s="47" t="str">
        <x:v>A-FLOAT</x:v>
      </x:c>
      <x:c r="B145" s="47" t="str">
        <x:v>Flotation aid</x:v>
      </x:c>
      <x:c r="C145" s="47" t="str">
        <x:v>Maritime</x:v>
      </x:c>
      <x:c r="D145" s="47" t="str">
        <x:v>Tool</x:v>
      </x:c>
      <x:c r="E145" s="47" t="str">
        <x:v>H1</x:v>
      </x:c>
      <x:c r="F145" s="47" t="str">
        <x:v>Carryable tool/equipment</x:v>
      </x:c>
      <x:c r="G145" s="47" t="str">
        <x:v>Yes</x:v>
      </x:c>
      <x:c r="H145" s="47" t="str">
        <x:v>Make / assemble / qualify</x:v>
      </x:c>
      <x:c r="I145" s="47" t="str">
        <x:v>S-TIMBER; P-CORD</x:v>
      </x:c>
      <x:c r="J145" s="47" t="str">
        <x:v>bind / grip / release / water test</x:v>
      </x:c>
      <x:c r="K145" s="47" t="str"/>
      <x:c r="L145" s="47" t="str">
        <x:v>shore</x:v>
      </x:c>
      <x:c r="M145" s="47" t="str">
        <x:v>water safety</x:v>
      </x:c>
      <x:c r="N145" s="47" t="str">
        <x:v>moderate</x:v>
      </x:c>
      <x:c r="O145" s="51" t="n">
        <x:v>45</x:v>
      </x:c>
      <x:c r="P145" s="51" t="n">
        <x:v>0</x:v>
      </x:c>
      <x:c r="Q145" s="47" t="str">
        <x:v>person-support/release</x:v>
      </x:c>
      <x:c r="R145" s="47" t="str">
        <x:v>entangle / slip</x:v>
      </x:c>
      <x:c r="S145" s="47" t="str"/>
      <x:c r="T145" s="47" t="str"/>
      <x:c r="U145" s="47" t="str">
        <x:v>Governed node; variants not separated</x:v>
      </x:c>
      <x:c r="V145" s="49"/>
      <x:c r="W145" s="49"/>
    </x:row>
    <x:row r="146">
      <x:c r="A146" s="47" t="str">
        <x:v>A-RAFT</x:v>
      </x:c>
      <x:c r="B146" s="47" t="str">
        <x:v>Surface raft</x:v>
      </x:c>
      <x:c r="C146" s="47" t="str">
        <x:v>Maritime</x:v>
      </x:c>
      <x:c r="D146" s="47" t="str">
        <x:v>Assembly</x:v>
      </x:c>
      <x:c r="E146" s="47" t="str">
        <x:v>H3</x:v>
      </x:c>
      <x:c r="F146" s="47" t="str">
        <x:v>Deployable/carryable assembly</x:v>
      </x:c>
      <x:c r="G146" s="47" t="str">
        <x:v>Mixed</x:v>
      </x:c>
      <x:c r="H146" s="47" t="str">
        <x:v>Make / assemble / qualify</x:v>
      </x:c>
      <x:c r="I146" s="47" t="str">
        <x:v>P-STRAIGHT-POLE; P-ROPE; P-MAT; A-FLOAT</x:v>
      </x:c>
      <x:c r="J146" s="47" t="str">
        <x:v>bind / deck / trim / paddle / test</x:v>
      </x:c>
      <x:c r="K146" s="47" t="str">
        <x:v>T-AXE</x:v>
      </x:c>
      <x:c r="L146" s="47" t="str">
        <x:v>shore</x:v>
      </x:c>
      <x:c r="M146" s="47" t="str">
        <x:v>boat / rigging</x:v>
      </x:c>
      <x:c r="N146" s="47" t="str">
        <x:v>high</x:v>
      </x:c>
      <x:c r="O146" s="51" t="n">
        <x:v>600</x:v>
      </x:c>
      <x:c r="P146" s="51" t="n">
        <x:v>0</x:v>
      </x:c>
      <x:c r="Q146" s="47" t="str">
        <x:v>freeboard/steer/reboard/capsize</x:v>
      </x:c>
      <x:c r="R146" s="47" t="str">
        <x:v>break / drift</x:v>
      </x:c>
      <x:c r="S146" s="47" t="str"/>
      <x:c r="T146" s="47" t="str"/>
      <x:c r="U146" s="47" t="str">
        <x:v>Governed node; variants not separated</x:v>
      </x:c>
      <x:c r="V146" s="49"/>
      <x:c r="W146" s="49"/>
    </x:row>
    <x:row r="147">
      <x:c r="A147" s="47" t="str">
        <x:v>A-BOAT-B1</x:v>
      </x:c>
      <x:c r="B147" s="47" t="str">
        <x:v>Secured fishing-boat wreck</x:v>
      </x:c>
      <x:c r="C147" s="47" t="str">
        <x:v>Maritime</x:v>
      </x:c>
      <x:c r="D147" s="47" t="str">
        <x:v>Project</x:v>
      </x:c>
      <x:c r="E147" s="47" t="str">
        <x:v>H2</x:v>
      </x:c>
      <x:c r="F147" s="47" t="str">
        <x:v>Persistent world project</x:v>
      </x:c>
      <x:c r="G147" s="47" t="str">
        <x:v>No</x:v>
      </x:c>
      <x:c r="H147" s="47" t="str">
        <x:v>Make / assemble / qualify</x:v>
      </x:c>
      <x:c r="I147" s="47" t="str">
        <x:v>S-ENGINE; S-TIMBER; P-ROPE</x:v>
      </x:c>
      <x:c r="J147" s="47" t="str">
        <x:v>secure / survey / drain</x:v>
      </x:c>
      <x:c r="K147" s="47" t="str">
        <x:v>T-PRY</x:v>
      </x:c>
      <x:c r="L147" s="47" t="str">
        <x:v>shore</x:v>
      </x:c>
      <x:c r="M147" s="47" t="str">
        <x:v>salvage / boat</x:v>
      </x:c>
      <x:c r="N147" s="47" t="str">
        <x:v>high</x:v>
      </x:c>
      <x:c r="O147" s="51" t="n">
        <x:v>480</x:v>
      </x:c>
      <x:c r="P147" s="51" t="n">
        <x:v>0</x:v>
      </x:c>
      <x:c r="Q147" s="47" t="str">
        <x:v>stable access</x:v>
      </x:c>
      <x:c r="R147" s="47" t="str">
        <x:v>shift / flood</x:v>
      </x:c>
      <x:c r="S147" s="47" t="str"/>
      <x:c r="T147" s="47" t="str"/>
      <x:c r="U147" s="47" t="str">
        <x:v>Governed node; variants not separated</x:v>
      </x:c>
      <x:c r="V147" s="49"/>
      <x:c r="W147" s="49"/>
    </x:row>
    <x:row r="148">
      <x:c r="A148" s="47" t="str">
        <x:v>A-BOAT-B2</x:v>
      </x:c>
      <x:c r="B148" s="47" t="str">
        <x:v>Stabilized boat shell</x:v>
      </x:c>
      <x:c r="C148" s="47" t="str">
        <x:v>Maritime</x:v>
      </x:c>
      <x:c r="D148" s="47" t="str">
        <x:v>Project</x:v>
      </x:c>
      <x:c r="E148" s="47" t="str">
        <x:v>H3</x:v>
      </x:c>
      <x:c r="F148" s="47" t="str">
        <x:v>Persistent world project</x:v>
      </x:c>
      <x:c r="G148" s="47" t="str">
        <x:v>No</x:v>
      </x:c>
      <x:c r="H148" s="47" t="str">
        <x:v>Make / assemble / qualify</x:v>
      </x:c>
      <x:c r="I148" s="47" t="str">
        <x:v>A-BOAT-B1; A-TRIPOD; P-PLANK</x:v>
      </x:c>
      <x:c r="J148" s="47" t="str">
        <x:v>brace / clean / support / map leaks</x:v>
      </x:c>
      <x:c r="K148" s="47" t="str">
        <x:v>T-MEASURE</x:v>
      </x:c>
      <x:c r="L148" s="47" t="str">
        <x:v>W-BOATYARD</x:v>
      </x:c>
      <x:c r="M148" s="47" t="str">
        <x:v>boat / construction</x:v>
      </x:c>
      <x:c r="N148" s="47" t="str">
        <x:v>high</x:v>
      </x:c>
      <x:c r="O148" s="51" t="n">
        <x:v>1200</x:v>
      </x:c>
      <x:c r="P148" s="51" t="n">
        <x:v>0</x:v>
      </x:c>
      <x:c r="Q148" s="47" t="str">
        <x:v>support/leak map</x:v>
      </x:c>
      <x:c r="R148" s="47" t="str">
        <x:v>collapse / rot</x:v>
      </x:c>
      <x:c r="S148" s="47" t="str"/>
      <x:c r="T148" s="47" t="str"/>
      <x:c r="U148" s="47" t="str">
        <x:v>Governed node; variants not separated</x:v>
      </x:c>
      <x:c r="V148" s="49"/>
      <x:c r="W148" s="49"/>
    </x:row>
    <x:row r="149">
      <x:c r="A149" s="47" t="str">
        <x:v>A-BOAT-B3</x:v>
      </x:c>
      <x:c r="B149" s="47" t="str">
        <x:v>Floating/paddled workboat</x:v>
      </x:c>
      <x:c r="C149" s="47" t="str">
        <x:v>Maritime</x:v>
      </x:c>
      <x:c r="D149" s="47" t="str">
        <x:v>Endpoint</x:v>
      </x:c>
      <x:c r="E149" s="47" t="str">
        <x:v>H4</x:v>
      </x:c>
      <x:c r="F149" s="47" t="str">
        <x:v>Vehicle/maritime system</x:v>
      </x:c>
      <x:c r="G149" s="47" t="str">
        <x:v>No</x:v>
      </x:c>
      <x:c r="H149" s="47" t="str">
        <x:v>Make / assemble / qualify</x:v>
      </x:c>
      <x:c r="I149" s="47" t="str">
        <x:v>A-BOAT-B2; P-PITCH; P-PLANK; A-DOCK</x:v>
      </x:c>
      <x:c r="J149" s="47" t="str">
        <x:v>patch / seal / launch / load / paddle</x:v>
      </x:c>
      <x:c r="K149" s="47" t="str">
        <x:v>T-ADZE</x:v>
      </x:c>
      <x:c r="L149" s="47" t="str">
        <x:v>W-BOATYARD</x:v>
      </x:c>
      <x:c r="M149" s="47" t="str">
        <x:v>boat / sealing</x:v>
      </x:c>
      <x:c r="N149" s="47" t="str">
        <x:v>high</x:v>
      </x:c>
      <x:c r="O149" s="51" t="n">
        <x:v>2400</x:v>
      </x:c>
      <x:c r="P149" s="51" t="n">
        <x:v>720</x:v>
      </x:c>
      <x:c r="Q149" s="47" t="str">
        <x:v>loaded freeboard/steer/reboard</x:v>
      </x:c>
      <x:c r="R149" s="47" t="str">
        <x:v>leak / capsize</x:v>
      </x:c>
      <x:c r="S149" s="47" t="str"/>
      <x:c r="T149" s="47" t="str"/>
      <x:c r="U149" s="47" t="str">
        <x:v>Compressed family/assembly</x:v>
      </x:c>
      <x:c r="V149" s="49"/>
      <x:c r="W149" s="49"/>
    </x:row>
    <x:row r="150">
      <x:c r="A150" s="47" t="str">
        <x:v>A-BOAT-SAIL</x:v>
      </x:c>
      <x:c r="B150" s="47" t="str">
        <x:v>Sail-assisted crossing craft</x:v>
      </x:c>
      <x:c r="C150" s="47" t="str">
        <x:v>Maritime</x:v>
      </x:c>
      <x:c r="D150" s="47" t="str">
        <x:v>Endpoint</x:v>
      </x:c>
      <x:c r="E150" s="47" t="str">
        <x:v>H5</x:v>
      </x:c>
      <x:c r="F150" s="47" t="str">
        <x:v>Vehicle/maritime system</x:v>
      </x:c>
      <x:c r="G150" s="47" t="str">
        <x:v>No</x:v>
      </x:c>
      <x:c r="H150" s="47" t="str">
        <x:v>Make / assemble / qualify</x:v>
      </x:c>
      <x:c r="I150" s="47" t="str">
        <x:v>A-BOAT-B3; S-CANVAS; P-ROPE; P-STRAIGHT-POLE</x:v>
      </x:c>
      <x:c r="J150" s="47" t="str">
        <x:v>mast / rig / sail / reef / steer</x:v>
      </x:c>
      <x:c r="K150" s="47" t="str">
        <x:v>T-MEASURE</x:v>
      </x:c>
      <x:c r="L150" s="47" t="str">
        <x:v>W-BOATYARD</x:v>
      </x:c>
      <x:c r="M150" s="47" t="str">
        <x:v>sailing / rigging</x:v>
      </x:c>
      <x:c r="N150" s="47" t="str">
        <x:v>high</x:v>
      </x:c>
      <x:c r="O150" s="51" t="n">
        <x:v>1800</x:v>
      </x:c>
      <x:c r="P150" s="51" t="n">
        <x:v>0</x:v>
      </x:c>
      <x:c r="Q150" s="47" t="str">
        <x:v>sheltered sea-state/abort</x:v>
      </x:c>
      <x:c r="R150" s="47" t="str">
        <x:v>rig fail / capsize</x:v>
      </x:c>
      <x:c r="S150" s="47" t="str"/>
      <x:c r="T150" s="47" t="str"/>
      <x:c r="U150" s="47" t="str">
        <x:v>Governed node; variants not separated</x:v>
      </x:c>
      <x:c r="V150" s="49"/>
      <x:c r="W150" s="49"/>
    </x:row>
    <x:row r="151">
      <x:c r="A151" s="47" t="str">
        <x:v>A-BOAT-POWER</x:v>
      </x:c>
      <x:c r="B151" s="47" t="str">
        <x:v>Powered expedition boat</x:v>
      </x:c>
      <x:c r="C151" s="47" t="str">
        <x:v>Maritime</x:v>
      </x:c>
      <x:c r="D151" s="47" t="str">
        <x:v>Endpoint</x:v>
      </x:c>
      <x:c r="E151" s="47" t="str">
        <x:v>H5</x:v>
      </x:c>
      <x:c r="F151" s="47" t="str">
        <x:v>Vehicle/maritime system</x:v>
      </x:c>
      <x:c r="G151" s="47" t="str">
        <x:v>No</x:v>
      </x:c>
      <x:c r="H151" s="47" t="str">
        <x:v>Make / assemble / qualify</x:v>
      </x:c>
      <x:c r="I151" s="47" t="str">
        <x:v>A-BOAT-B3; S-ENGINE; A-WINCH; A-PIPE; S-BATTERY</x:v>
      </x:c>
      <x:c r="J151" s="47" t="str">
        <x:v>mount / fuel / cool / wire / control / trial</x:v>
      </x:c>
      <x:c r="K151" s="47" t="str">
        <x:v>T-METER</x:v>
      </x:c>
      <x:c r="L151" s="47" t="str">
        <x:v>W-BOATYARD</x:v>
      </x:c>
      <x:c r="M151" s="47" t="str">
        <x:v>engine / boat / electrical</x:v>
      </x:c>
      <x:c r="N151" s="47" t="str">
        <x:v>high</x:v>
      </x:c>
      <x:c r="O151" s="51" t="n">
        <x:v>4800</x:v>
      </x:c>
      <x:c r="P151" s="51" t="n">
        <x:v>0</x:v>
      </x:c>
      <x:c r="Q151" s="47" t="str">
        <x:v>safe start/stop/cooling/sea trial</x:v>
      </x:c>
      <x:c r="R151" s="47" t="str">
        <x:v>fire / seize / propulsion loss</x:v>
      </x:c>
      <x:c r="S151" s="47" t="str"/>
      <x:c r="T151" s="47" t="str"/>
      <x:c r="U151" s="47" t="str">
        <x:v>Governed node; variants not separated</x:v>
      </x:c>
      <x:c r="V151" s="49"/>
      <x:c r="W151" s="49"/>
    </x:row>
    <x:row r="152">
      <x:c r="A152" s="47" t="str">
        <x:v>A-DIVE</x:v>
      </x:c>
      <x:c r="B152" s="47" t="str">
        <x:v>Shore-dive station</x:v>
      </x:c>
      <x:c r="C152" s="47" t="str">
        <x:v>Maritime</x:v>
      </x:c>
      <x:c r="D152" s="47" t="str">
        <x:v>Assembly</x:v>
      </x:c>
      <x:c r="E152" s="47" t="str">
        <x:v>H5</x:v>
      </x:c>
      <x:c r="F152" s="47" t="str">
        <x:v>Deployable/carryable assembly</x:v>
      </x:c>
      <x:c r="G152" s="47" t="str">
        <x:v>Mixed</x:v>
      </x:c>
      <x:c r="H152" s="47" t="str">
        <x:v>Recover / repair / qualify</x:v>
      </x:c>
      <x:c r="I152" s="47" t="str">
        <x:v>A-BOAT-B3; P-ROPE; S-RUBBER; A-STRETCHER; A-LAMP</x:v>
      </x:c>
      <x:c r="J152" s="47" t="str">
        <x:v>line / mark / protect / abort / recover</x:v>
      </x:c>
      <x:c r="K152" s="47" t="str">
        <x:v>T-STONE-KNIFE</x:v>
      </x:c>
      <x:c r="L152" s="47" t="str">
        <x:v>shore</x:v>
      </x:c>
      <x:c r="M152" s="47" t="str">
        <x:v>diving / medicine / rigging</x:v>
      </x:c>
      <x:c r="N152" s="47" t="str">
        <x:v>high</x:v>
      </x:c>
      <x:c r="O152" s="51" t="n">
        <x:v>1200</x:v>
      </x:c>
      <x:c r="P152" s="51" t="n">
        <x:v>0</x:v>
      </x:c>
      <x:c r="Q152" s="47" t="str">
        <x:v>lost-line/entangle/reboard drill</x:v>
      </x:c>
      <x:c r="R152" s="47" t="str">
        <x:v>drowning / contamination</x:v>
      </x:c>
      <x:c r="S152" s="47" t="str"/>
      <x:c r="T152" s="47" t="str"/>
      <x:c r="U152" s="47" t="str">
        <x:v>Compressed family/assembly</x:v>
      </x:c>
      <x:c r="V152" s="49"/>
      <x:c r="W152" s="49"/>
    </x:row>
    <x:row r="153">
      <x:c r="A153" s="47" t="str">
        <x:v>A-SUB-LIFT</x:v>
      </x:c>
      <x:c r="B153" s="47" t="str">
        <x:v>Submerged lift system</x:v>
      </x:c>
      <x:c r="C153" s="47" t="str">
        <x:v>Maritime</x:v>
      </x:c>
      <x:c r="D153" s="47" t="str">
        <x:v>Assembly</x:v>
      </x:c>
      <x:c r="E153" s="47" t="str">
        <x:v>H5</x:v>
      </x:c>
      <x:c r="F153" s="47" t="str">
        <x:v>Deployable/carryable assembly</x:v>
      </x:c>
      <x:c r="G153" s="47" t="str">
        <x:v>Mixed</x:v>
      </x:c>
      <x:c r="H153" s="47" t="str">
        <x:v>Recover / repair / qualify</x:v>
      </x:c>
      <x:c r="I153" s="47" t="str">
        <x:v>A-DIVE; A-PULLEY; S-POLYMER; P-ROPE</x:v>
      </x:c>
      <x:c r="J153" s="47" t="str">
        <x:v>attach / inflate/float / control / recover</x:v>
      </x:c>
      <x:c r="K153" s="47" t="str">
        <x:v>T-MEASURE</x:v>
      </x:c>
      <x:c r="L153" s="47" t="str">
        <x:v>shore</x:v>
      </x:c>
      <x:c r="M153" s="47" t="str">
        <x:v>diving / rigging</x:v>
      </x:c>
      <x:c r="N153" s="47" t="str">
        <x:v>high</x:v>
      </x:c>
      <x:c r="O153" s="51" t="n">
        <x:v>900</x:v>
      </x:c>
      <x:c r="P153" s="51" t="n">
        <x:v>0</x:v>
      </x:c>
      <x:c r="Q153" s="47" t="str">
        <x:v>test load/controlled ascent</x:v>
      </x:c>
      <x:c r="R153" s="47" t="str">
        <x:v>runaway / rupture</x:v>
      </x:c>
      <x:c r="S153" s="47" t="str"/>
      <x:c r="T153" s="47" t="str"/>
      <x:c r="U153" s="47" t="str">
        <x:v>Compressed family/assembly</x:v>
      </x:c>
      <x:c r="V153" s="49"/>
      <x:c r="W153" s="49"/>
    </x:row>
    <x:row r="154">
      <x:c r="A154" s="47" t="str">
        <x:v>A-GENERATOR</x:v>
      </x:c>
      <x:c r="B154" s="47" t="str">
        <x:v>Small generator adaptation</x:v>
      </x:c>
      <x:c r="C154" s="47" t="str">
        <x:v>Power</x:v>
      </x:c>
      <x:c r="D154" s="47" t="str">
        <x:v>Assembly</x:v>
      </x:c>
      <x:c r="E154" s="47" t="str">
        <x:v>H5</x:v>
      </x:c>
      <x:c r="F154" s="47" t="str">
        <x:v>Placeable/deployable assembly</x:v>
      </x:c>
      <x:c r="G154" s="47" t="str">
        <x:v>No</x:v>
      </x:c>
      <x:c r="H154" s="47" t="str">
        <x:v>Make / assemble / qualify</x:v>
      </x:c>
      <x:c r="I154" s="47" t="str">
        <x:v>S-BEARING; S-WIRE; P-CONDUCTOR; T-METER</x:v>
      </x:c>
      <x:c r="J154" s="47" t="str">
        <x:v>mount / drive / rectify / protect / test</x:v>
      </x:c>
      <x:c r="K154" s="47" t="str">
        <x:v>T-METER</x:v>
      </x:c>
      <x:c r="L154" s="47" t="str">
        <x:v>W-ELECTRICAL</x:v>
      </x:c>
      <x:c r="M154" s="47" t="str">
        <x:v>mechanics / electrical</x:v>
      </x:c>
      <x:c r="N154" s="47" t="str">
        <x:v>moderate</x:v>
      </x:c>
      <x:c r="O154" s="51" t="n">
        <x:v>1200</x:v>
      </x:c>
      <x:c r="P154" s="51" t="n">
        <x:v>0</x:v>
      </x:c>
      <x:c r="Q154" s="47" t="str">
        <x:v>output/load/heat</x:v>
      </x:c>
      <x:c r="R154" s="47" t="str">
        <x:v>short / overspeed</x:v>
      </x:c>
      <x:c r="S154" s="47" t="str"/>
      <x:c r="T154" s="47" t="str">
        <x:v>Steam/electric supporting chain</x:v>
      </x:c>
      <x:c r="U154" s="47" t="str">
        <x:v>Governed node; variants not separated</x:v>
      </x:c>
      <x:c r="V154" s="49"/>
      <x:c r="W154" s="49"/>
    </x:row>
    <x:row r="155">
      <x:c r="A155" s="47" t="str">
        <x:v>A-BANK</x:v>
      </x:c>
      <x:c r="B155" s="47" t="str">
        <x:v>Protected battery bank</x:v>
      </x:c>
      <x:c r="C155" s="47" t="str">
        <x:v>Power</x:v>
      </x:c>
      <x:c r="D155" s="47" t="str">
        <x:v>Assembly</x:v>
      </x:c>
      <x:c r="E155" s="47" t="str">
        <x:v>H5</x:v>
      </x:c>
      <x:c r="F155" s="47" t="str">
        <x:v>Placeable/deployable assembly</x:v>
      </x:c>
      <x:c r="G155" s="47" t="str">
        <x:v>No</x:v>
      </x:c>
      <x:c r="H155" s="47" t="str">
        <x:v>Make / assemble / qualify</x:v>
      </x:c>
      <x:c r="I155" s="47" t="str">
        <x:v>S-BATTERY; P-CONDUCTOR; S-WIRE; T-METER</x:v>
      </x:c>
      <x:c r="J155" s="47" t="str">
        <x:v>inspect / match / fuse / vent / test</x:v>
      </x:c>
      <x:c r="K155" s="47" t="str">
        <x:v>T-METER</x:v>
      </x:c>
      <x:c r="L155" s="47" t="str">
        <x:v>W-ELECTRICAL</x:v>
      </x:c>
      <x:c r="M155" s="47" t="str">
        <x:v>electrical</x:v>
      </x:c>
      <x:c r="N155" s="47" t="str">
        <x:v>dexterity</x:v>
      </x:c>
      <x:c r="O155" s="51" t="n">
        <x:v>900</x:v>
      </x:c>
      <x:c r="P155" s="51" t="n">
        <x:v>0</x:v>
      </x:c>
      <x:c r="Q155" s="47" t="str">
        <x:v>capacity/fault/thermal</x:v>
      </x:c>
      <x:c r="R155" s="47" t="str">
        <x:v>fire / mismatch</x:v>
      </x:c>
      <x:c r="S155" s="47" t="str"/>
      <x:c r="T155" s="47" t="str">
        <x:v>Steam/electric supporting chain</x:v>
      </x:c>
      <x:c r="U155" s="47" t="str">
        <x:v>Governed node; variants not separated</x:v>
      </x:c>
      <x:c r="V155" s="49"/>
      <x:c r="W155" s="49"/>
    </x:row>
    <x:row r="156">
      <x:c r="A156" s="47" t="str">
        <x:v>A-GRID</x:v>
      </x:c>
      <x:c r="B156" s="47" t="str">
        <x:v>Camp microgrid</x:v>
      </x:c>
      <x:c r="C156" s="47" t="str">
        <x:v>Power</x:v>
      </x:c>
      <x:c r="D156" s="47" t="str">
        <x:v>Endpoint</x:v>
      </x:c>
      <x:c r="E156" s="47" t="str">
        <x:v>H5</x:v>
      </x:c>
      <x:c r="F156" s="47" t="str">
        <x:v>Placeable system/capability</x:v>
      </x:c>
      <x:c r="G156" s="47" t="str">
        <x:v>No</x:v>
      </x:c>
      <x:c r="H156" s="47" t="str">
        <x:v>Make / assemble / qualify</x:v>
      </x:c>
      <x:c r="I156" s="47" t="str">
        <x:v>A-GENERATOR; A-BANK; P-CONDUCTOR; A-LAMP</x:v>
      </x:c>
      <x:c r="J156" s="47" t="str">
        <x:v>route / protect / isolate / load test</x:v>
      </x:c>
      <x:c r="K156" s="47" t="str">
        <x:v>T-METER</x:v>
      </x:c>
      <x:c r="L156" s="47" t="str">
        <x:v>working home</x:v>
      </x:c>
      <x:c r="M156" s="47" t="str">
        <x:v>electrical / governance</x:v>
      </x:c>
      <x:c r="N156" s="47" t="str">
        <x:v>moderate</x:v>
      </x:c>
      <x:c r="O156" s="51" t="n">
        <x:v>1800</x:v>
      </x:c>
      <x:c r="P156" s="51" t="n">
        <x:v>0</x:v>
      </x:c>
      <x:c r="Q156" s="47" t="str">
        <x:v>fault/load/wet weather</x:v>
      </x:c>
      <x:c r="R156" s="47" t="str">
        <x:v>fire / sabotage</x:v>
      </x:c>
      <x:c r="S156" s="47" t="str"/>
      <x:c r="T156" s="47" t="str">
        <x:v>Steam/electric supporting chain</x:v>
      </x:c>
      <x:c r="U156" s="47" t="str">
        <x:v>Governed node; variants not separated</x:v>
      </x:c>
      <x:c r="V156" s="49"/>
      <x:c r="W156" s="49"/>
    </x:row>
    <x:row r="157">
      <x:c r="A157" s="47" t="str">
        <x:v>A-RECEIVER</x:v>
      </x:c>
      <x:c r="B157" s="47" t="str">
        <x:v>Radio listening post</x:v>
      </x:c>
      <x:c r="C157" s="47" t="str">
        <x:v>Signal</x:v>
      </x:c>
      <x:c r="D157" s="47" t="str">
        <x:v>Assembly</x:v>
      </x:c>
      <x:c r="E157" s="47" t="str">
        <x:v>H4</x:v>
      </x:c>
      <x:c r="F157" s="47" t="str">
        <x:v>Placeable/deployable assembly</x:v>
      </x:c>
      <x:c r="G157" s="47" t="str">
        <x:v>No</x:v>
      </x:c>
      <x:c r="H157" s="47" t="str">
        <x:v>Make / assemble / qualify</x:v>
      </x:c>
      <x:c r="I157" s="47" t="str">
        <x:v>S-RADIO; S-BATTERY; S-WIRE; A-ROOF</x:v>
      </x:c>
      <x:c r="J157" s="47" t="str">
        <x:v>dry / power / tune / log</x:v>
      </x:c>
      <x:c r="K157" s="47" t="str">
        <x:v>T-METER</x:v>
      </x:c>
      <x:c r="L157" s="47" t="str">
        <x:v>working home</x:v>
      </x:c>
      <x:c r="M157" s="47" t="str">
        <x:v>radio / observation</x:v>
      </x:c>
      <x:c r="N157" s="47" t="str">
        <x:v>low</x:v>
      </x:c>
      <x:c r="O157" s="51" t="n">
        <x:v>240</x:v>
      </x:c>
      <x:c r="P157" s="51" t="n">
        <x:v>0</x:v>
      </x:c>
      <x:c r="Q157" s="47" t="str">
        <x:v>repeatable reception</x:v>
      </x:c>
      <x:c r="R157" s="47" t="str">
        <x:v>drift / corrosion</x:v>
      </x:c>
      <x:c r="S157" s="47" t="str"/>
      <x:c r="T157" s="47" t="str"/>
      <x:c r="U157" s="47" t="str">
        <x:v>Governed node; variants not separated</x:v>
      </x:c>
      <x:c r="V157" s="49"/>
      <x:c r="W157" s="49"/>
    </x:row>
    <x:row r="158">
      <x:c r="A158" s="47" t="str">
        <x:v>A-ANTENNA</x:v>
      </x:c>
      <x:c r="B158" s="47" t="str">
        <x:v>Directional antenna</x:v>
      </x:c>
      <x:c r="C158" s="47" t="str">
        <x:v>Signal</x:v>
      </x:c>
      <x:c r="D158" s="47" t="str">
        <x:v>Assembly</x:v>
      </x:c>
      <x:c r="E158" s="47" t="str">
        <x:v>H5</x:v>
      </x:c>
      <x:c r="F158" s="47" t="str">
        <x:v>Placeable/deployable assembly</x:v>
      </x:c>
      <x:c r="G158" s="47" t="str">
        <x:v>No</x:v>
      </x:c>
      <x:c r="H158" s="47" t="str">
        <x:v>Make / assemble / qualify</x:v>
      </x:c>
      <x:c r="I158" s="47" t="str">
        <x:v>P-CONDUCTOR; P-STRAIGHT-POLE; S-GLASS; T-MEASURE</x:v>
      </x:c>
      <x:c r="J158" s="47" t="str">
        <x:v>layout / insulate / raise / compare</x:v>
      </x:c>
      <x:c r="K158" s="47" t="str">
        <x:v>T-MEASURE</x:v>
      </x:c>
      <x:c r="L158" s="47" t="str">
        <x:v>signal site</x:v>
      </x:c>
      <x:c r="M158" s="47" t="str">
        <x:v>radio / navigation</x:v>
      </x:c>
      <x:c r="N158" s="47" t="str">
        <x:v>high</x:v>
      </x:c>
      <x:c r="O158" s="51" t="n">
        <x:v>600</x:v>
      </x:c>
      <x:c r="P158" s="51" t="n">
        <x:v>0</x:v>
      </x:c>
      <x:c r="Q158" s="47" t="str">
        <x:v>bearing/gain comparison</x:v>
      </x:c>
      <x:c r="R158" s="47" t="str">
        <x:v>collapse / mismatch</x:v>
      </x:c>
      <x:c r="S158" s="47" t="str"/>
      <x:c r="T158" s="47" t="str"/>
      <x:c r="U158" s="47" t="str">
        <x:v>Governed node; variants not separated</x:v>
      </x:c>
      <x:c r="V158" s="49"/>
      <x:c r="W158" s="49"/>
    </x:row>
    <x:row r="159">
      <x:c r="A159" s="47" t="str">
        <x:v>A-TRANSMITTER</x:v>
      </x:c>
      <x:c r="B159" s="47" t="str">
        <x:v>Authenticated transmitter</x:v>
      </x:c>
      <x:c r="C159" s="47" t="str">
        <x:v>Signal</x:v>
      </x:c>
      <x:c r="D159" s="47" t="str">
        <x:v>Endpoint</x:v>
      </x:c>
      <x:c r="E159" s="47" t="str">
        <x:v>H6</x:v>
      </x:c>
      <x:c r="F159" s="47" t="str">
        <x:v>Placeable system/capability</x:v>
      </x:c>
      <x:c r="G159" s="47" t="str">
        <x:v>No</x:v>
      </x:c>
      <x:c r="H159" s="47" t="str">
        <x:v>Recover / repair / qualify</x:v>
      </x:c>
      <x:c r="I159" s="47" t="str">
        <x:v>A-RECEIVER; A-ANTENNA; A-GRID; W-ARCHIVE</x:v>
      </x:c>
      <x:c r="J159" s="47" t="str">
        <x:v>repair / match / schedule / authenticate / test</x:v>
      </x:c>
      <x:c r="K159" s="47" t="str">
        <x:v>T-METER</x:v>
      </x:c>
      <x:c r="L159" s="47" t="str">
        <x:v>signal site</x:v>
      </x:c>
      <x:c r="M159" s="47" t="str">
        <x:v>radio / evidence</x:v>
      </x:c>
      <x:c r="N159" s="47" t="str">
        <x:v>high</x:v>
      </x:c>
      <x:c r="O159" s="51" t="n">
        <x:v>2400</x:v>
      </x:c>
      <x:c r="P159" s="51" t="n">
        <x:v>0</x:v>
      </x:c>
      <x:c r="Q159" s="47" t="str">
        <x:v>acknowledged contact</x:v>
      </x:c>
      <x:c r="R159" s="47" t="str">
        <x:v>overheat / false claim</x:v>
      </x:c>
      <x:c r="S159" s="47" t="str"/>
      <x:c r="T159" s="47" t="str"/>
      <x:c r="U159" s="47" t="str">
        <x:v>Governed node; variants not separated</x:v>
      </x:c>
      <x:c r="V159" s="49"/>
      <x:c r="W159" s="49"/>
    </x:row>
    <x:row r="160">
      <x:c r="A160" s="47" t="str">
        <x:v>A-BEACON</x:v>
      </x:c>
      <x:c r="B160" s="47" t="str">
        <x:v>Borrowed Signal rescue beacon</x:v>
      </x:c>
      <x:c r="C160" s="47" t="str">
        <x:v>Return</x:v>
      </x:c>
      <x:c r="D160" s="47" t="str">
        <x:v>Endpoint</x:v>
      </x:c>
      <x:c r="E160" s="47" t="str">
        <x:v>H7</x:v>
      </x:c>
      <x:c r="F160" s="47" t="str">
        <x:v>Major end capability</x:v>
      </x:c>
      <x:c r="G160" s="47" t="str">
        <x:v>No</x:v>
      </x:c>
      <x:c r="H160" s="47" t="str">
        <x:v>Recover / repair / qualify</x:v>
      </x:c>
      <x:c r="I160" s="47" t="str">
        <x:v>A-TRANSMITTER; A-BOAT-B3; W-ARCHIVE; A-LAMP</x:v>
      </x:c>
      <x:c r="J160" s="47" t="str">
        <x:v>deploy / power / transmit / verify / recover</x:v>
      </x:c>
      <x:c r="K160" s="47" t="str">
        <x:v>T-METER</x:v>
      </x:c>
      <x:c r="L160" s="47" t="str">
        <x:v>expedition site</x:v>
      </x:c>
      <x:c r="M160" s="47" t="str">
        <x:v>radio / navigation / story</x:v>
      </x:c>
      <x:c r="N160" s="47" t="str">
        <x:v>high</x:v>
      </x:c>
      <x:c r="O160" s="51" t="n">
        <x:v>1800</x:v>
      </x:c>
      <x:c r="P160" s="51" t="n">
        <x:v>0</x:v>
      </x:c>
      <x:c r="Q160" s="47" t="str">
        <x:v>detection/acknowledgment/rendezvous</x:v>
      </x:c>
      <x:c r="R160" s="47" t="str">
        <x:v>missed window / power</x:v>
      </x:c>
      <x:c r="S160" s="47" t="str"/>
      <x:c r="T160" s="47" t="str"/>
      <x:c r="U160" s="47" t="str">
        <x:v>Governed node; variants not separated</x:v>
      </x:c>
      <x:c r="V160" s="49"/>
      <x:c r="W160" s="49"/>
    </x:row>
    <x:row r="161">
      <x:c r="A161" s="47" t="str">
        <x:v>A-RETURN-CRAFT</x:v>
      </x:c>
      <x:c r="B161" s="47" t="str">
        <x:v>Direct-return vessel</x:v>
      </x:c>
      <x:c r="C161" s="47" t="str">
        <x:v>Return</x:v>
      </x:c>
      <x:c r="D161" s="47" t="str">
        <x:v>Endpoint</x:v>
      </x:c>
      <x:c r="E161" s="47" t="str">
        <x:v>H7</x:v>
      </x:c>
      <x:c r="F161" s="47" t="str">
        <x:v>Major end capability</x:v>
      </x:c>
      <x:c r="G161" s="47" t="str">
        <x:v>No</x:v>
      </x:c>
      <x:c r="H161" s="47" t="str">
        <x:v>Recover / repair / qualify</x:v>
      </x:c>
      <x:c r="I161" s="47" t="str">
        <x:v>A-BOAT-SAIL; A-BOAT-POWER; A-FOOD-STORE; A-CISTERN; W-ARCHIVE</x:v>
      </x:c>
      <x:c r="J161" s="47" t="str">
        <x:v>provision / trial / navigate / repair / cross</x:v>
      </x:c>
      <x:c r="K161" s="47" t="str"/>
      <x:c r="L161" s="47" t="str">
        <x:v>W-BOATYARD</x:v>
      </x:c>
      <x:c r="M161" s="47" t="str">
        <x:v>maritime / navigation / logistics</x:v>
      </x:c>
      <x:c r="N161" s="47" t="str">
        <x:v>very high</x:v>
      </x:c>
      <x:c r="O161" s="51" t="n">
        <x:v>6000</x:v>
      </x:c>
      <x:c r="P161" s="51" t="n">
        <x:v>0</x:v>
      </x:c>
      <x:c r="Q161" s="47" t="str">
        <x:v>range/sea-state/fallback</x:v>
      </x:c>
      <x:c r="R161" s="47" t="str">
        <x:v>loss at sea</x:v>
      </x:c>
      <x:c r="S161" s="47" t="str"/>
      <x:c r="T161" s="47" t="str"/>
      <x:c r="U161" s="47" t="str">
        <x:v>Governed node; variants not separated</x:v>
      </x:c>
      <x:c r="V161" s="49"/>
      <x:c r="W161" s="49"/>
    </x:row>
    <x:row r="162">
      <x:c r="A162" s="47" t="str">
        <x:v>A-ARRIVAL</x:v>
      </x:c>
      <x:c r="B162" s="47" t="str">
        <x:v>Arrival Station</x:v>
      </x:c>
      <x:c r="C162" s="47" t="str">
        <x:v>Legacy</x:v>
      </x:c>
      <x:c r="D162" s="47" t="str">
        <x:v>Endpoint</x:v>
      </x:c>
      <x:c r="E162" s="47" t="str">
        <x:v>H6</x:v>
      </x:c>
      <x:c r="F162" s="47" t="str">
        <x:v>Major end capability</x:v>
      </x:c>
      <x:c r="G162" s="47" t="str">
        <x:v>No</x:v>
      </x:c>
      <x:c r="H162" s="47" t="str">
        <x:v>Make / assemble / qualify</x:v>
      </x:c>
      <x:c r="I162" s="47" t="str">
        <x:v>A-REFUGE; C-COVERED-STORE; A-FOOD-STORE; W-CLEAN; W-ARCHIVE</x:v>
      </x:c>
      <x:c r="J162" s="47" t="str">
        <x:v>stock / label / maintain / test</x:v>
      </x:c>
      <x:c r="K162" s="47" t="str"/>
      <x:c r="L162" s="47" t="str">
        <x:v>legacy home</x:v>
      </x:c>
      <x:c r="M162" s="47" t="str">
        <x:v>care / logistics / archive</x:v>
      </x:c>
      <x:c r="N162" s="47" t="str">
        <x:v>moderate</x:v>
      </x:c>
      <x:c r="O162" s="51" t="n">
        <x:v>1200</x:v>
      </x:c>
      <x:c r="P162" s="51" t="n">
        <x:v>0</x:v>
      </x:c>
      <x:c r="Q162" s="47" t="str">
        <x:v>new-castaway stabilization drill</x:v>
      </x:c>
      <x:c r="R162" s="47" t="str">
        <x:v>stale / inaccessible</x:v>
      </x:c>
      <x:c r="S162" s="47" t="str"/>
      <x:c r="T162" s="47" t="str"/>
      <x:c r="U162" s="47" t="str">
        <x:v>Compressed family/assembly</x:v>
      </x:c>
      <x:c r="V162" s="49"/>
      <x:c r="W162" s="49"/>
    </x:row>
    <x:row r="163">
      <x:c r="A163" s="47" t="str">
        <x:v>A-TRIANGLE</x:v>
      </x:c>
      <x:c r="B163" s="47" t="str">
        <x:v>Triangle investigation apparatus</x:v>
      </x:c>
      <x:c r="C163" s="47" t="str">
        <x:v>Anomaly</x:v>
      </x:c>
      <x:c r="D163" s="47" t="str">
        <x:v>Endpoint</x:v>
      </x:c>
      <x:c r="E163" s="47" t="str">
        <x:v>H7</x:v>
      </x:c>
      <x:c r="F163" s="47" t="str">
        <x:v>Major end capability</x:v>
      </x:c>
      <x:c r="G163" s="47" t="str">
        <x:v>No</x:v>
      </x:c>
      <x:c r="H163" s="47" t="str">
        <x:v>Make / assemble / qualify</x:v>
      </x:c>
      <x:c r="I163" s="47" t="str">
        <x:v>S-ANOMALY; A-GRID; A-TRANSMITTER; W-ARCHIVE</x:v>
      </x:c>
      <x:c r="J163" s="47" t="str">
        <x:v>compare / shield / remote test / record</x:v>
      </x:c>
      <x:c r="K163" s="47" t="str">
        <x:v>T-METER</x:v>
      </x:c>
      <x:c r="L163" s="47" t="str">
        <x:v>isolated test site</x:v>
      </x:c>
      <x:c r="M163" s="47" t="str">
        <x:v>normal systems + anomaly</x:v>
      </x:c>
      <x:c r="N163" s="47" t="str">
        <x:v>high</x:v>
      </x:c>
      <x:c r="O163" s="51" t="n">
        <x:v>3600</x:v>
      </x:c>
      <x:c r="P163" s="51" t="n">
        <x:v>0</x:v>
      </x:c>
      <x:c r="Q163" s="47" t="str">
        <x:v>reversible truth-ledger test</x:v>
      </x:c>
      <x:c r="R163" s="47" t="str">
        <x:v>instability / false model</x:v>
      </x:c>
      <x:c r="S163" s="47" t="str"/>
      <x:c r="T163" s="47" t="str"/>
      <x:c r="U163" s="47" t="str">
        <x:v>Governed node; variants not separated</x:v>
      </x:c>
      <x:c r="V163" s="49"/>
      <x:c r="W163" s="49"/>
    </x:row>
    <x:row r="164">
      <x:c r="A164" s="47" t="str">
        <x:v>S-COIR</x:v>
      </x:c>
      <x:c r="B164" s="47" t="str">
        <x:v>Coir/coconut husk fiber</x:v>
      </x:c>
      <x:c r="C164" s="47" t="str">
        <x:v>Fiber</x:v>
      </x:c>
      <x:c r="D164" s="47" t="str">
        <x:v>Source</x:v>
      </x:c>
      <x:c r="E164" s="47" t="str">
        <x:v>H0</x:v>
      </x:c>
      <x:c r="F164" s="47" t="str">
        <x:v>Recoverable/harvested resource</x:v>
      </x:c>
      <x:c r="G164" s="47" t="str">
        <x:v>Usually</x:v>
      </x:c>
      <x:c r="H164" s="47" t="str">
        <x:v>Find / recover / harvest</x:v>
      </x:c>
      <x:c r="I164" s="47" t="str"/>
      <x:c r="J164" s="47" t="str">
        <x:v>identify / harvest / recover</x:v>
      </x:c>
      <x:c r="K164" s="47" t="str">
        <x:v>cutter</x:v>
      </x:c>
      <x:c r="L164" s="47" t="str">
        <x:v>world</x:v>
      </x:c>
      <x:c r="M164" s="47" t="str">
        <x:v>plant and fiber identification</x:v>
      </x:c>
      <x:c r="N164" s="47" t="str">
        <x:v>light–moderate</x:v>
      </x:c>
      <x:c r="O164" s="51" t="n">
        <x:v>10</x:v>
      </x:c>
      <x:c r="P164" s="51" t="n">
        <x:v>0</x:v>
      </x:c>
      <x:c r="Q164" s="47" t="str">
        <x:v>source and contamination evidence</x:v>
      </x:c>
      <x:c r="R164" s="47" t="str">
        <x:v>wrong source / contaminated</x:v>
      </x:c>
      <x:c r="S164" s="47" t="str"/>
      <x:c r="T164" s="47" t="str"/>
      <x:c r="U164" s="47" t="str">
        <x:v>Compressed family/assembly</x:v>
      </x:c>
      <x:c r="V164" s="49"/>
      <x:c r="W164" s="49"/>
    </x:row>
    <x:row r="165">
      <x:c r="A165" s="47" t="str">
        <x:v>S-LEAF-FIBER</x:v>
      </x:c>
      <x:c r="B165" s="47" t="str">
        <x:v>Leaf-fiber plant</x:v>
      </x:c>
      <x:c r="C165" s="47" t="str">
        <x:v>Fiber</x:v>
      </x:c>
      <x:c r="D165" s="47" t="str">
        <x:v>Source</x:v>
      </x:c>
      <x:c r="E165" s="47" t="str">
        <x:v>H0</x:v>
      </x:c>
      <x:c r="F165" s="47" t="str">
        <x:v>Recoverable/harvested resource</x:v>
      </x:c>
      <x:c r="G165" s="47" t="str">
        <x:v>Usually</x:v>
      </x:c>
      <x:c r="H165" s="47" t="str">
        <x:v>Find / recover / harvest</x:v>
      </x:c>
      <x:c r="I165" s="47" t="str"/>
      <x:c r="J165" s="47" t="str">
        <x:v>identify / harvest</x:v>
      </x:c>
      <x:c r="K165" s="47" t="str">
        <x:v>cutter</x:v>
      </x:c>
      <x:c r="L165" s="47" t="str">
        <x:v>world</x:v>
      </x:c>
      <x:c r="M165" s="47" t="str">
        <x:v>plant identification</x:v>
      </x:c>
      <x:c r="N165" s="47" t="str">
        <x:v>moderate</x:v>
      </x:c>
      <x:c r="O165" s="51" t="n">
        <x:v>20</x:v>
      </x:c>
      <x:c r="P165" s="51" t="n">
        <x:v>0</x:v>
      </x:c>
      <x:c r="Q165" s="47" t="str">
        <x:v>fiber extraction sample</x:v>
      </x:c>
      <x:c r="R165" s="47" t="str">
        <x:v>irritant / weak / overharvest</x:v>
      </x:c>
      <x:c r="S165" s="47" t="str"/>
      <x:c r="T165" s="47" t="str"/>
      <x:c r="U165" s="47" t="str">
        <x:v>Governed node; variants not separated</x:v>
      </x:c>
      <x:c r="V165" s="49"/>
      <x:c r="W165" s="49"/>
    </x:row>
    <x:row r="166">
      <x:c r="A166" s="47" t="str">
        <x:v>S-BAST-FIBER</x:v>
      </x:c>
      <x:c r="B166" s="47" t="str">
        <x:v>Bast/stem-fiber plant</x:v>
      </x:c>
      <x:c r="C166" s="47" t="str">
        <x:v>Fiber</x:v>
      </x:c>
      <x:c r="D166" s="47" t="str">
        <x:v>Source</x:v>
      </x:c>
      <x:c r="E166" s="47" t="str">
        <x:v>H1</x:v>
      </x:c>
      <x:c r="F166" s="47" t="str">
        <x:v>Recoverable/harvested resource</x:v>
      </x:c>
      <x:c r="G166" s="47" t="str">
        <x:v>Usually</x:v>
      </x:c>
      <x:c r="H166" s="47" t="str">
        <x:v>Find / recover / harvest</x:v>
      </x:c>
      <x:c r="I166" s="47" t="str"/>
      <x:c r="J166" s="47" t="str">
        <x:v>identify / strip / rett</x:v>
      </x:c>
      <x:c r="K166" s="47" t="str">
        <x:v>cutter / scraper</x:v>
      </x:c>
      <x:c r="L166" s="47" t="str">
        <x:v>water-separated processing</x:v>
      </x:c>
      <x:c r="M166" s="47" t="str">
        <x:v>plant + retting</x:v>
      </x:c>
      <x:c r="N166" s="47" t="str">
        <x:v>moderate</x:v>
      </x:c>
      <x:c r="O166" s="51" t="n">
        <x:v>30</x:v>
      </x:c>
      <x:c r="P166" s="51" t="n">
        <x:v>1440</x:v>
      </x:c>
      <x:c r="Q166" s="47" t="str">
        <x:v>long clean fiber sample</x:v>
      </x:c>
      <x:c r="R166" s="47" t="str">
        <x:v>rot / water pollution</x:v>
      </x:c>
      <x:c r="S166" s="47" t="str"/>
      <x:c r="T166" s="47" t="str"/>
      <x:c r="U166" s="47" t="str">
        <x:v>Compressed family/assembly</x:v>
      </x:c>
      <x:c r="V166" s="49"/>
      <x:c r="W166" s="49"/>
    </x:row>
    <x:row r="167">
      <x:c r="A167" s="47" t="str">
        <x:v>S-SALV-TEXTILE</x:v>
      </x:c>
      <x:c r="B167" s="47" t="str">
        <x:v>Salvaged textile/webbing</x:v>
      </x:c>
      <x:c r="C167" s="47" t="str">
        <x:v>Salvage</x:v>
      </x:c>
      <x:c r="D167" s="47" t="str">
        <x:v>Source</x:v>
      </x:c>
      <x:c r="E167" s="47" t="str">
        <x:v>H0</x:v>
      </x:c>
      <x:c r="F167" s="47" t="str">
        <x:v>Recoverable/harvested resource</x:v>
      </x:c>
      <x:c r="G167" s="47" t="str">
        <x:v>Usually</x:v>
      </x:c>
      <x:c r="H167" s="47" t="str">
        <x:v>Find / recover / harvest</x:v>
      </x:c>
      <x:c r="I167" s="47" t="str"/>
      <x:c r="J167" s="47" t="str">
        <x:v>recover / quarantine / clean</x:v>
      </x:c>
      <x:c r="K167" s="47" t="str">
        <x:v>cutter</x:v>
      </x:c>
      <x:c r="L167" s="47" t="str">
        <x:v>quarantine</x:v>
      </x:c>
      <x:c r="M167" s="47" t="str">
        <x:v>provenance and textile inspection</x:v>
      </x:c>
      <x:c r="N167" s="47" t="str">
        <x:v>variable</x:v>
      </x:c>
      <x:c r="O167" s="51" t="n">
        <x:v>15</x:v>
      </x:c>
      <x:c r="P167" s="51" t="n">
        <x:v>120</x:v>
      </x:c>
      <x:c r="Q167" s="47" t="str">
        <x:v>odor / mold / wet-load inspection</x:v>
      </x:c>
      <x:c r="R167" s="47" t="str">
        <x:v>fuel / mold / UV damage</x:v>
      </x:c>
      <x:c r="S167" s="47" t="str"/>
      <x:c r="T167" s="47" t="str"/>
      <x:c r="U167" s="47" t="str">
        <x:v>Compressed family/assembly</x:v>
      </x:c>
      <x:c r="V167" s="49"/>
      <x:c r="W167" s="49"/>
    </x:row>
    <x:row r="168">
      <x:c r="A168" s="47" t="str">
        <x:v>S-MIXED-SCRAP</x:v>
      </x:c>
      <x:c r="B168" s="47" t="str">
        <x:v>Mixed metal scrap</x:v>
      </x:c>
      <x:c r="C168" s="47" t="str">
        <x:v>Metal</x:v>
      </x:c>
      <x:c r="D168" s="47" t="str">
        <x:v>Source</x:v>
      </x:c>
      <x:c r="E168" s="47" t="str">
        <x:v>H1</x:v>
      </x:c>
      <x:c r="F168" s="47" t="str">
        <x:v>Recoverable/harvested resource</x:v>
      </x:c>
      <x:c r="G168" s="47" t="str">
        <x:v>Usually</x:v>
      </x:c>
      <x:c r="H168" s="47" t="str">
        <x:v>Find / recover / harvest</x:v>
      </x:c>
      <x:c r="I168" s="47" t="str"/>
      <x:c r="J168" s="47" t="str">
        <x:v>recover / isolate / sort</x:v>
      </x:c>
      <x:c r="K168" s="47" t="str">
        <x:v>magnet / file / cutter</x:v>
      </x:c>
      <x:c r="L168" s="47" t="str">
        <x:v>salvage yard</x:v>
      </x:c>
      <x:c r="M168" s="47" t="str">
        <x:v>metal and contamination reading</x:v>
      </x:c>
      <x:c r="N168" s="47" t="str">
        <x:v>variable</x:v>
      </x:c>
      <x:c r="O168" s="51" t="n">
        <x:v>20</x:v>
      </x:c>
      <x:c r="P168" s="51" t="n">
        <x:v>0</x:v>
      </x:c>
      <x:c r="Q168" s="47" t="str">
        <x:v>form / alloy evidence</x:v>
      </x:c>
      <x:c r="R168" s="47" t="str">
        <x:v>mixed alloy / coating / sharp</x:v>
      </x:c>
      <x:c r="S168" s="47" t="str"/>
      <x:c r="T168" s="47" t="str"/>
      <x:c r="U168" s="47" t="str">
        <x:v>Governed node; variants not separated</x:v>
      </x:c>
      <x:c r="V168" s="49"/>
      <x:c r="W168" s="49"/>
    </x:row>
    <x:row r="169">
      <x:c r="A169" s="47" t="str">
        <x:v>S-ORE</x:v>
      </x:c>
      <x:c r="B169" s="47" t="str">
        <x:v>Geological ore candidate</x:v>
      </x:c>
      <x:c r="C169" s="47" t="str">
        <x:v>Metal</x:v>
      </x:c>
      <x:c r="D169" s="47" t="str">
        <x:v>Source</x:v>
      </x:c>
      <x:c r="E169" s="47" t="str">
        <x:v>H3</x:v>
      </x:c>
      <x:c r="F169" s="47" t="str">
        <x:v>Recoverable/harvested resource</x:v>
      </x:c>
      <x:c r="G169" s="47" t="str">
        <x:v>Usually</x:v>
      </x:c>
      <x:c r="H169" s="47" t="str">
        <x:v>Find / recover / harvest</x:v>
      </x:c>
      <x:c r="I169" s="47" t="str"/>
      <x:c r="J169" s="47" t="str">
        <x:v>prospect / sample / excavate</x:v>
      </x:c>
      <x:c r="K169" s="47" t="str">
        <x:v>hammer / shovel</x:v>
      </x:c>
      <x:c r="L169" s="47" t="str">
        <x:v>deposit</x:v>
      </x:c>
      <x:c r="M169" s="47" t="str">
        <x:v>geology and ore recognition</x:v>
      </x:c>
      <x:c r="N169" s="47" t="str">
        <x:v>high</x:v>
      </x:c>
      <x:c r="O169" s="51" t="n">
        <x:v>60</x:v>
      </x:c>
      <x:c r="P169" s="51" t="n">
        <x:v>0</x:v>
      </x:c>
      <x:c r="Q169" s="47" t="str">
        <x:v>concentration and reduction sample</x:v>
      </x:c>
      <x:c r="R169" s="47" t="str">
        <x:v>waste rock / collapse / no deposit</x:v>
      </x:c>
      <x:c r="S169" s="47" t="str"/>
      <x:c r="T169" s="47" t="str"/>
      <x:c r="U169" s="47" t="str">
        <x:v>Governed node; variants not separated</x:v>
      </x:c>
      <x:c r="V169" s="49"/>
      <x:c r="W169" s="49"/>
    </x:row>
    <x:row r="170">
      <x:c r="A170" s="47" t="str">
        <x:v>S-FOG</x:v>
      </x:c>
      <x:c r="B170" s="47" t="str">
        <x:v>Harvestable fog event</x:v>
      </x:c>
      <x:c r="C170" s="47" t="str">
        <x:v>Water</x:v>
      </x:c>
      <x:c r="D170" s="47" t="str">
        <x:v>Source</x:v>
      </x:c>
      <x:c r="E170" s="47" t="str">
        <x:v>H2</x:v>
      </x:c>
      <x:c r="F170" s="47" t="str">
        <x:v>Environmental resource</x:v>
      </x:c>
      <x:c r="G170" s="47" t="str">
        <x:v>No</x:v>
      </x:c>
      <x:c r="H170" s="47" t="str">
        <x:v>Find / recover / harvest</x:v>
      </x:c>
      <x:c r="I170" s="47" t="str"/>
      <x:c r="J170" s="47" t="str">
        <x:v>observe / measure / capture</x:v>
      </x:c>
      <x:c r="K170" s="47" t="str">
        <x:v>mesh / gauge</x:v>
      </x:c>
      <x:c r="L170" s="47" t="str">
        <x:v>exposed ridge or coast</x:v>
      </x:c>
      <x:c r="M170" s="47" t="str">
        <x:v>weather and water hygiene</x:v>
      </x:c>
      <x:c r="N170" s="47" t="str">
        <x:v>light</x:v>
      </x:c>
      <x:c r="O170" s="51" t="n">
        <x:v>10</x:v>
      </x:c>
      <x:c r="P170" s="51" t="n">
        <x:v>240</x:v>
      </x:c>
      <x:c r="Q170" s="47" t="str">
        <x:v>repeatable clean yield</x:v>
      </x:c>
      <x:c r="R170" s="47" t="str">
        <x:v>insufficient fog / contamination</x:v>
      </x:c>
      <x:c r="S170" s="47" t="str"/>
      <x:c r="T170" s="47" t="str"/>
      <x:c r="U170" s="47" t="str">
        <x:v>Governed node; variants not separated</x:v>
      </x:c>
      <x:c r="V170" s="49"/>
      <x:c r="W170" s="49"/>
    </x:row>
    <x:row r="171">
      <x:c r="A171" s="47" t="str">
        <x:v>S-ANIMAL</x:v>
      </x:c>
      <x:c r="B171" s="47" t="str">
        <x:v>Manageable animal population</x:v>
      </x:c>
      <x:c r="C171" s="47" t="str">
        <x:v>Nature</x:v>
      </x:c>
      <x:c r="D171" s="47" t="str">
        <x:v>Source</x:v>
      </x:c>
      <x:c r="E171" s="47" t="str">
        <x:v>H2</x:v>
      </x:c>
      <x:c r="F171" s="47" t="str">
        <x:v>World ecology/population</x:v>
      </x:c>
      <x:c r="G171" s="47" t="str">
        <x:v>No</x:v>
      </x:c>
      <x:c r="H171" s="47" t="str">
        <x:v>Find / recover / harvest</x:v>
      </x:c>
      <x:c r="I171" s="47" t="str"/>
      <x:c r="J171" s="47" t="str">
        <x:v>observe / assess / capture</x:v>
      </x:c>
      <x:c r="K171" s="47" t="str">
        <x:v>enclosure / handling tools</x:v>
      </x:c>
      <x:c r="L171" s="47" t="str">
        <x:v>habitat/quarantine</x:v>
      </x:c>
      <x:c r="M171" s="47" t="str">
        <x:v>behavior / health / welfare</x:v>
      </x:c>
      <x:c r="N171" s="47" t="str">
        <x:v>variable</x:v>
      </x:c>
      <x:c r="O171" s="51" t="n">
        <x:v>30</x:v>
      </x:c>
      <x:c r="P171" s="51" t="n">
        <x:v>0</x:v>
      </x:c>
      <x:c r="Q171" s="47" t="str">
        <x:v>species and individual suitability</x:v>
      </x:c>
      <x:c r="R171" s="47" t="str">
        <x:v>injury / stress / ecological harm</x:v>
      </x:c>
      <x:c r="S171" s="47" t="str"/>
      <x:c r="T171" s="47" t="str"/>
      <x:c r="U171" s="47" t="str">
        <x:v>Governed node; variants not separated</x:v>
      </x:c>
      <x:c r="V171" s="49"/>
      <x:c r="W171" s="49"/>
    </x:row>
    <x:row r="172">
      <x:c r="A172" s="47" t="str">
        <x:v>S-FODDER</x:v>
      </x:c>
      <x:c r="B172" s="47" t="str">
        <x:v>Renewable fodder/feed base</x:v>
      </x:c>
      <x:c r="C172" s="47" t="str">
        <x:v>Nature</x:v>
      </x:c>
      <x:c r="D172" s="47" t="str">
        <x:v>Source</x:v>
      </x:c>
      <x:c r="E172" s="47" t="str">
        <x:v>H2</x:v>
      </x:c>
      <x:c r="F172" s="47" t="str">
        <x:v>World ecology/population</x:v>
      </x:c>
      <x:c r="G172" s="47" t="str">
        <x:v>No</x:v>
      </x:c>
      <x:c r="H172" s="47" t="str">
        <x:v>Find / recover / harvest</x:v>
      </x:c>
      <x:c r="I172" s="47" t="str"/>
      <x:c r="J172" s="47" t="str">
        <x:v>grow / harvest / store</x:v>
      </x:c>
      <x:c r="K172" s="47" t="str">
        <x:v>hoe / basket</x:v>
      </x:c>
      <x:c r="L172" s="47" t="str">
        <x:v>plot/store</x:v>
      </x:c>
      <x:c r="M172" s="47" t="str">
        <x:v>nutrition and cultivation</x:v>
      </x:c>
      <x:c r="N172" s="47" t="str">
        <x:v>moderate</x:v>
      </x:c>
      <x:c r="O172" s="51" t="n">
        <x:v>30</x:v>
      </x:c>
      <x:c r="P172" s="51" t="n">
        <x:v>1440</x:v>
      </x:c>
      <x:c r="Q172" s="47" t="str">
        <x:v>intake and health evidence</x:v>
      </x:c>
      <x:c r="R172" s="47" t="str">
        <x:v>deficiency / spoilage / competition</x:v>
      </x:c>
      <x:c r="S172" s="47" t="str"/>
      <x:c r="T172" s="47" t="str"/>
      <x:c r="U172" s="47" t="str">
        <x:v>Compressed family/assembly</x:v>
      </x:c>
      <x:c r="V172" s="49"/>
      <x:c r="W172" s="49"/>
    </x:row>
    <x:row r="173">
      <x:c r="A173" s="47" t="str">
        <x:v>P-GRADED-FIBER</x:v>
      </x:c>
      <x:c r="B173" s="47" t="str">
        <x:v>Clean graded fiber</x:v>
      </x:c>
      <x:c r="C173" s="47" t="str">
        <x:v>Fiber</x:v>
      </x:c>
      <x:c r="D173" s="47" t="str">
        <x:v>Process</x:v>
      </x:c>
      <x:c r="E173" s="47" t="str">
        <x:v>H1</x:v>
      </x:c>
      <x:c r="F173" s="47" t="str">
        <x:v>Process output (family)</x:v>
      </x:c>
      <x:c r="G173" s="47" t="str">
        <x:v>No</x:v>
      </x:c>
      <x:c r="H173" s="47" t="str">
        <x:v>Make / assemble / qualify</x:v>
      </x:c>
      <x:c r="I173" s="47" t="str">
        <x:v>S-COIR; S-LEAF-FIBER; S-BAST-FIBER; S-SALV-TEXTILE</x:v>
      </x:c>
      <x:c r="J173" s="47" t="str">
        <x:v>extract / wash / dry / grade</x:v>
      </x:c>
      <x:c r="K173" s="47" t="str">
        <x:v>cutter / comb</x:v>
      </x:c>
      <x:c r="L173" s="47" t="str">
        <x:v>drying rack</x:v>
      </x:c>
      <x:c r="M173" s="47" t="str">
        <x:v>fiber preparation</x:v>
      </x:c>
      <x:c r="N173" s="47" t="str">
        <x:v>moderate</x:v>
      </x:c>
      <x:c r="O173" s="51" t="n">
        <x:v>45</x:v>
      </x:c>
      <x:c r="P173" s="51" t="n">
        <x:v>240</x:v>
      </x:c>
      <x:c r="Q173" s="47" t="str">
        <x:v>length / cleanliness / wet response</x:v>
      </x:c>
      <x:c r="R173" s="47" t="str">
        <x:v>rot / contamination / short fiber</x:v>
      </x:c>
      <x:c r="S173" s="47" t="str"/>
      <x:c r="T173" s="47" t="str"/>
      <x:c r="U173" s="47" t="str">
        <x:v>Abstract; not a discrete item</x:v>
      </x:c>
      <x:c r="V173" s="49"/>
      <x:c r="W173" s="49"/>
    </x:row>
    <x:row r="174">
      <x:c r="A174" s="47" t="str">
        <x:v>T-SPINDLE</x:v>
      </x:c>
      <x:c r="B174" s="47" t="str">
        <x:v>Spindle/twisting tool</x:v>
      </x:c>
      <x:c r="C174" s="47" t="str">
        <x:v>Fiber</x:v>
      </x:c>
      <x:c r="D174" s="47" t="str">
        <x:v>Tool</x:v>
      </x:c>
      <x:c r="E174" s="47" t="str">
        <x:v>H1</x:v>
      </x:c>
      <x:c r="F174" s="47" t="str">
        <x:v>Carryable tool/equipment</x:v>
      </x:c>
      <x:c r="G174" s="47" t="str">
        <x:v>Yes</x:v>
      </x:c>
      <x:c r="H174" s="47" t="str">
        <x:v>Make / assemble / qualify</x:v>
      </x:c>
      <x:c r="I174" s="47" t="str">
        <x:v>P-STRAIGHT-POLE; P-PEG</x:v>
      </x:c>
      <x:c r="J174" s="47" t="str">
        <x:v>shape / balance / fit</x:v>
      </x:c>
      <x:c r="K174" s="47" t="str">
        <x:v>knife / measure</x:v>
      </x:c>
      <x:c r="L174" s="47" t="str">
        <x:v>work mat</x:v>
      </x:c>
      <x:c r="M174" s="47" t="str">
        <x:v>rotation and fiber control</x:v>
      </x:c>
      <x:c r="N174" s="47" t="str">
        <x:v>light</x:v>
      </x:c>
      <x:c r="O174" s="51" t="n">
        <x:v>30</x:v>
      </x:c>
      <x:c r="P174" s="51" t="n">
        <x:v>0</x:v>
      </x:c>
      <x:c r="Q174" s="47" t="str">
        <x:v>consistent twist</x:v>
      </x:c>
      <x:c r="R174" s="47" t="str">
        <x:v>wobble / break / snag</x:v>
      </x:c>
      <x:c r="S174" s="47" t="str"/>
      <x:c r="T174" s="47" t="str"/>
      <x:c r="U174" s="47" t="str">
        <x:v>Compressed family/assembly</x:v>
      </x:c>
      <x:c r="V174" s="49"/>
      <x:c r="W174" s="49"/>
    </x:row>
    <x:row r="175">
      <x:c r="A175" s="47" t="str">
        <x:v>P-YARN</x:v>
      </x:c>
      <x:c r="B175" s="47" t="str">
        <x:v>Consistent yarn/strand</x:v>
      </x:c>
      <x:c r="C175" s="47" t="str">
        <x:v>Fiber</x:v>
      </x:c>
      <x:c r="D175" s="47" t="str">
        <x:v>Process</x:v>
      </x:c>
      <x:c r="E175" s="47" t="str">
        <x:v>H1</x:v>
      </x:c>
      <x:c r="F175" s="47" t="str">
        <x:v>Process output (family)</x:v>
      </x:c>
      <x:c r="G175" s="47" t="str">
        <x:v>No</x:v>
      </x:c>
      <x:c r="H175" s="47" t="str">
        <x:v>Make / assemble / qualify</x:v>
      </x:c>
      <x:c r="I175" s="47" t="str">
        <x:v>P-GRADED-FIBER; T-SPINDLE</x:v>
      </x:c>
      <x:c r="J175" s="47" t="str">
        <x:v>spin / splice / ply</x:v>
      </x:c>
      <x:c r="K175" s="47" t="str">
        <x:v>spindle</x:v>
      </x:c>
      <x:c r="L175" s="47" t="str">
        <x:v>fiber station</x:v>
      </x:c>
      <x:c r="M175" s="47" t="str">
        <x:v>fiber consistency</x:v>
      </x:c>
      <x:c r="N175" s="47" t="str">
        <x:v>light</x:v>
      </x:c>
      <x:c r="O175" s="51" t="n">
        <x:v>60</x:v>
      </x:c>
      <x:c r="P175" s="51" t="n">
        <x:v>0</x:v>
      </x:c>
      <x:c r="Q175" s="47" t="str">
        <x:v>diameter and break comparison</x:v>
      </x:c>
      <x:c r="R175" s="47" t="str">
        <x:v>uneven / weak / overtwist</x:v>
      </x:c>
      <x:c r="S175" s="47" t="str"/>
      <x:c r="T175" s="47" t="str"/>
      <x:c r="U175" s="47" t="str">
        <x:v>Abstract; not a discrete item</x:v>
      </x:c>
      <x:c r="V175" s="49"/>
      <x:c r="W175" s="49"/>
    </x:row>
    <x:row r="176">
      <x:c r="A176" s="47" t="str">
        <x:v>T-LOOM</x:v>
      </x:c>
      <x:c r="B176" s="47" t="str">
        <x:v>Frame loom/net gauge</x:v>
      </x:c>
      <x:c r="C176" s="47" t="str">
        <x:v>Fiber</x:v>
      </x:c>
      <x:c r="D176" s="47" t="str">
        <x:v>Tool</x:v>
      </x:c>
      <x:c r="E176" s="47" t="str">
        <x:v>H2</x:v>
      </x:c>
      <x:c r="F176" s="47" t="str">
        <x:v>Carryable tool/equipment</x:v>
      </x:c>
      <x:c r="G176" s="47" t="str">
        <x:v>Yes</x:v>
      </x:c>
      <x:c r="H176" s="47" t="str">
        <x:v>Make / assemble / qualify</x:v>
      </x:c>
      <x:c r="I176" s="47" t="str">
        <x:v>P-STRAIGHT-POLE; T-MEASURE</x:v>
      </x:c>
      <x:c r="J176" s="47" t="str">
        <x:v>lay out / join / tension</x:v>
      </x:c>
      <x:c r="K176" s="47" t="str">
        <x:v>knife / measure</x:v>
      </x:c>
      <x:c r="L176" s="47" t="str">
        <x:v>bench</x:v>
      </x:c>
      <x:c r="M176" s="47" t="str">
        <x:v>geometry and tension</x:v>
      </x:c>
      <x:c r="N176" s="47" t="str">
        <x:v>moderate</x:v>
      </x:c>
      <x:c r="O176" s="51" t="n">
        <x:v>120</x:v>
      </x:c>
      <x:c r="P176" s="51" t="n">
        <x:v>0</x:v>
      </x:c>
      <x:c r="Q176" s="47" t="str">
        <x:v>square stable frame</x:v>
      </x:c>
      <x:c r="R176" s="47" t="str">
        <x:v>rack / uneven tension</x:v>
      </x:c>
      <x:c r="S176" s="47" t="str"/>
      <x:c r="T176" s="47" t="str"/>
      <x:c r="U176" s="47" t="str">
        <x:v>Compressed family/assembly</x:v>
      </x:c>
      <x:c r="V176" s="49"/>
      <x:c r="W176" s="49"/>
    </x:row>
    <x:row r="177">
      <x:c r="A177" s="47" t="str">
        <x:v>P-CLOTH</x:v>
      </x:c>
      <x:c r="B177" s="47" t="str">
        <x:v>Woven textile panel</x:v>
      </x:c>
      <x:c r="C177" s="47" t="str">
        <x:v>Fiber</x:v>
      </x:c>
      <x:c r="D177" s="47" t="str">
        <x:v>Process</x:v>
      </x:c>
      <x:c r="E177" s="47" t="str">
        <x:v>H2</x:v>
      </x:c>
      <x:c r="F177" s="47" t="str">
        <x:v>Process output (family)</x:v>
      </x:c>
      <x:c r="G177" s="47" t="str">
        <x:v>No</x:v>
      </x:c>
      <x:c r="H177" s="47" t="str">
        <x:v>Make / assemble / qualify</x:v>
      </x:c>
      <x:c r="I177" s="47" t="str">
        <x:v>P-YARN; T-LOOM</x:v>
      </x:c>
      <x:c r="J177" s="47" t="str">
        <x:v>warp / weave / finish</x:v>
      </x:c>
      <x:c r="K177" s="47" t="str">
        <x:v>loom / needle</x:v>
      </x:c>
      <x:c r="L177" s="47" t="str">
        <x:v>fiber cell</x:v>
      </x:c>
      <x:c r="M177" s="47" t="str">
        <x:v>weaving and finishing</x:v>
      </x:c>
      <x:c r="N177" s="47" t="str">
        <x:v>moderate</x:v>
      </x:c>
      <x:c r="O177" s="51" t="n">
        <x:v>240</x:v>
      </x:c>
      <x:c r="P177" s="51" t="n">
        <x:v>0</x:v>
      </x:c>
      <x:c r="Q177" s="47" t="str">
        <x:v>seam / abrasion / wet test</x:v>
      </x:c>
      <x:c r="R177" s="47" t="str">
        <x:v>distortion / weak edge</x:v>
      </x:c>
      <x:c r="S177" s="47" t="str"/>
      <x:c r="T177" s="47" t="str"/>
      <x:c r="U177" s="47" t="str">
        <x:v>Abstract; not a discrete item</x:v>
      </x:c>
      <x:c r="V177" s="49"/>
      <x:c r="W177" s="49"/>
    </x:row>
    <x:row r="178">
      <x:c r="A178" s="47" t="str">
        <x:v>A-FIBER-STATION</x:v>
      </x:c>
      <x:c r="B178" s="47" t="str">
        <x:v>Fiber preparation station</x:v>
      </x:c>
      <x:c r="C178" s="47" t="str">
        <x:v>Workshop</x:v>
      </x:c>
      <x:c r="D178" s="47" t="str">
        <x:v>Assembly</x:v>
      </x:c>
      <x:c r="E178" s="47" t="str">
        <x:v>H2</x:v>
      </x:c>
      <x:c r="F178" s="47" t="str">
        <x:v>Placeable/deployable assembly</x:v>
      </x:c>
      <x:c r="G178" s="47" t="str">
        <x:v>No</x:v>
      </x:c>
      <x:c r="H178" s="47" t="str">
        <x:v>Make / assemble / qualify</x:v>
      </x:c>
      <x:c r="I178" s="47" t="str">
        <x:v>W-BENCH; T-LOOM</x:v>
      </x:c>
      <x:c r="J178" s="47" t="str">
        <x:v>rack / comb / twist / gauge</x:v>
      </x:c>
      <x:c r="K178" s="47" t="str">
        <x:v>spindle / loom</x:v>
      </x:c>
      <x:c r="L178" s="47" t="str">
        <x:v>covered dry cell</x:v>
      </x:c>
      <x:c r="M178" s="47" t="str">
        <x:v>fiber workflow</x:v>
      </x:c>
      <x:c r="N178" s="47" t="str">
        <x:v>moderate</x:v>
      </x:c>
      <x:c r="O178" s="51" t="n">
        <x:v>180</x:v>
      </x:c>
      <x:c r="P178" s="51" t="n">
        <x:v>0</x:v>
      </x:c>
      <x:c r="Q178" s="47" t="str">
        <x:v>clean dry repeat work</x:v>
      </x:c>
      <x:c r="R178" s="47" t="str">
        <x:v>mold / contamination / poor ergonomics</x:v>
      </x:c>
      <x:c r="S178" s="47" t="str"/>
      <x:c r="T178" s="47" t="str"/>
      <x:c r="U178" s="47" t="str">
        <x:v>Compressed family/assembly</x:v>
      </x:c>
      <x:c r="V178" s="49"/>
      <x:c r="W178" s="49"/>
    </x:row>
    <x:row r="179">
      <x:c r="A179" s="47" t="str">
        <x:v>A-MEDICAL-TEXTILE</x:v>
      </x:c>
      <x:c r="B179" s="47" t="str">
        <x:v>Qualified clean medical textile</x:v>
      </x:c>
      <x:c r="C179" s="47" t="str">
        <x:v>Medicine</x:v>
      </x:c>
      <x:c r="D179" s="47" t="str">
        <x:v>Endpoint</x:v>
      </x:c>
      <x:c r="E179" s="47" t="str">
        <x:v>H2</x:v>
      </x:c>
      <x:c r="F179" s="47" t="str">
        <x:v>Placeable system/capability</x:v>
      </x:c>
      <x:c r="G179" s="47" t="str">
        <x:v>No</x:v>
      </x:c>
      <x:c r="H179" s="47" t="str">
        <x:v>Make / assemble / qualify</x:v>
      </x:c>
      <x:c r="I179" s="47" t="str">
        <x:v>P-CLOTH; W-CLEAN</x:v>
      </x:c>
      <x:c r="J179" s="47" t="str">
        <x:v>clean / boil where suitable / dry / store</x:v>
      </x:c>
      <x:c r="K179" s="47" t="str">
        <x:v>needle / vessel</x:v>
      </x:c>
      <x:c r="L179" s="47" t="str">
        <x:v>clean surface</x:v>
      </x:c>
      <x:c r="M179" s="47" t="str">
        <x:v>hygiene and material suitability</x:v>
      </x:c>
      <x:c r="N179" s="47" t="str">
        <x:v>light</x:v>
      </x:c>
      <x:c r="O179" s="51" t="n">
        <x:v>30</x:v>
      </x:c>
      <x:c r="P179" s="51" t="n">
        <x:v>120</x:v>
      </x:c>
      <x:c r="Q179" s="47" t="str">
        <x:v>clean dry protected lot</x:v>
      </x:c>
      <x:c r="R179" s="47" t="str">
        <x:v>lint / contamination / heat damage</x:v>
      </x:c>
      <x:c r="S179" s="47" t="str"/>
      <x:c r="T179" s="47" t="str"/>
      <x:c r="U179" s="47" t="str">
        <x:v>Governed node; variants not separated</x:v>
      </x:c>
      <x:c r="V179" s="49"/>
      <x:c r="W179" s="49"/>
    </x:row>
    <x:row r="180">
      <x:c r="A180" s="47" t="str">
        <x:v>A-NET</x:v>
      </x:c>
      <x:c r="B180" s="47" t="str">
        <x:v>Load-tested net/mesh</x:v>
      </x:c>
      <x:c r="C180" s="47" t="str">
        <x:v>Fiber</x:v>
      </x:c>
      <x:c r="D180" s="47" t="str">
        <x:v>Assembly</x:v>
      </x:c>
      <x:c r="E180" s="47" t="str">
        <x:v>H2</x:v>
      </x:c>
      <x:c r="F180" s="47" t="str">
        <x:v>Deployable/carryable assembly</x:v>
      </x:c>
      <x:c r="G180" s="47" t="str">
        <x:v>Mixed</x:v>
      </x:c>
      <x:c r="H180" s="47" t="str">
        <x:v>Recover / repair / qualify</x:v>
      </x:c>
      <x:c r="I180" s="47" t="str">
        <x:v>P-CORD; A-FIBER-STATION</x:v>
      </x:c>
      <x:c r="J180" s="47" t="str">
        <x:v>knot / gauge / edge / repair</x:v>
      </x:c>
      <x:c r="K180" s="47" t="str">
        <x:v>needle / gauge</x:v>
      </x:c>
      <x:c r="L180" s="47" t="str">
        <x:v>fiber station</x:v>
      </x:c>
      <x:c r="M180" s="47" t="str">
        <x:v>mesh geometry and load</x:v>
      </x:c>
      <x:c r="N180" s="47" t="str">
        <x:v>moderate</x:v>
      </x:c>
      <x:c r="O180" s="51" t="n">
        <x:v>180</x:v>
      </x:c>
      <x:c r="P180" s="51" t="n">
        <x:v>0</x:v>
      </x:c>
      <x:c r="Q180" s="47" t="str">
        <x:v>mesh / edge / wet-load test</x:v>
      </x:c>
      <x:c r="R180" s="47" t="str">
        <x:v>weak knot / ghost gear</x:v>
      </x:c>
      <x:c r="S180" s="47" t="str"/>
      <x:c r="T180" s="47" t="str"/>
      <x:c r="U180" s="47" t="str">
        <x:v>Compressed family/assembly</x:v>
      </x:c>
      <x:c r="V180" s="49"/>
      <x:c r="W180" s="49"/>
    </x:row>
    <x:row r="181">
      <x:c r="A181" s="47" t="str">
        <x:v>A-BOWSTRING</x:v>
      </x:c>
      <x:c r="B181" s="47" t="str">
        <x:v>Qualified bowstring</x:v>
      </x:c>
      <x:c r="C181" s="47" t="str">
        <x:v>Weapons</x:v>
      </x:c>
      <x:c r="D181" s="47" t="str">
        <x:v>Assembly</x:v>
      </x:c>
      <x:c r="E181" s="47" t="str">
        <x:v>H2</x:v>
      </x:c>
      <x:c r="F181" s="47" t="str">
        <x:v>Weapon component</x:v>
      </x:c>
      <x:c r="G181" s="47" t="str">
        <x:v>Yes</x:v>
      </x:c>
      <x:c r="H181" s="47" t="str">
        <x:v>Make / assemble / qualify</x:v>
      </x:c>
      <x:c r="I181" s="47" t="str">
        <x:v>P-GRADED-FIBER; T-SPINDLE</x:v>
      </x:c>
      <x:c r="J181" s="47" t="str">
        <x:v>spin / ply / loop / proof</x:v>
      </x:c>
      <x:c r="K181" s="47" t="str">
        <x:v>spindle</x:v>
      </x:c>
      <x:c r="L181" s="47" t="str">
        <x:v>dry fiber cell</x:v>
      </x:c>
      <x:c r="M181" s="47" t="str">
        <x:v>fiber and stored energy</x:v>
      </x:c>
      <x:c r="N181" s="47" t="str">
        <x:v>light</x:v>
      </x:c>
      <x:c r="O181" s="51" t="n">
        <x:v>60</x:v>
      </x:c>
      <x:c r="P181" s="51" t="n">
        <x:v>0</x:v>
      </x:c>
      <x:c r="Q181" s="47" t="str">
        <x:v>creep / break / abrasion test</x:v>
      </x:c>
      <x:c r="R181" s="47" t="str">
        <x:v>snap / limb damage</x:v>
      </x:c>
      <x:c r="S181" s="47" t="str">
        <x:v>Weapon component</x:v>
      </x:c>
      <x:c r="T181" s="47" t="str"/>
      <x:c r="U181" s="47" t="str">
        <x:v>Governed node; variants not separated</x:v>
      </x:c>
      <x:c r="V181" s="49"/>
      <x:c r="W181" s="49"/>
    </x:row>
    <x:row r="182">
      <x:c r="A182" s="47" t="str">
        <x:v>P-ALLOY-SORT</x:v>
      </x:c>
      <x:c r="B182" s="47" t="str">
        <x:v>Sorted qualified metal stock</x:v>
      </x:c>
      <x:c r="C182" s="47" t="str">
        <x:v>Metal</x:v>
      </x:c>
      <x:c r="D182" s="47" t="str">
        <x:v>Process</x:v>
      </x:c>
      <x:c r="E182" s="47" t="str">
        <x:v>H2</x:v>
      </x:c>
      <x:c r="F182" s="47" t="str">
        <x:v>Process output (family)</x:v>
      </x:c>
      <x:c r="G182" s="47" t="str">
        <x:v>No</x:v>
      </x:c>
      <x:c r="H182" s="47" t="str">
        <x:v>Make / assemble / qualify</x:v>
      </x:c>
      <x:c r="I182" s="47" t="str">
        <x:v>S-MIXED-SCRAP; T-FILE</x:v>
      </x:c>
      <x:c r="J182" s="47" t="str">
        <x:v>clean / identify / coupon test</x:v>
      </x:c>
      <x:c r="K182" s="47" t="str">
        <x:v>file / magnet / measure</x:v>
      </x:c>
      <x:c r="L182" s="47" t="str">
        <x:v>salvage yard</x:v>
      </x:c>
      <x:c r="M182" s="47" t="str">
        <x:v>alloy and contamination evidence</x:v>
      </x:c>
      <x:c r="N182" s="47" t="str">
        <x:v>moderate</x:v>
      </x:c>
      <x:c r="O182" s="51" t="n">
        <x:v>45</x:v>
      </x:c>
      <x:c r="P182" s="51" t="n">
        <x:v>0</x:v>
      </x:c>
      <x:c r="Q182" s="47" t="str">
        <x:v>separated labeled stock</x:v>
      </x:c>
      <x:c r="R182" s="47" t="str">
        <x:v>mixed alloy / lost form</x:v>
      </x:c>
      <x:c r="S182" s="47" t="str"/>
      <x:c r="T182" s="47" t="str"/>
      <x:c r="U182" s="47" t="str">
        <x:v>Abstract; not a discrete item</x:v>
      </x:c>
      <x:c r="V182" s="49"/>
      <x:c r="W182" s="49"/>
    </x:row>
    <x:row r="183">
      <x:c r="A183" s="47" t="str">
        <x:v>P-ORE-CONC</x:v>
      </x:c>
      <x:c r="B183" s="47" t="str">
        <x:v>Ore concentrate/test batch</x:v>
      </x:c>
      <x:c r="C183" s="47" t="str">
        <x:v>Metal</x:v>
      </x:c>
      <x:c r="D183" s="47" t="str">
        <x:v>Process</x:v>
      </x:c>
      <x:c r="E183" s="47" t="str">
        <x:v>H4</x:v>
      </x:c>
      <x:c r="F183" s="47" t="str">
        <x:v>Process output (family)</x:v>
      </x:c>
      <x:c r="G183" s="47" t="str">
        <x:v>No</x:v>
      </x:c>
      <x:c r="H183" s="47" t="str">
        <x:v>Make / assemble / qualify</x:v>
      </x:c>
      <x:c r="I183" s="47" t="str">
        <x:v>S-ORE; T-HAMMER</x:v>
      </x:c>
      <x:c r="J183" s="47" t="str">
        <x:v>crush / grade / concentrate</x:v>
      </x:c>
      <x:c r="K183" s="47" t="str">
        <x:v>hammer / sieve</x:v>
      </x:c>
      <x:c r="L183" s="47" t="str">
        <x:v>ore yard</x:v>
      </x:c>
      <x:c r="M183" s="47" t="str">
        <x:v>geology and beneficiation</x:v>
      </x:c>
      <x:c r="N183" s="47" t="str">
        <x:v>high</x:v>
      </x:c>
      <x:c r="O183" s="51" t="n">
        <x:v>180</x:v>
      </x:c>
      <x:c r="P183" s="51" t="n">
        <x:v>0</x:v>
      </x:c>
      <x:c r="Q183" s="47" t="str">
        <x:v>reduction sample</x:v>
      </x:c>
      <x:c r="R183" s="47" t="str">
        <x:v>waste rock / contamination</x:v>
      </x:c>
      <x:c r="S183" s="47" t="str"/>
      <x:c r="T183" s="47" t="str"/>
      <x:c r="U183" s="47" t="str">
        <x:v>Abstract; not a discrete item</x:v>
      </x:c>
      <x:c r="V183" s="49"/>
      <x:c r="W183" s="49"/>
    </x:row>
    <x:row r="184">
      <x:c r="A184" s="47" t="str">
        <x:v>P-BILLET</x:v>
      </x:c>
      <x:c r="B184" s="47" t="str">
        <x:v>Recycled metal billet</x:v>
      </x:c>
      <x:c r="C184" s="47" t="str">
        <x:v>Metal</x:v>
      </x:c>
      <x:c r="D184" s="47" t="str">
        <x:v>Endpoint</x:v>
      </x:c>
      <x:c r="E184" s="47" t="str">
        <x:v>H4</x:v>
      </x:c>
      <x:c r="F184" s="47" t="str">
        <x:v>Placeable system/capability</x:v>
      </x:c>
      <x:c r="G184" s="47" t="str">
        <x:v>No</x:v>
      </x:c>
      <x:c r="H184" s="47" t="str">
        <x:v>Make / assemble / qualify</x:v>
      </x:c>
      <x:c r="I184" s="47" t="str">
        <x:v>P-ALLOY-SORT; W-FORGE</x:v>
      </x:c>
      <x:c r="J184" s="47" t="str">
        <x:v>melt / cast / cool / inspect</x:v>
      </x:c>
      <x:c r="K184" s="47" t="str">
        <x:v>crucible / tongs</x:v>
      </x:c>
      <x:c r="L184" s="47" t="str">
        <x:v>forge/casting cell</x:v>
      </x:c>
      <x:c r="M184" s="47" t="str">
        <x:v>alloy / mold / thermal control</x:v>
      </x:c>
      <x:c r="N184" s="47" t="str">
        <x:v>high heat</x:v>
      </x:c>
      <x:c r="O184" s="51" t="n">
        <x:v>120</x:v>
      </x:c>
      <x:c r="P184" s="51" t="n">
        <x:v>120</x:v>
      </x:c>
      <x:c r="Q184" s="47" t="str">
        <x:v>sound coupon and work response</x:v>
      </x:c>
      <x:c r="R184" s="47" t="str">
        <x:v>porosity / brittle mix / burn</x:v>
      </x:c>
      <x:c r="S184" s="47" t="str"/>
      <x:c r="T184" s="47" t="str"/>
      <x:c r="U184" s="47" t="str">
        <x:v>Governed node; variants not separated</x:v>
      </x:c>
      <x:c r="V184" s="49"/>
      <x:c r="W184" s="49"/>
    </x:row>
    <x:row r="185">
      <x:c r="A185" s="47" t="str">
        <x:v>P-SMELTED-METAL</x:v>
      </x:c>
      <x:c r="B185" s="47" t="str">
        <x:v>Smelted ore metal/bloom</x:v>
      </x:c>
      <x:c r="C185" s="47" t="str">
        <x:v>Metal</x:v>
      </x:c>
      <x:c r="D185" s="47" t="str">
        <x:v>Endpoint</x:v>
      </x:c>
      <x:c r="E185" s="47" t="str">
        <x:v>H5</x:v>
      </x:c>
      <x:c r="F185" s="47" t="str">
        <x:v>Placeable system/capability</x:v>
      </x:c>
      <x:c r="G185" s="47" t="str">
        <x:v>No</x:v>
      </x:c>
      <x:c r="H185" s="47" t="str">
        <x:v>Make / assemble / qualify</x:v>
      </x:c>
      <x:c r="I185" s="47" t="str">
        <x:v>P-ORE-CONC; W-FORGE</x:v>
      </x:c>
      <x:c r="J185" s="47" t="str">
        <x:v>reduce / separate / consolidate</x:v>
      </x:c>
      <x:c r="K185" s="47" t="str">
        <x:v>forge tools</x:v>
      </x:c>
      <x:c r="L185" s="47" t="str">
        <x:v>smelter/forge</x:v>
      </x:c>
      <x:c r="M185" s="47" t="str">
        <x:v>ore / refractory / chemistry</x:v>
      </x:c>
      <x:c r="N185" s="47" t="str">
        <x:v>very high heat</x:v>
      </x:c>
      <x:c r="O185" s="51" t="n">
        <x:v>360</x:v>
      </x:c>
      <x:c r="P185" s="51" t="n">
        <x:v>240</x:v>
      </x:c>
      <x:c r="Q185" s="47" t="str">
        <x:v>metal yield and defect evidence</x:v>
      </x:c>
      <x:c r="R185" s="47" t="str">
        <x:v>slag / no reduction / fire</x:v>
      </x:c>
      <x:c r="S185" s="47" t="str"/>
      <x:c r="T185" s="47" t="str"/>
      <x:c r="U185" s="47" t="str">
        <x:v>Compressed family/assembly</x:v>
      </x:c>
      <x:c r="V185" s="49"/>
      <x:c r="W185" s="49"/>
    </x:row>
    <x:row r="186">
      <x:c r="A186" s="47" t="str">
        <x:v>W-PRECISION</x:v>
      </x:c>
      <x:c r="B186" s="47" t="str">
        <x:v>Held and measured precision bench</x:v>
      </x:c>
      <x:c r="C186" s="47" t="str">
        <x:v>Workshop</x:v>
      </x:c>
      <x:c r="D186" s="47" t="str">
        <x:v>Workspace</x:v>
      </x:c>
      <x:c r="E186" s="47" t="str">
        <x:v>H3</x:v>
      </x:c>
      <x:c r="F186" s="47" t="str">
        <x:v>Placeable workspace</x:v>
      </x:c>
      <x:c r="G186" s="47" t="str">
        <x:v>No</x:v>
      </x:c>
      <x:c r="H186" s="47" t="str">
        <x:v>Make / assemble / qualify</x:v>
      </x:c>
      <x:c r="I186" s="47" t="str">
        <x:v>W-BENCH; T-CLAMP</x:v>
      </x:c>
      <x:c r="J186" s="47" t="str">
        <x:v>clamp / align / measure / compare</x:v>
      </x:c>
      <x:c r="K186" s="47" t="str">
        <x:v>clamp / measure</x:v>
      </x:c>
      <x:c r="L186" s="47" t="str">
        <x:v>dry shop</x:v>
      </x:c>
      <x:c r="M186" s="47" t="str">
        <x:v>layout and workholding</x:v>
      </x:c>
      <x:c r="N186" s="47" t="str">
        <x:v>moderate</x:v>
      </x:c>
      <x:c r="O186" s="51" t="n">
        <x:v>180</x:v>
      </x:c>
      <x:c r="P186" s="51" t="n">
        <x:v>0</x:v>
      </x:c>
      <x:c r="Q186" s="47" t="str">
        <x:v>repeatable fit sample</x:v>
      </x:c>
      <x:c r="R186" s="47" t="str">
        <x:v>misalignment / crushed part</x:v>
      </x:c>
      <x:c r="S186" s="47" t="str"/>
      <x:c r="T186" s="47" t="str"/>
      <x:c r="U186" s="47" t="str">
        <x:v>Governed node; variants not separated</x:v>
      </x:c>
      <x:c r="V186" s="49"/>
      <x:c r="W186" s="49"/>
    </x:row>
    <x:row r="187">
      <x:c r="A187" s="47" t="str">
        <x:v>A-PARTS-CATALOG</x:v>
      </x:c>
      <x:c r="B187" s="47" t="str">
        <x:v>Parts and compatibility catalog</x:v>
      </x:c>
      <x:c r="C187" s="47" t="str">
        <x:v>Salvage</x:v>
      </x:c>
      <x:c r="D187" s="47" t="str">
        <x:v>Endpoint</x:v>
      </x:c>
      <x:c r="E187" s="47" t="str">
        <x:v>H2</x:v>
      </x:c>
      <x:c r="F187" s="47" t="str">
        <x:v>Placeable system/capability</x:v>
      </x:c>
      <x:c r="G187" s="47" t="str">
        <x:v>No</x:v>
      </x:c>
      <x:c r="H187" s="47" t="str">
        <x:v>Make / assemble / qualify</x:v>
      </x:c>
      <x:c r="I187" s="47" t="str">
        <x:v>W-ARCHIVE; S-MANUAL</x:v>
      </x:c>
      <x:c r="J187" s="47" t="str">
        <x:v>identify / label / cross-reference</x:v>
      </x:c>
      <x:c r="K187" s="47" t="str">
        <x:v>journal / measure</x:v>
      </x:c>
      <x:c r="L187" s="47" t="str">
        <x:v>archive</x:v>
      </x:c>
      <x:c r="M187" s="47" t="str">
        <x:v>systems and provenance</x:v>
      </x:c>
      <x:c r="N187" s="47" t="str">
        <x:v>light</x:v>
      </x:c>
      <x:c r="O187" s="51" t="n">
        <x:v>60</x:v>
      </x:c>
      <x:c r="P187" s="51" t="n">
        <x:v>0</x:v>
      </x:c>
      <x:c r="Q187" s="47" t="str">
        <x:v>part retrieved and matched later</x:v>
      </x:c>
      <x:c r="R187" s="47" t="str">
        <x:v>mislabel / false compatibility</x:v>
      </x:c>
      <x:c r="S187" s="47" t="str"/>
      <x:c r="T187" s="47" t="str"/>
      <x:c r="U187" s="47" t="str">
        <x:v>Governed node; variants not separated</x:v>
      </x:c>
      <x:c r="V187" s="49"/>
      <x:c r="W187" s="49"/>
    </x:row>
    <x:row r="188">
      <x:c r="A188" s="47" t="str">
        <x:v>A-SALVAGE-YARD</x:v>
      </x:c>
      <x:c r="B188" s="47" t="str">
        <x:v>Covered salvage sorting yard</x:v>
      </x:c>
      <x:c r="C188" s="47" t="str">
        <x:v>Salvage</x:v>
      </x:c>
      <x:c r="D188" s="47" t="str">
        <x:v>Assembly</x:v>
      </x:c>
      <x:c r="E188" s="47" t="str">
        <x:v>H2</x:v>
      </x:c>
      <x:c r="F188" s="47" t="str">
        <x:v>Placeable/deployable assembly</x:v>
      </x:c>
      <x:c r="G188" s="47" t="str">
        <x:v>No</x:v>
      </x:c>
      <x:c r="H188" s="47" t="str">
        <x:v>Make / assemble / qualify</x:v>
      </x:c>
      <x:c r="I188" s="47" t="str">
        <x:v>A-COVERED-STORE; A-ROOF</x:v>
      </x:c>
      <x:c r="J188" s="47" t="str">
        <x:v>zone / drain / rack / label</x:v>
      </x:c>
      <x:c r="K188" s="47" t="str">
        <x:v>shelter tools</x:v>
      </x:c>
      <x:c r="L188" s="47" t="str">
        <x:v>home edge</x:v>
      </x:c>
      <x:c r="M188" s="47" t="str">
        <x:v>hazard separation and logistics</x:v>
      </x:c>
      <x:c r="N188" s="47" t="str">
        <x:v>high</x:v>
      </x:c>
      <x:c r="O188" s="51" t="n">
        <x:v>360</x:v>
      </x:c>
      <x:c r="P188" s="51" t="n">
        <x:v>0</x:v>
      </x:c>
      <x:c r="Q188" s="47" t="str">
        <x:v>clean/hazard routes remain separated</x:v>
      </x:c>
      <x:c r="R188" s="47" t="str">
        <x:v>hoard / runoff / fire</x:v>
      </x:c>
      <x:c r="S188" s="47" t="str"/>
      <x:c r="T188" s="47" t="str"/>
      <x:c r="U188" s="47" t="str">
        <x:v>Governed node; variants not separated</x:v>
      </x:c>
      <x:c r="V188" s="49"/>
      <x:c r="W188" s="49"/>
    </x:row>
    <x:row r="189">
      <x:c r="A189" s="47" t="str">
        <x:v>A-QUARANTINE</x:v>
      </x:c>
      <x:c r="B189" s="47" t="str">
        <x:v>Salvage quarantine bay</x:v>
      </x:c>
      <x:c r="C189" s="47" t="str">
        <x:v>Salvage</x:v>
      </x:c>
      <x:c r="D189" s="47" t="str">
        <x:v>Endpoint</x:v>
      </x:c>
      <x:c r="E189" s="47" t="str">
        <x:v>H2</x:v>
      </x:c>
      <x:c r="F189" s="47" t="str">
        <x:v>Placeable system/capability</x:v>
      </x:c>
      <x:c r="G189" s="47" t="str">
        <x:v>No</x:v>
      </x:c>
      <x:c r="H189" s="47" t="str">
        <x:v>Make / assemble / qualify</x:v>
      </x:c>
      <x:c r="I189" s="47" t="str">
        <x:v>A-ROOF; W-CLEAN</x:v>
      </x:c>
      <x:c r="J189" s="47" t="str">
        <x:v>isolate / clean / observe</x:v>
      </x:c>
      <x:c r="K189" s="47" t="str">
        <x:v>containers / gloves route</x:v>
      </x:c>
      <x:c r="L189" s="47" t="str">
        <x:v>drained covered bay</x:v>
      </x:c>
      <x:c r="M189" s="47" t="str">
        <x:v>contamination control</x:v>
      </x:c>
      <x:c r="N189" s="47" t="str">
        <x:v>moderate</x:v>
      </x:c>
      <x:c r="O189" s="51" t="n">
        <x:v>120</x:v>
      </x:c>
      <x:c r="P189" s="51" t="n">
        <x:v>240</x:v>
      </x:c>
      <x:c r="Q189" s="47" t="str">
        <x:v>no cross-contamination</x:v>
      </x:c>
      <x:c r="R189" s="47" t="str">
        <x:v>home/source contamination</x:v>
      </x:c>
      <x:c r="S189" s="47" t="str"/>
      <x:c r="T189" s="47" t="str"/>
      <x:c r="U189" s="47" t="str">
        <x:v>Governed node; variants not separated</x:v>
      </x:c>
      <x:c r="V189" s="49"/>
      <x:c r="W189" s="49"/>
    </x:row>
    <x:row r="190">
      <x:c r="A190" s="47" t="str">
        <x:v>A-WASTE-CONTROL</x:v>
      </x:c>
      <x:c r="B190" s="47" t="str">
        <x:v>Waste routing and containment</x:v>
      </x:c>
      <x:c r="C190" s="47" t="str">
        <x:v>Salvage</x:v>
      </x:c>
      <x:c r="D190" s="47" t="str">
        <x:v>Endpoint</x:v>
      </x:c>
      <x:c r="E190" s="47" t="str">
        <x:v>H2</x:v>
      </x:c>
      <x:c r="F190" s="47" t="str">
        <x:v>Placeable system/capability</x:v>
      </x:c>
      <x:c r="G190" s="47" t="str">
        <x:v>No</x:v>
      </x:c>
      <x:c r="H190" s="47" t="str">
        <x:v>Recover / repair / qualify</x:v>
      </x:c>
      <x:c r="I190" s="47" t="str">
        <x:v>A-SALVAGE-YARD; A-LATRINE</x:v>
      </x:c>
      <x:c r="J190" s="47" t="str">
        <x:v>reuse / recover / contain / dispose</x:v>
      </x:c>
      <x:c r="K190" s="47" t="str">
        <x:v>sorting/handling</x:v>
      </x:c>
      <x:c r="L190" s="47" t="str">
        <x:v>yard/latrine edge</x:v>
      </x:c>
      <x:c r="M190" s="47" t="str">
        <x:v>hazard and ecology</x:v>
      </x:c>
      <x:c r="N190" s="47" t="str">
        <x:v>moderate</x:v>
      </x:c>
      <x:c r="O190" s="51" t="n">
        <x:v>120</x:v>
      </x:c>
      <x:c r="P190" s="51" t="n">
        <x:v>0</x:v>
      </x:c>
      <x:c r="Q190" s="47" t="str">
        <x:v>mass accounted and protected</x:v>
      </x:c>
      <x:c r="R190" s="47" t="str">
        <x:v>leak / fire / clutter</x:v>
      </x:c>
      <x:c r="S190" s="47" t="str"/>
      <x:c r="T190" s="47" t="str"/>
      <x:c r="U190" s="47" t="str">
        <x:v>Governed node; variants not separated</x:v>
      </x:c>
      <x:c r="V190" s="49"/>
      <x:c r="W190" s="49"/>
    </x:row>
    <x:row r="191">
      <x:c r="A191" s="47" t="str">
        <x:v>A-BURIED-RECOVERY</x:v>
      </x:c>
      <x:c r="B191" s="47" t="str">
        <x:v>Buried salvage recovery operation</x:v>
      </x:c>
      <x:c r="C191" s="47" t="str">
        <x:v>Salvage</x:v>
      </x:c>
      <x:c r="D191" s="47" t="str">
        <x:v>Endpoint</x:v>
      </x:c>
      <x:c r="E191" s="47" t="str">
        <x:v>H2</x:v>
      </x:c>
      <x:c r="F191" s="47" t="str">
        <x:v>Placeable system/capability</x:v>
      </x:c>
      <x:c r="G191" s="47" t="str">
        <x:v>No</x:v>
      </x:c>
      <x:c r="H191" s="47" t="str">
        <x:v>Recover / repair / qualify</x:v>
      </x:c>
      <x:c r="I191" s="47" t="str">
        <x:v>T-SHOVEL; T-PRY</x:v>
      </x:c>
      <x:c r="J191" s="47" t="str">
        <x:v>excavate / brace / lever / recover</x:v>
      </x:c>
      <x:c r="K191" s="47" t="str">
        <x:v>shovel / pry</x:v>
      </x:c>
      <x:c r="L191" s="47" t="str">
        <x:v>beach excavation</x:v>
      </x:c>
      <x:c r="M191" s="47" t="str">
        <x:v>earthwork and load control</x:v>
      </x:c>
      <x:c r="N191" s="47" t="str">
        <x:v>high</x:v>
      </x:c>
      <x:c r="O191" s="51" t="n">
        <x:v>120</x:v>
      </x:c>
      <x:c r="P191" s="51" t="n">
        <x:v>0</x:v>
      </x:c>
      <x:c r="Q191" s="47" t="str">
        <x:v>recovered without collapse/damage</x:v>
      </x:c>
      <x:c r="R191" s="47" t="str">
        <x:v>collapse / crush / tide loss</x:v>
      </x:c>
      <x:c r="S191" s="47" t="str"/>
      <x:c r="T191" s="47" t="str"/>
      <x:c r="U191" s="47" t="str">
        <x:v>Compressed family/assembly</x:v>
      </x:c>
      <x:c r="V191" s="49"/>
      <x:c r="W191" s="49"/>
    </x:row>
    <x:row r="192">
      <x:c r="A192" s="47" t="str">
        <x:v>A-STOVE</x:v>
      </x:c>
      <x:c r="B192" s="47" t="str">
        <x:v>Efficient enclosed stove</x:v>
      </x:c>
      <x:c r="C192" s="47" t="str">
        <x:v>Fire</x:v>
      </x:c>
      <x:c r="D192" s="47" t="str">
        <x:v>Assembly</x:v>
      </x:c>
      <x:c r="E192" s="47" t="str">
        <x:v>H3</x:v>
      </x:c>
      <x:c r="F192" s="47" t="str">
        <x:v>Placeable/deployable assembly</x:v>
      </x:c>
      <x:c r="G192" s="47" t="str">
        <x:v>No</x:v>
      </x:c>
      <x:c r="H192" s="47" t="str">
        <x:v>Make / assemble / qualify</x:v>
      </x:c>
      <x:c r="I192" s="47" t="str">
        <x:v>W-HEARTH; P-FIRED-CERAMIC</x:v>
      </x:c>
      <x:c r="J192" s="47" t="str">
        <x:v>build / draft / burn / clean</x:v>
      </x:c>
      <x:c r="K192" s="47" t="str">
        <x:v>masonry/ceramic tools</x:v>
      </x:c>
      <x:c r="L192" s="47" t="str">
        <x:v>fire-separated home edge</x:v>
      </x:c>
      <x:c r="M192" s="47" t="str">
        <x:v>combustion and smoke</x:v>
      </x:c>
      <x:c r="N192" s="47" t="str">
        <x:v>high</x:v>
      </x:c>
      <x:c r="O192" s="51" t="n">
        <x:v>300</x:v>
      </x:c>
      <x:c r="P192" s="51" t="n">
        <x:v>60</x:v>
      </x:c>
      <x:c r="Q192" s="47" t="str">
        <x:v>controlled burn and safe exhaust</x:v>
      </x:c>
      <x:c r="R192" s="47" t="str">
        <x:v>CO/smoke / fire / poor draft</x:v>
      </x:c>
      <x:c r="S192" s="47" t="str"/>
      <x:c r="T192" s="47" t="str"/>
      <x:c r="U192" s="47" t="str">
        <x:v>Governed node; variants not separated</x:v>
      </x:c>
      <x:c r="V192" s="49"/>
      <x:c r="W192" s="49"/>
    </x:row>
    <x:row r="193">
      <x:c r="A193" s="47" t="str">
        <x:v>A-OVEN</x:v>
      </x:c>
      <x:c r="B193" s="47" t="str">
        <x:v>Thermal-mass oven</x:v>
      </x:c>
      <x:c r="C193" s="47" t="str">
        <x:v>Fire</x:v>
      </x:c>
      <x:c r="D193" s="47" t="str">
        <x:v>Endpoint</x:v>
      </x:c>
      <x:c r="E193" s="47" t="str">
        <x:v>H3</x:v>
      </x:c>
      <x:c r="F193" s="47" t="str">
        <x:v>Placeable system/capability</x:v>
      </x:c>
      <x:c r="G193" s="47" t="str">
        <x:v>No</x:v>
      </x:c>
      <x:c r="H193" s="47" t="str">
        <x:v>Make / assemble / qualify</x:v>
      </x:c>
      <x:c r="I193" s="47" t="str">
        <x:v>A-STOVE; P-FIRED-CERAMIC</x:v>
      </x:c>
      <x:c r="J193" s="47" t="str">
        <x:v>preheat / bake / cool / inspect</x:v>
      </x:c>
      <x:c r="K193" s="47" t="str">
        <x:v>stove tools</x:v>
      </x:c>
      <x:c r="L193" s="47" t="str">
        <x:v>fire cell</x:v>
      </x:c>
      <x:c r="M193" s="47" t="str">
        <x:v>residual heat and food</x:v>
      </x:c>
      <x:c r="N193" s="47" t="str">
        <x:v>moderate heat</x:v>
      </x:c>
      <x:c r="O193" s="51" t="n">
        <x:v>240</x:v>
      </x:c>
      <x:c r="P193" s="51" t="n">
        <x:v>120</x:v>
      </x:c>
      <x:c r="Q193" s="47" t="str">
        <x:v>repeatable temperature curve</x:v>
      </x:c>
      <x:c r="R193" s="47" t="str">
        <x:v>crack / undercook / fire</x:v>
      </x:c>
      <x:c r="S193" s="47" t="str"/>
      <x:c r="T193" s="47" t="str"/>
      <x:c r="U193" s="47" t="str">
        <x:v>Governed node; variants not separated</x:v>
      </x:c>
      <x:c r="V193" s="49"/>
      <x:c r="W193" s="49"/>
    </x:row>
    <x:row r="194">
      <x:c r="A194" s="47" t="str">
        <x:v>A-OPEN-STEAM</x:v>
      </x:c>
      <x:c r="B194" s="47" t="str">
        <x:v>Open-steam process station</x:v>
      </x:c>
      <x:c r="C194" s="47" t="str">
        <x:v>Fire</x:v>
      </x:c>
      <x:c r="D194" s="47" t="str">
        <x:v>Endpoint</x:v>
      </x:c>
      <x:c r="E194" s="47" t="str">
        <x:v>H4</x:v>
      </x:c>
      <x:c r="F194" s="47" t="str">
        <x:v>Placeable system/capability</x:v>
      </x:c>
      <x:c r="G194" s="47" t="str">
        <x:v>No</x:v>
      </x:c>
      <x:c r="H194" s="47" t="str">
        <x:v>Make / assemble / qualify</x:v>
      </x:c>
      <x:c r="I194" s="47" t="str">
        <x:v>C-FOUND-PAN; A-PIPE</x:v>
      </x:c>
      <x:c r="J194" s="47" t="str">
        <x:v>heat / vapor route / condense / drain</x:v>
      </x:c>
      <x:c r="K194" s="47" t="str">
        <x:v>vessel / pipe</x:v>
      </x:c>
      <x:c r="L194" s="47" t="str">
        <x:v>ventilated process cell</x:v>
      </x:c>
      <x:c r="M194" s="47" t="str">
        <x:v>steam/scald and materials</x:v>
      </x:c>
      <x:c r="N194" s="47" t="str">
        <x:v>high heat</x:v>
      </x:c>
      <x:c r="O194" s="51" t="n">
        <x:v>120</x:v>
      </x:c>
      <x:c r="P194" s="51" t="n">
        <x:v>60</x:v>
      </x:c>
      <x:c r="Q194" s="47" t="str">
        <x:v>stable non-pressurized flow</x:v>
      </x:c>
      <x:c r="R194" s="47" t="str">
        <x:v>scald / leak / contamination</x:v>
      </x:c>
      <x:c r="S194" s="47" t="str"/>
      <x:c r="T194" s="47" t="str">
        <x:v>Core steam chain</x:v>
      </x:c>
      <x:c r="U194" s="47" t="str">
        <x:v>Named; requires component decomposition</x:v>
      </x:c>
      <x:c r="V194" s="49"/>
      <x:c r="W194" s="49"/>
    </x:row>
    <x:row r="195">
      <x:c r="A195" s="47" t="str">
        <x:v>A-PRESSURE-CONTROL</x:v>
      </x:c>
      <x:c r="B195" s="47" t="str">
        <x:v>Pressure relief and control set</x:v>
      </x:c>
      <x:c r="C195" s="47" t="str">
        <x:v>Power</x:v>
      </x:c>
      <x:c r="D195" s="47" t="str">
        <x:v>Assembly</x:v>
      </x:c>
      <x:c r="E195" s="47" t="str">
        <x:v>H5</x:v>
      </x:c>
      <x:c r="F195" s="47" t="str">
        <x:v>Placeable/deployable assembly</x:v>
      </x:c>
      <x:c r="G195" s="47" t="str">
        <x:v>No</x:v>
      </x:c>
      <x:c r="H195" s="47" t="str">
        <x:v>Make / assemble / qualify</x:v>
      </x:c>
      <x:c r="I195" s="47" t="str">
        <x:v>A-VALVE; T-METER</x:v>
      </x:c>
      <x:c r="J195" s="47" t="str">
        <x:v>install / calibrate / test / isolate</x:v>
      </x:c>
      <x:c r="K195" s="47" t="str">
        <x:v>meter / valve tools</x:v>
      </x:c>
      <x:c r="L195" s="47" t="str">
        <x:v>precision bench</x:v>
      </x:c>
      <x:c r="M195" s="47" t="str">
        <x:v>pressure systems</x:v>
      </x:c>
      <x:c r="N195" s="47" t="str">
        <x:v>moderate</x:v>
      </x:c>
      <x:c r="O195" s="51" t="n">
        <x:v>240</x:v>
      </x:c>
      <x:c r="P195" s="51" t="n">
        <x:v>0</x:v>
      </x:c>
      <x:c r="Q195" s="47" t="str">
        <x:v>safe relief/control test</x:v>
      </x:c>
      <x:c r="R195" s="47" t="str">
        <x:v>overpressure / false gauge</x:v>
      </x:c>
      <x:c r="S195" s="47" t="str"/>
      <x:c r="T195" s="47" t="str">
        <x:v>Core steam chain</x:v>
      </x:c>
      <x:c r="U195" s="47" t="str">
        <x:v>Named; requires component decomposition</x:v>
      </x:c>
      <x:c r="V195" s="49"/>
      <x:c r="W195" s="49"/>
    </x:row>
    <x:row r="196">
      <x:c r="A196" s="47" t="str">
        <x:v>A-PRESSURE-BOILER</x:v>
      </x:c>
      <x:c r="B196" s="47" t="str">
        <x:v>Qualified pressure boiler</x:v>
      </x:c>
      <x:c r="C196" s="47" t="str">
        <x:v>Power</x:v>
      </x:c>
      <x:c r="D196" s="47" t="str">
        <x:v>Assembly</x:v>
      </x:c>
      <x:c r="E196" s="47" t="str">
        <x:v>H6</x:v>
      </x:c>
      <x:c r="F196" s="47" t="str">
        <x:v>Placeable/deployable assembly</x:v>
      </x:c>
      <x:c r="G196" s="47" t="str">
        <x:v>No</x:v>
      </x:c>
      <x:c r="H196" s="47" t="str">
        <x:v>Make / assemble / qualify</x:v>
      </x:c>
      <x:c r="I196" s="47" t="str">
        <x:v>P-METAL-STOCK; A-PRESSURE-CONTROL</x:v>
      </x:c>
      <x:c r="J196" s="47" t="str">
        <x:v>inspect / assemble / hydrotest / fire</x:v>
      </x:c>
      <x:c r="K196" s="47" t="str">
        <x:v>metal/pressure tools</x:v>
      </x:c>
      <x:c r="L196" s="47" t="str">
        <x:v>separate power house</x:v>
      </x:c>
      <x:c r="M196" s="47" t="str">
        <x:v>boiler integrity and feedwater</x:v>
      </x:c>
      <x:c r="N196" s="47" t="str">
        <x:v>high</x:v>
      </x:c>
      <x:c r="O196" s="51" t="n">
        <x:v>960</x:v>
      </x:c>
      <x:c r="P196" s="51" t="n">
        <x:v>480</x:v>
      </x:c>
      <x:c r="Q196" s="47" t="str">
        <x:v>qualified boundary and shutdown</x:v>
      </x:c>
      <x:c r="R196" s="47" t="str">
        <x:v>rupture / leak / scale</x:v>
      </x:c>
      <x:c r="S196" s="47" t="str"/>
      <x:c r="T196" s="47" t="str">
        <x:v>Core steam chain</x:v>
      </x:c>
      <x:c r="U196" s="47" t="str">
        <x:v>Named; requires component decomposition</x:v>
      </x:c>
      <x:c r="V196" s="49"/>
      <x:c r="W196" s="49"/>
    </x:row>
    <x:row r="197">
      <x:c r="A197" s="47" t="str">
        <x:v>A-STEAM-ENGINE</x:v>
      </x:c>
      <x:c r="B197" s="47" t="str">
        <x:v>Steam prime mover</x:v>
      </x:c>
      <x:c r="C197" s="47" t="str">
        <x:v>Power</x:v>
      </x:c>
      <x:c r="D197" s="47" t="str">
        <x:v>Assembly</x:v>
      </x:c>
      <x:c r="E197" s="47" t="str">
        <x:v>H6</x:v>
      </x:c>
      <x:c r="F197" s="47" t="str">
        <x:v>Placeable/deployable assembly</x:v>
      </x:c>
      <x:c r="G197" s="47" t="str">
        <x:v>No</x:v>
      </x:c>
      <x:c r="H197" s="47" t="str">
        <x:v>Make / assemble / qualify</x:v>
      </x:c>
      <x:c r="I197" s="47" t="str">
        <x:v>A-PRESSURE-BOILER; S-BEARING</x:v>
      </x:c>
      <x:c r="J197" s="47" t="str">
        <x:v>valve / expand / lubricate / govern</x:v>
      </x:c>
      <x:c r="K197" s="47" t="str">
        <x:v>precision tools</x:v>
      </x:c>
      <x:c r="L197" s="47" t="str">
        <x:v>power house</x:v>
      </x:c>
      <x:c r="M197" s="47" t="str">
        <x:v>mechanics and steam</x:v>
      </x:c>
      <x:c r="N197" s="47" t="str">
        <x:v>high</x:v>
      </x:c>
      <x:c r="O197" s="51" t="n">
        <x:v>1200</x:v>
      </x:c>
      <x:c r="P197" s="51" t="n">
        <x:v>240</x:v>
      </x:c>
      <x:c r="Q197" s="47" t="str">
        <x:v>controlled no-load and load run</x:v>
      </x:c>
      <x:c r="R197" s="47" t="str">
        <x:v>overspeed / seizure / steam release</x:v>
      </x:c>
      <x:c r="S197" s="47" t="str"/>
      <x:c r="T197" s="47" t="str">
        <x:v>Core steam chain</x:v>
      </x:c>
      <x:c r="U197" s="47" t="str">
        <x:v>Named; requires component decomposition</x:v>
      </x:c>
      <x:c r="V197" s="49"/>
      <x:c r="W197" s="49"/>
    </x:row>
    <x:row r="198">
      <x:c r="A198" s="47" t="str">
        <x:v>A-STEAM-PUMP</x:v>
      </x:c>
      <x:c r="B198" s="47" t="str">
        <x:v>Steam-driven water/mine pump</x:v>
      </x:c>
      <x:c r="C198" s="47" t="str">
        <x:v>Power</x:v>
      </x:c>
      <x:c r="D198" s="47" t="str">
        <x:v>Endpoint</x:v>
      </x:c>
      <x:c r="E198" s="47" t="str">
        <x:v>H6</x:v>
      </x:c>
      <x:c r="F198" s="47" t="str">
        <x:v>Placeable system/capability</x:v>
      </x:c>
      <x:c r="G198" s="47" t="str">
        <x:v>No</x:v>
      </x:c>
      <x:c r="H198" s="47" t="str">
        <x:v>Make / assemble / qualify</x:v>
      </x:c>
      <x:c r="I198" s="47" t="str">
        <x:v>A-STEAM-ENGINE; A-PUMP</x:v>
      </x:c>
      <x:c r="J198" s="47" t="str">
        <x:v>couple / prime / pump / shut down</x:v>
      </x:c>
      <x:c r="K198" s="47" t="str">
        <x:v>engine/pump tools</x:v>
      </x:c>
      <x:c r="L198" s="47" t="str">
        <x:v>power/water system</x:v>
      </x:c>
      <x:c r="M198" s="47" t="str">
        <x:v>hydraulics and steam</x:v>
      </x:c>
      <x:c r="N198" s="47" t="str">
        <x:v>moderate</x:v>
      </x:c>
      <x:c r="O198" s="51" t="n">
        <x:v>240</x:v>
      </x:c>
      <x:c r="P198" s="51" t="n">
        <x:v>0</x:v>
      </x:c>
      <x:c r="Q198" s="47" t="str">
        <x:v>flow and safe-stop test</x:v>
      </x:c>
      <x:c r="R198" s="47" t="str">
        <x:v>cavitation / flood / rupture</x:v>
      </x:c>
      <x:c r="S198" s="47" t="str"/>
      <x:c r="T198" s="47" t="str">
        <x:v>Core steam chain</x:v>
      </x:c>
      <x:c r="U198" s="47" t="str">
        <x:v>Named; requires component decomposition</x:v>
      </x:c>
      <x:c r="V198" s="49"/>
      <x:c r="W198" s="49"/>
    </x:row>
    <x:row r="199">
      <x:c r="A199" s="47" t="str">
        <x:v>A-STEAM-GEN</x:v>
      </x:c>
      <x:c r="B199" s="47" t="str">
        <x:v>Steam-electric generation set</x:v>
      </x:c>
      <x:c r="C199" s="47" t="str">
        <x:v>Power</x:v>
      </x:c>
      <x:c r="D199" s="47" t="str">
        <x:v>Endpoint</x:v>
      </x:c>
      <x:c r="E199" s="47" t="str">
        <x:v>H6</x:v>
      </x:c>
      <x:c r="F199" s="47" t="str">
        <x:v>Placeable system/capability</x:v>
      </x:c>
      <x:c r="G199" s="47" t="str">
        <x:v>No</x:v>
      </x:c>
      <x:c r="H199" s="47" t="str">
        <x:v>Make / assemble / qualify</x:v>
      </x:c>
      <x:c r="I199" s="47" t="str">
        <x:v>A-STEAM-ENGINE; A-GENERATOR</x:v>
      </x:c>
      <x:c r="J199" s="47" t="str">
        <x:v>couple / govern / generate / protect</x:v>
      </x:c>
      <x:c r="K199" s="47" t="str">
        <x:v>meter / precision tools</x:v>
      </x:c>
      <x:c r="L199" s="47" t="str">
        <x:v>power house</x:v>
      </x:c>
      <x:c r="M199" s="47" t="str">
        <x:v>steam + electrical</x:v>
      </x:c>
      <x:c r="N199" s="47" t="str">
        <x:v>moderate</x:v>
      </x:c>
      <x:c r="O199" s="51" t="n">
        <x:v>360</x:v>
      </x:c>
      <x:c r="P199" s="51" t="n">
        <x:v>0</x:v>
      </x:c>
      <x:c r="Q199" s="47" t="str">
        <x:v>stable protected output</x:v>
      </x:c>
      <x:c r="R199" s="47" t="str">
        <x:v>overspeed / shock / fire</x:v>
      </x:c>
      <x:c r="S199" s="47" t="str"/>
      <x:c r="T199" s="47" t="str">
        <x:v>Core steam chain</x:v>
      </x:c>
      <x:c r="U199" s="47" t="str">
        <x:v>Named; requires component decomposition</x:v>
      </x:c>
      <x:c r="V199" s="49"/>
      <x:c r="W199" s="49"/>
    </x:row>
    <x:row r="200">
      <x:c r="A200" s="47" t="str">
        <x:v>W-FIBER-CELL</x:v>
      </x:c>
      <x:c r="B200" s="47" t="str">
        <x:v>Specialist fiber workshop cell</x:v>
      </x:c>
      <x:c r="C200" s="47" t="str">
        <x:v>Workshop</x:v>
      </x:c>
      <x:c r="D200" s="47" t="str">
        <x:v>Endpoint</x:v>
      </x:c>
      <x:c r="E200" s="47" t="str">
        <x:v>H3</x:v>
      </x:c>
      <x:c r="F200" s="47" t="str">
        <x:v>Placeable system/capability</x:v>
      </x:c>
      <x:c r="G200" s="47" t="str">
        <x:v>No</x:v>
      </x:c>
      <x:c r="H200" s="47" t="str">
        <x:v>Make / assemble / qualify</x:v>
      </x:c>
      <x:c r="I200" s="47" t="str">
        <x:v>A-FIBER-STATION; W-BENCH</x:v>
      </x:c>
      <x:c r="J200" s="47" t="str">
        <x:v>grade / spin / weave / test</x:v>
      </x:c>
      <x:c r="K200" s="47" t="str">
        <x:v>fiber station</x:v>
      </x:c>
      <x:c r="L200" s="47" t="str">
        <x:v>dry separated shop</x:v>
      </x:c>
      <x:c r="M200" s="47" t="str">
        <x:v>fiber workflow</x:v>
      </x:c>
      <x:c r="N200" s="47" t="str">
        <x:v>moderate</x:v>
      </x:c>
      <x:c r="O200" s="51" t="n">
        <x:v>240</x:v>
      </x:c>
      <x:c r="P200" s="51" t="n">
        <x:v>0</x:v>
      </x:c>
      <x:c r="Q200" s="47" t="str">
        <x:v>repeatable clean production</x:v>
      </x:c>
      <x:c r="R200" s="47" t="str">
        <x:v>mold / contamination</x:v>
      </x:c>
      <x:c r="S200" s="47" t="str"/>
      <x:c r="T200" s="47" t="str"/>
      <x:c r="U200" s="47" t="str">
        <x:v>Governed node; variants not separated</x:v>
      </x:c>
      <x:c r="V200" s="49"/>
      <x:c r="W200" s="49"/>
    </x:row>
    <x:row r="201">
      <x:c r="A201" s="47" t="str">
        <x:v>W-FOOD-CELL</x:v>
      </x:c>
      <x:c r="B201" s="47" t="str">
        <x:v>Clean food-processing cell</x:v>
      </x:c>
      <x:c r="C201" s="47" t="str">
        <x:v>Workshop</x:v>
      </x:c>
      <x:c r="D201" s="47" t="str">
        <x:v>Endpoint</x:v>
      </x:c>
      <x:c r="E201" s="47" t="str">
        <x:v>H3</x:v>
      </x:c>
      <x:c r="F201" s="47" t="str">
        <x:v>Placeable system/capability</x:v>
      </x:c>
      <x:c r="G201" s="47" t="str">
        <x:v>No</x:v>
      </x:c>
      <x:c r="H201" s="47" t="str">
        <x:v>Make / assemble / qualify</x:v>
      </x:c>
      <x:c r="I201" s="47" t="str">
        <x:v>W-BENCH; W-CLEAN</x:v>
      </x:c>
      <x:c r="J201" s="47" t="str">
        <x:v>wash / cut / heat / store</x:v>
      </x:c>
      <x:c r="K201" s="47" t="str">
        <x:v>food vessels</x:v>
      </x:c>
      <x:c r="L201" s="47" t="str">
        <x:v>clean separated shop</x:v>
      </x:c>
      <x:c r="M201" s="47" t="str">
        <x:v>hygiene and preservation</x:v>
      </x:c>
      <x:c r="N201" s="47" t="str">
        <x:v>moderate</x:v>
      </x:c>
      <x:c r="O201" s="51" t="n">
        <x:v>240</x:v>
      </x:c>
      <x:c r="P201" s="51" t="n">
        <x:v>0</x:v>
      </x:c>
      <x:c r="Q201" s="47" t="str">
        <x:v>clean workflow audit</x:v>
      </x:c>
      <x:c r="R201" s="47" t="str">
        <x:v>cross-contamination</x:v>
      </x:c>
      <x:c r="S201" s="47" t="str"/>
      <x:c r="T201" s="47" t="str"/>
      <x:c r="U201" s="47" t="str">
        <x:v>Governed node; variants not separated</x:v>
      </x:c>
      <x:c r="V201" s="49"/>
      <x:c r="W201" s="49"/>
    </x:row>
    <x:row r="202">
      <x:c r="A202" s="47" t="str">
        <x:v>W-ENGINE-CELL</x:v>
      </x:c>
      <x:c r="B202" s="47" t="str">
        <x:v>Engine/mechanical repair cell</x:v>
      </x:c>
      <x:c r="C202" s="47" t="str">
        <x:v>Workshop</x:v>
      </x:c>
      <x:c r="D202" s="47" t="str">
        <x:v>Endpoint</x:v>
      </x:c>
      <x:c r="E202" s="47" t="str">
        <x:v>H4</x:v>
      </x:c>
      <x:c r="F202" s="47" t="str">
        <x:v>Placeable system/capability</x:v>
      </x:c>
      <x:c r="G202" s="47" t="str">
        <x:v>No</x:v>
      </x:c>
      <x:c r="H202" s="47" t="str">
        <x:v>Make / assemble / qualify</x:v>
      </x:c>
      <x:c r="I202" s="47" t="str">
        <x:v>W-PRECISION; A-TRIPOD</x:v>
      </x:c>
      <x:c r="J202" s="47" t="str">
        <x:v>isolate / hold / measure / test</x:v>
      </x:c>
      <x:c r="K202" s="47" t="str">
        <x:v>precision bench / hoist</x:v>
      </x:c>
      <x:c r="L202" s="47" t="str">
        <x:v>drained mechanical shop</x:v>
      </x:c>
      <x:c r="M202" s="47" t="str">
        <x:v>mechanics and contamination</x:v>
      </x:c>
      <x:c r="N202" s="47" t="str">
        <x:v>high</x:v>
      </x:c>
      <x:c r="O202" s="51" t="n">
        <x:v>480</x:v>
      </x:c>
      <x:c r="P202" s="51" t="n">
        <x:v>0</x:v>
      </x:c>
      <x:c r="Q202" s="47" t="str">
        <x:v>subsystem bench test</x:v>
      </x:c>
      <x:c r="R202" s="47" t="str">
        <x:v>lost part / stored energy / spill</x:v>
      </x:c>
      <x:c r="S202" s="47" t="str"/>
      <x:c r="T202" s="47" t="str"/>
      <x:c r="U202" s="47" t="str">
        <x:v>Compressed family/assembly</x:v>
      </x:c>
      <x:c r="V202" s="49"/>
      <x:c r="W202" s="49"/>
    </x:row>
    <x:row r="203">
      <x:c r="A203" s="47" t="str">
        <x:v>A-DRAINAGE</x:v>
      </x:c>
      <x:c r="B203" s="47" t="str">
        <x:v>Shelter drainage network</x:v>
      </x:c>
      <x:c r="C203" s="47" t="str">
        <x:v>Shelter</x:v>
      </x:c>
      <x:c r="D203" s="47" t="str">
        <x:v>Assembly</x:v>
      </x:c>
      <x:c r="E203" s="47" t="str">
        <x:v>H2</x:v>
      </x:c>
      <x:c r="F203" s="47" t="str">
        <x:v>Placeable/deployable assembly</x:v>
      </x:c>
      <x:c r="G203" s="47" t="str">
        <x:v>No</x:v>
      </x:c>
      <x:c r="H203" s="47" t="str">
        <x:v>Make / assemble / qualify</x:v>
      </x:c>
      <x:c r="I203" s="47" t="str">
        <x:v>T-SHOVEL; T-MEASURE</x:v>
      </x:c>
      <x:c r="J203" s="47" t="str">
        <x:v>survey / dig / line / overflow test</x:v>
      </x:c>
      <x:c r="K203" s="47" t="str">
        <x:v>shovel / measure</x:v>
      </x:c>
      <x:c r="L203" s="47" t="str">
        <x:v>site</x:v>
      </x:c>
      <x:c r="M203" s="47" t="str">
        <x:v>hydrology and earthwork</x:v>
      </x:c>
      <x:c r="N203" s="47" t="str">
        <x:v>high</x:v>
      </x:c>
      <x:c r="O203" s="51" t="n">
        <x:v>360</x:v>
      </x:c>
      <x:c r="P203" s="51" t="n">
        <x:v>0</x:v>
      </x:c>
      <x:c r="Q203" s="47" t="str">
        <x:v>design-rain flow test</x:v>
      </x:c>
      <x:c r="R203" s="47" t="str">
        <x:v>scour / foundation saturation</x:v>
      </x:c>
      <x:c r="S203" s="47" t="str"/>
      <x:c r="T203" s="47" t="str"/>
      <x:c r="U203" s="47" t="str">
        <x:v>Compressed family/assembly</x:v>
      </x:c>
      <x:c r="V203" s="49"/>
      <x:c r="W203" s="49"/>
    </x:row>
    <x:row r="204">
      <x:c r="A204" s="47" t="str">
        <x:v>A-SHUTTERS</x:v>
      </x:c>
      <x:c r="B204" s="47" t="str">
        <x:v>Storm shutters/opening protection</x:v>
      </x:c>
      <x:c r="C204" s="47" t="str">
        <x:v>Shelter</x:v>
      </x:c>
      <x:c r="D204" s="47" t="str">
        <x:v>Assembly</x:v>
      </x:c>
      <x:c r="E204" s="47" t="str">
        <x:v>H3</x:v>
      </x:c>
      <x:c r="F204" s="47" t="str">
        <x:v>Placeable/deployable assembly</x:v>
      </x:c>
      <x:c r="G204" s="47" t="str">
        <x:v>No</x:v>
      </x:c>
      <x:c r="H204" s="47" t="str">
        <x:v>Make / assemble / qualify</x:v>
      </x:c>
      <x:c r="I204" s="47" t="str">
        <x:v>P-PLANK; P-CORD</x:v>
      </x:c>
      <x:c r="J204" s="47" t="str">
        <x:v>frame / hinge / latch / load test</x:v>
      </x:c>
      <x:c r="K204" s="47" t="str">
        <x:v>wood tools</x:v>
      </x:c>
      <x:c r="L204" s="47" t="str">
        <x:v>shelter openings</x:v>
      </x:c>
      <x:c r="M204" s="47" t="str">
        <x:v>load path and egress</x:v>
      </x:c>
      <x:c r="N204" s="47" t="str">
        <x:v>high</x:v>
      </x:c>
      <x:c r="O204" s="51" t="n">
        <x:v>240</x:v>
      </x:c>
      <x:c r="P204" s="51" t="n">
        <x:v>0</x:v>
      </x:c>
      <x:c r="Q204" s="47" t="str">
        <x:v>close/open/load/escape test</x:v>
      </x:c>
      <x:c r="R204" s="47" t="str">
        <x:v>trap / detach / block air</x:v>
      </x:c>
      <x:c r="S204" s="47" t="str"/>
      <x:c r="T204" s="47" t="str"/>
      <x:c r="U204" s="47" t="str">
        <x:v>Compressed family/assembly</x:v>
      </x:c>
      <x:c r="V204" s="49"/>
      <x:c r="W204" s="49"/>
    </x:row>
    <x:row r="205">
      <x:c r="A205" s="47" t="str">
        <x:v>A-VENT</x:v>
      </x:c>
      <x:c r="B205" s="47" t="str">
        <x:v>Controlled ventilation/smoke path</x:v>
      </x:c>
      <x:c r="C205" s="47" t="str">
        <x:v>Shelter</x:v>
      </x:c>
      <x:c r="D205" s="47" t="str">
        <x:v>Endpoint</x:v>
      </x:c>
      <x:c r="E205" s="47" t="str">
        <x:v>H2</x:v>
      </x:c>
      <x:c r="F205" s="47" t="str">
        <x:v>Placeable system/capability</x:v>
      </x:c>
      <x:c r="G205" s="47" t="str">
        <x:v>No</x:v>
      </x:c>
      <x:c r="H205" s="47" t="str">
        <x:v>Make / assemble / qualify</x:v>
      </x:c>
      <x:c r="I205" s="47" t="str">
        <x:v>A-ROOF; P-PLANK</x:v>
      </x:c>
      <x:c r="J205" s="47" t="str">
        <x:v>open / screen / draft / close</x:v>
      </x:c>
      <x:c r="K205" s="47" t="str">
        <x:v>cutting/joining</x:v>
      </x:c>
      <x:c r="L205" s="47" t="str">
        <x:v>shelter</x:v>
      </x:c>
      <x:c r="M205" s="47" t="str">
        <x:v>airflow / smoke / pests</x:v>
      </x:c>
      <x:c r="N205" s="47" t="str">
        <x:v>moderate</x:v>
      </x:c>
      <x:c r="O205" s="51" t="n">
        <x:v>180</x:v>
      </x:c>
      <x:c r="P205" s="51" t="n">
        <x:v>0</x:v>
      </x:c>
      <x:c r="Q205" s="47" t="str">
        <x:v>occupied airflow and rain test</x:v>
      </x:c>
      <x:c r="R205" s="47" t="str">
        <x:v>smoke / rain / pest entry</x:v>
      </x:c>
      <x:c r="S205" s="47" t="str"/>
      <x:c r="T205" s="47" t="str"/>
      <x:c r="U205" s="47" t="str">
        <x:v>Compressed family/assembly</x:v>
      </x:c>
      <x:c r="V205" s="49"/>
      <x:c r="W205" s="49"/>
    </x:row>
    <x:row r="206">
      <x:c r="A206" s="47" t="str">
        <x:v>A-FIRE-SEPARATION</x:v>
      </x:c>
      <x:c r="B206" s="47" t="str">
        <x:v>Hot-work/fire separation</x:v>
      </x:c>
      <x:c r="C206" s="47" t="str">
        <x:v>Shelter</x:v>
      </x:c>
      <x:c r="D206" s="47" t="str">
        <x:v>Endpoint</x:v>
      </x:c>
      <x:c r="E206" s="47" t="str">
        <x:v>H3</x:v>
      </x:c>
      <x:c r="F206" s="47" t="str">
        <x:v>Placeable system/capability</x:v>
      </x:c>
      <x:c r="G206" s="47" t="str">
        <x:v>No</x:v>
      </x:c>
      <x:c r="H206" s="47" t="str">
        <x:v>Make / assemble / qualify</x:v>
      </x:c>
      <x:c r="I206" s="47" t="str">
        <x:v>S-STONE; W-HEARTH</x:v>
      </x:c>
      <x:c r="J206" s="47" t="str">
        <x:v>space / barrier / drainage / egress</x:v>
      </x:c>
      <x:c r="K206" s="47" t="str">
        <x:v>masonry tools</x:v>
      </x:c>
      <x:c r="L206" s="47" t="str">
        <x:v>compound</x:v>
      </x:c>
      <x:c r="M206" s="47" t="str">
        <x:v>fire and fumes</x:v>
      </x:c>
      <x:c r="N206" s="47" t="str">
        <x:v>high</x:v>
      </x:c>
      <x:c r="O206" s="51" t="n">
        <x:v>360</x:v>
      </x:c>
      <x:c r="P206" s="51" t="n">
        <x:v>0</x:v>
      </x:c>
      <x:c r="Q206" s="47" t="str">
        <x:v>ember/heat/escape inspection</x:v>
      </x:c>
      <x:c r="R206" s="47" t="str">
        <x:v>compound fire / fumes</x:v>
      </x:c>
      <x:c r="S206" s="47" t="str"/>
      <x:c r="T206" s="47" t="str"/>
      <x:c r="U206" s="47" t="str">
        <x:v>Compressed family/assembly</x:v>
      </x:c>
      <x:c r="V206" s="49"/>
      <x:c r="W206" s="49"/>
    </x:row>
    <x:row r="207">
      <x:c r="A207" s="47" t="str">
        <x:v>A-SAFE-CELL</x:v>
      </x:c>
      <x:c r="B207" s="47" t="str">
        <x:v>Multi-hazard safe sleeping cell</x:v>
      </x:c>
      <x:c r="C207" s="47" t="str">
        <x:v>Shelter</x:v>
      </x:c>
      <x:c r="D207" s="47" t="str">
        <x:v>Assembly</x:v>
      </x:c>
      <x:c r="E207" s="47" t="str">
        <x:v>H4</x:v>
      </x:c>
      <x:c r="F207" s="47" t="str">
        <x:v>Placeable/deployable assembly</x:v>
      </x:c>
      <x:c r="G207" s="47" t="str">
        <x:v>No</x:v>
      </x:c>
      <x:c r="H207" s="47" t="str">
        <x:v>Make / assemble / qualify</x:v>
      </x:c>
      <x:c r="I207" s="47" t="str">
        <x:v>A-REFUGE; A-SHUTTERS; A-DRAINAGE</x:v>
      </x:c>
      <x:c r="J207" s="47" t="str">
        <x:v>brace / protect / ventilate / exit</x:v>
      </x:c>
      <x:c r="K207" s="47" t="str">
        <x:v>construction tools</x:v>
      </x:c>
      <x:c r="L207" s="47" t="str">
        <x:v>resilient house</x:v>
      </x:c>
      <x:c r="M207" s="47" t="str">
        <x:v>multi-hazard design</x:v>
      </x:c>
      <x:c r="N207" s="47" t="str">
        <x:v>very high</x:v>
      </x:c>
      <x:c r="O207" s="51" t="n">
        <x:v>960</x:v>
      </x:c>
      <x:c r="P207" s="51" t="n">
        <x:v>0</x:v>
      </x:c>
      <x:c r="Q207" s="47" t="str">
        <x:v>rain/wind/egress drill</x:v>
      </x:c>
      <x:c r="R207" s="47" t="str">
        <x:v>false refuge / trapped hazard</x:v>
      </x:c>
      <x:c r="S207" s="47" t="str"/>
      <x:c r="T207" s="47" t="str"/>
      <x:c r="U207" s="47" t="str">
        <x:v>Governed node; variants not separated</x:v>
      </x:c>
      <x:c r="V207" s="49"/>
      <x:c r="W207" s="49"/>
    </x:row>
    <x:row r="208">
      <x:c r="A208" s="47" t="str">
        <x:v>A-STORM-STORE</x:v>
      </x:c>
      <x:c r="B208" s="47" t="str">
        <x:v>Protected storm reserve</x:v>
      </x:c>
      <x:c r="C208" s="47" t="str">
        <x:v>Shelter</x:v>
      </x:c>
      <x:c r="D208" s="47" t="str">
        <x:v>Endpoint</x:v>
      </x:c>
      <x:c r="E208" s="47" t="str">
        <x:v>H4</x:v>
      </x:c>
      <x:c r="F208" s="47" t="str">
        <x:v>Placeable system/capability</x:v>
      </x:c>
      <x:c r="G208" s="47" t="str">
        <x:v>No</x:v>
      </x:c>
      <x:c r="H208" s="47" t="str">
        <x:v>Make / assemble / qualify</x:v>
      </x:c>
      <x:c r="I208" s="47" t="str">
        <x:v>A-COVERED-STORE; A-SAFE-CELL</x:v>
      </x:c>
      <x:c r="J208" s="47" t="str">
        <x:v>stock / isolate / rotate / access</x:v>
      </x:c>
      <x:c r="K208" s="47" t="str">
        <x:v>storage and labels</x:v>
      </x:c>
      <x:c r="L208" s="47" t="str">
        <x:v>safe cell/cache</x:v>
      </x:c>
      <x:c r="M208" s="47" t="str">
        <x:v>provisioning and redundancy</x:v>
      </x:c>
      <x:c r="N208" s="47" t="str">
        <x:v>moderate</x:v>
      </x:c>
      <x:c r="O208" s="51" t="n">
        <x:v>180</x:v>
      </x:c>
      <x:c r="P208" s="51" t="n">
        <x:v>0</x:v>
      </x:c>
      <x:c r="Q208" s="47" t="str">
        <x:v>access after simulated service loss</x:v>
      </x:c>
      <x:c r="R208" s="47" t="str">
        <x:v>single-point loss / spoilage</x:v>
      </x:c>
      <x:c r="S208" s="47" t="str"/>
      <x:c r="T208" s="47" t="str"/>
      <x:c r="U208" s="47" t="str">
        <x:v>Governed node; variants not separated</x:v>
      </x:c>
      <x:c r="V208" s="49"/>
      <x:c r="W208" s="49"/>
    </x:row>
    <x:row r="209">
      <x:c r="A209" s="47" t="str">
        <x:v>A-FORAGE-MAP</x:v>
      </x:c>
      <x:c r="B209" s="47" t="str">
        <x:v>Seasonal forage and habitat map</x:v>
      </x:c>
      <x:c r="C209" s="47" t="str">
        <x:v>Nature</x:v>
      </x:c>
      <x:c r="D209" s="47" t="str">
        <x:v>Endpoint</x:v>
      </x:c>
      <x:c r="E209" s="47" t="str">
        <x:v>H1</x:v>
      </x:c>
      <x:c r="F209" s="47" t="str">
        <x:v>Placeable system/capability</x:v>
      </x:c>
      <x:c r="G209" s="47" t="str">
        <x:v>No</x:v>
      </x:c>
      <x:c r="H209" s="47" t="str">
        <x:v>Make / assemble / qualify</x:v>
      </x:c>
      <x:c r="I209" s="47" t="str">
        <x:v>S-FOOD; W-ARCHIVE</x:v>
      </x:c>
      <x:c r="J209" s="47" t="str">
        <x:v>observe / identify / record / revisit</x:v>
      </x:c>
      <x:c r="K209" s="47" t="str">
        <x:v>journal</x:v>
      </x:c>
      <x:c r="L209" s="47" t="str">
        <x:v>field/archive</x:v>
      </x:c>
      <x:c r="M209" s="47" t="str">
        <x:v>plant/animal/weather evidence</x:v>
      </x:c>
      <x:c r="N209" s="47" t="str">
        <x:v>moderate</x:v>
      </x:c>
      <x:c r="O209" s="51" t="n">
        <x:v>120</x:v>
      </x:c>
      <x:c r="P209" s="51" t="n">
        <x:v>0</x:v>
      </x:c>
      <x:c r="Q209" s="47" t="str">
        <x:v>prediction confirmed across visits</x:v>
      </x:c>
      <x:c r="R209" s="47" t="str">
        <x:v>misidentification / overharvest</x:v>
      </x:c>
      <x:c r="S209" s="47" t="str"/>
      <x:c r="T209" s="47" t="str"/>
      <x:c r="U209" s="47" t="str">
        <x:v>Governed node; variants not separated</x:v>
      </x:c>
      <x:c r="V209" s="49"/>
      <x:c r="W209" s="49"/>
    </x:row>
    <x:row r="210">
      <x:c r="A210" s="47" t="str">
        <x:v>T-HOE</x:v>
      </x:c>
      <x:c r="B210" s="47" t="str">
        <x:v>Hoe/cultivation tool</x:v>
      </x:c>
      <x:c r="C210" s="47" t="str">
        <x:v>Tools</x:v>
      </x:c>
      <x:c r="D210" s="47" t="str">
        <x:v>Tool</x:v>
      </x:c>
      <x:c r="E210" s="47" t="str">
        <x:v>H1</x:v>
      </x:c>
      <x:c r="F210" s="47" t="str">
        <x:v>Carryable tool/equipment</x:v>
      </x:c>
      <x:c r="G210" s="47" t="str">
        <x:v>Yes</x:v>
      </x:c>
      <x:c r="H210" s="47" t="str">
        <x:v>Make / assemble / qualify</x:v>
      </x:c>
      <x:c r="I210" s="47" t="str">
        <x:v>T-DIG; P-STRAIGHT-POLE</x:v>
      </x:c>
      <x:c r="J210" s="47" t="str">
        <x:v>shape / haft / test</x:v>
      </x:c>
      <x:c r="K210" s="47" t="str">
        <x:v>cutter / mallet</x:v>
      </x:c>
      <x:c r="L210" s="47" t="str">
        <x:v>bench</x:v>
      </x:c>
      <x:c r="M210" s="47" t="str">
        <x:v>soil and tool geometry</x:v>
      </x:c>
      <x:c r="N210" s="47" t="str">
        <x:v>moderate</x:v>
      </x:c>
      <x:c r="O210" s="51" t="n">
        <x:v>90</x:v>
      </x:c>
      <x:c r="P210" s="51" t="n">
        <x:v>0</x:v>
      </x:c>
      <x:c r="Q210" s="47" t="str">
        <x:v>soil work without head shift</x:v>
      </x:c>
      <x:c r="R210" s="47" t="str">
        <x:v>split / strain / soil damage</x:v>
      </x:c>
      <x:c r="S210" s="47" t="str"/>
      <x:c r="T210" s="47" t="str"/>
      <x:c r="U210" s="47" t="str">
        <x:v>Compressed family/assembly</x:v>
      </x:c>
      <x:c r="V210" s="49"/>
      <x:c r="W210" s="49"/>
    </x:row>
    <x:row r="211">
      <x:c r="A211" s="47" t="str">
        <x:v>A-NURSERY</x:v>
      </x:c>
      <x:c r="B211" s="47" t="str">
        <x:v>Protected nursery and seed trial</x:v>
      </x:c>
      <x:c r="C211" s="47" t="str">
        <x:v>Nature</x:v>
      </x:c>
      <x:c r="D211" s="47" t="str">
        <x:v>Endpoint</x:v>
      </x:c>
      <x:c r="E211" s="47" t="str">
        <x:v>H2</x:v>
      </x:c>
      <x:c r="F211" s="47" t="str">
        <x:v>Placeable system/capability</x:v>
      </x:c>
      <x:c r="G211" s="47" t="str">
        <x:v>No</x:v>
      </x:c>
      <x:c r="H211" s="47" t="str">
        <x:v>Make / assemble / qualify</x:v>
      </x:c>
      <x:c r="I211" s="47" t="str">
        <x:v>P-SEED-LOT; T-HOE</x:v>
      </x:c>
      <x:c r="J211" s="47" t="str">
        <x:v>germinate / harden / record</x:v>
      </x:c>
      <x:c r="K211" s="47" t="str">
        <x:v>hoe / containers</x:v>
      </x:c>
      <x:c r="L211" s="47" t="str">
        <x:v>protected garden</x:v>
      </x:c>
      <x:c r="M211" s="47" t="str">
        <x:v>seed and plant care</x:v>
      </x:c>
      <x:c r="N211" s="47" t="str">
        <x:v>moderate</x:v>
      </x:c>
      <x:c r="O211" s="51" t="n">
        <x:v>120</x:v>
      </x:c>
      <x:c r="P211" s="51" t="n">
        <x:v>2880</x:v>
      </x:c>
      <x:c r="Q211" s="47" t="str">
        <x:v>viable transplant/seed retention</x:v>
      </x:c>
      <x:c r="R211" s="47" t="str">
        <x:v>rot / dry / disease</x:v>
      </x:c>
      <x:c r="S211" s="47" t="str"/>
      <x:c r="T211" s="47" t="str"/>
      <x:c r="U211" s="47" t="str">
        <x:v>Governed node; variants not separated</x:v>
      </x:c>
      <x:c r="V211" s="49"/>
      <x:c r="W211" s="49"/>
    </x:row>
    <x:row r="212">
      <x:c r="A212" s="47" t="str">
        <x:v>A-IRRIGATION</x:v>
      </x:c>
      <x:c r="B212" s="47" t="str">
        <x:v>Controlled irrigation network</x:v>
      </x:c>
      <x:c r="C212" s="47" t="str">
        <x:v>Water</x:v>
      </x:c>
      <x:c r="D212" s="47" t="str">
        <x:v>Endpoint</x:v>
      </x:c>
      <x:c r="E212" s="47" t="str">
        <x:v>H3</x:v>
      </x:c>
      <x:c r="F212" s="47" t="str">
        <x:v>Placeable system/capability</x:v>
      </x:c>
      <x:c r="G212" s="47" t="str">
        <x:v>No</x:v>
      </x:c>
      <x:c r="H212" s="47" t="str">
        <x:v>Make / assemble / qualify</x:v>
      </x:c>
      <x:c r="I212" s="47" t="str">
        <x:v>A-CISTERN; A-PIPE</x:v>
      </x:c>
      <x:c r="J212" s="47" t="str">
        <x:v>store / distribute / shut off / drain</x:v>
      </x:c>
      <x:c r="K212" s="47" t="str">
        <x:v>pipe / valve</x:v>
      </x:c>
      <x:c r="L212" s="47" t="str">
        <x:v>garden</x:v>
      </x:c>
      <x:c r="M212" s="47" t="str">
        <x:v>water and soil</x:v>
      </x:c>
      <x:c r="N212" s="47" t="str">
        <x:v>moderate</x:v>
      </x:c>
      <x:c r="O212" s="51" t="n">
        <x:v>360</x:v>
      </x:c>
      <x:c r="P212" s="51" t="n">
        <x:v>0</x:v>
      </x:c>
      <x:c r="Q212" s="47" t="str">
        <x:v>uniform flow and leak reserve</x:v>
      </x:c>
      <x:c r="R212" s="47" t="str">
        <x:v>empty cistern / waterlog / contaminate</x:v>
      </x:c>
      <x:c r="S212" s="47" t="str"/>
      <x:c r="T212" s="47" t="str"/>
      <x:c r="U212" s="47" t="str">
        <x:v>Compressed family/assembly</x:v>
      </x:c>
      <x:c r="V212" s="49"/>
      <x:c r="W212" s="49"/>
    </x:row>
    <x:row r="213">
      <x:c r="A213" s="47" t="str">
        <x:v>A-ANIMAL-ENC</x:v>
      </x:c>
      <x:c r="B213" s="47" t="str">
        <x:v>Species-appropriate animal enclosure</x:v>
      </x:c>
      <x:c r="C213" s="47" t="str">
        <x:v>Nature</x:v>
      </x:c>
      <x:c r="D213" s="47" t="str">
        <x:v>Assembly</x:v>
      </x:c>
      <x:c r="E213" s="47" t="str">
        <x:v>H3</x:v>
      </x:c>
      <x:c r="F213" s="47" t="str">
        <x:v>Placeable/deployable assembly</x:v>
      </x:c>
      <x:c r="G213" s="47" t="str">
        <x:v>No</x:v>
      </x:c>
      <x:c r="H213" s="47" t="str">
        <x:v>Make / assemble / qualify</x:v>
      </x:c>
      <x:c r="I213" s="47" t="str">
        <x:v>P-STRAIGHT-POLE; P-CORD</x:v>
      </x:c>
      <x:c r="J213" s="47" t="str">
        <x:v>exclude / shelter / handle / clean</x:v>
      </x:c>
      <x:c r="K213" s="47" t="str">
        <x:v>construction/fiber tools</x:v>
      </x:c>
      <x:c r="L213" s="47" t="str">
        <x:v>homestead edge</x:v>
      </x:c>
      <x:c r="M213" s="47" t="str">
        <x:v>behavior and welfare</x:v>
      </x:c>
      <x:c r="N213" s="47" t="str">
        <x:v>high</x:v>
      </x:c>
      <x:c r="O213" s="51" t="n">
        <x:v>480</x:v>
      </x:c>
      <x:c r="P213" s="51" t="n">
        <x:v>0</x:v>
      </x:c>
      <x:c r="Q213" s="47" t="str">
        <x:v>escape/predator/weather/cleaning test</x:v>
      </x:c>
      <x:c r="R213" s="47" t="str">
        <x:v>injury / escape / disease</x:v>
      </x:c>
      <x:c r="S213" s="47" t="str"/>
      <x:c r="T213" s="47" t="str"/>
      <x:c r="U213" s="47" t="str">
        <x:v>Governed node; variants not separated</x:v>
      </x:c>
      <x:c r="V213" s="49"/>
      <x:c r="W213" s="49"/>
    </x:row>
    <x:row r="214">
      <x:c r="A214" s="47" t="str">
        <x:v>A-HUSBANDRY</x:v>
      </x:c>
      <x:c r="B214" s="47" t="str">
        <x:v>Sustainable husbandry system</x:v>
      </x:c>
      <x:c r="C214" s="47" t="str">
        <x:v>Nature</x:v>
      </x:c>
      <x:c r="D214" s="47" t="str">
        <x:v>Endpoint</x:v>
      </x:c>
      <x:c r="E214" s="47" t="str">
        <x:v>H4</x:v>
      </x:c>
      <x:c r="F214" s="47" t="str">
        <x:v>Placeable system/capability</x:v>
      </x:c>
      <x:c r="G214" s="47" t="str">
        <x:v>No</x:v>
      </x:c>
      <x:c r="H214" s="47" t="str">
        <x:v>Make / assemble / qualify</x:v>
      </x:c>
      <x:c r="I214" s="47" t="str">
        <x:v>S-ANIMAL; S-FODDER; A-ANIMAL-ENC</x:v>
      </x:c>
      <x:c r="J214" s="47" t="str">
        <x:v>feed / water / health / breed / record</x:v>
      </x:c>
      <x:c r="K214" s="47" t="str">
        <x:v>handling and clean tools</x:v>
      </x:c>
      <x:c r="L214" s="47" t="str">
        <x:v>enclosure + feed store</x:v>
      </x:c>
      <x:c r="M214" s="47" t="str">
        <x:v>animal care and population</x:v>
      </x:c>
      <x:c r="N214" s="47" t="str">
        <x:v>moderate daily</x:v>
      </x:c>
      <x:c r="O214" s="51" t="n">
        <x:v>60</x:v>
      </x:c>
      <x:c r="P214" s="51" t="n">
        <x:v>1440</x:v>
      </x:c>
      <x:c r="Q214" s="47" t="str">
        <x:v>health, welfare and feed continuity</x:v>
      </x:c>
      <x:c r="R214" s="47" t="str">
        <x:v>disease / starvation / ecological harm</x:v>
      </x:c>
      <x:c r="S214" s="47" t="str"/>
      <x:c r="T214" s="47" t="str"/>
      <x:c r="U214" s="47" t="str">
        <x:v>Compressed family/assembly</x:v>
      </x:c>
      <x:c r="V214" s="49"/>
      <x:c r="W214" s="49"/>
    </x:row>
    <x:row r="215">
      <x:c r="A215" s="47" t="str">
        <x:v>A-WELL</x:v>
      </x:c>
      <x:c r="B215" s="47" t="str">
        <x:v>Protected dug well and lift</x:v>
      </x:c>
      <x:c r="C215" s="47" t="str">
        <x:v>Water</x:v>
      </x:c>
      <x:c r="D215" s="47" t="str">
        <x:v>Endpoint</x:v>
      </x:c>
      <x:c r="E215" s="47" t="str">
        <x:v>H4</x:v>
      </x:c>
      <x:c r="F215" s="47" t="str">
        <x:v>Placeable system/capability</x:v>
      </x:c>
      <x:c r="G215" s="47" t="str">
        <x:v>No</x:v>
      </x:c>
      <x:c r="H215" s="47" t="str">
        <x:v>Make / assemble / qualify</x:v>
      </x:c>
      <x:c r="I215" s="47" t="str">
        <x:v>T-SHOVEL; A-PUMP; A-DRAINAGE</x:v>
      </x:c>
      <x:c r="J215" s="47" t="str">
        <x:v>survey / excavate / line / protect / test</x:v>
      </x:c>
      <x:c r="K215" s="47" t="str">
        <x:v>shovel / pump</x:v>
      </x:c>
      <x:c r="L215" s="47" t="str">
        <x:v>safe groundwater site</x:v>
      </x:c>
      <x:c r="M215" s="47" t="str">
        <x:v>geology / sanitation / shoring</x:v>
      </x:c>
      <x:c r="N215" s="47" t="str">
        <x:v>very high</x:v>
      </x:c>
      <x:c r="O215" s="51" t="n">
        <x:v>1440</x:v>
      </x:c>
      <x:c r="P215" s="51" t="n">
        <x:v>0</x:v>
      </x:c>
      <x:c r="Q215" s="47" t="str">
        <x:v>seasonal yield and repeated safety evidence</x:v>
      </x:c>
      <x:c r="R215" s="47" t="str">
        <x:v>collapse / salt / contamination</x:v>
      </x:c>
      <x:c r="S215" s="47" t="str"/>
      <x:c r="T215" s="47" t="str"/>
      <x:c r="U215" s="47" t="str">
        <x:v>Governed node; variants not separated</x:v>
      </x:c>
      <x:c r="V215" s="49"/>
      <x:c r="W215" s="49"/>
    </x:row>
    <x:row r="216">
      <x:c r="A216" s="47" t="str">
        <x:v>A-FOG-COLLECTOR</x:v>
      </x:c>
      <x:c r="B216" s="47" t="str">
        <x:v>Fog mesh and clean storage</x:v>
      </x:c>
      <x:c r="C216" s="47" t="str">
        <x:v>Water</x:v>
      </x:c>
      <x:c r="D216" s="47" t="str">
        <x:v>Endpoint</x:v>
      </x:c>
      <x:c r="E216" s="47" t="str">
        <x:v>H3</x:v>
      </x:c>
      <x:c r="F216" s="47" t="str">
        <x:v>Placeable system/capability</x:v>
      </x:c>
      <x:c r="G216" s="47" t="str">
        <x:v>No</x:v>
      </x:c>
      <x:c r="H216" s="47" t="str">
        <x:v>Make / assemble / qualify</x:v>
      </x:c>
      <x:c r="I216" s="47" t="str">
        <x:v>S-FOG; A-NET; A-CISTERN</x:v>
      </x:c>
      <x:c r="J216" s="47" t="str">
        <x:v>site / tension / drain / store</x:v>
      </x:c>
      <x:c r="K216" s="47" t="str">
        <x:v>net / frame</x:v>
      </x:c>
      <x:c r="L216" s="47" t="str">
        <x:v>fog-exposed site</x:v>
      </x:c>
      <x:c r="M216" s="47" t="str">
        <x:v>weather and water hygiene</x:v>
      </x:c>
      <x:c r="N216" s="47" t="str">
        <x:v>high</x:v>
      </x:c>
      <x:c r="O216" s="51" t="n">
        <x:v>360</x:v>
      </x:c>
      <x:c r="P216" s="51" t="n">
        <x:v>480</x:v>
      </x:c>
      <x:c r="Q216" s="47" t="str">
        <x:v>repeatable yield and clean lot</x:v>
      </x:c>
      <x:c r="R216" s="47" t="str">
        <x:v>no yield / dirty mesh / wind damage</x:v>
      </x:c>
      <x:c r="S216" s="47" t="str"/>
      <x:c r="T216" s="47" t="str"/>
      <x:c r="U216" s="47" t="str">
        <x:v>Governed node; variants not separated</x:v>
      </x:c>
      <x:c r="V216" s="49"/>
      <x:c r="W216" s="49"/>
    </x:row>
    <x:row r="217">
      <x:c r="A217" s="47" t="str">
        <x:v>T-BOW</x:v>
      </x:c>
      <x:c r="B217" s="47" t="str">
        <x:v>Tillering-tested bow</x:v>
      </x:c>
      <x:c r="C217" s="47" t="str">
        <x:v>Weapons</x:v>
      </x:c>
      <x:c r="D217" s="47" t="str">
        <x:v>Endpoint</x:v>
      </x:c>
      <x:c r="E217" s="47" t="str">
        <x:v>H3</x:v>
      </x:c>
      <x:c r="F217" s="47" t="str">
        <x:v>Carryable weapon</x:v>
      </x:c>
      <x:c r="G217" s="47" t="str">
        <x:v>Yes</x:v>
      </x:c>
      <x:c r="H217" s="47" t="str">
        <x:v>Make / assemble / qualify</x:v>
      </x:c>
      <x:c r="I217" s="47" t="str">
        <x:v>P-STRAIGHT-POLE; A-BOWSTRING</x:v>
      </x:c>
      <x:c r="J217" s="47" t="str">
        <x:v>season / shape / tiller / proof</x:v>
      </x:c>
      <x:c r="K217" s="47" t="str">
        <x:v>knife / measure / string</x:v>
      </x:c>
      <x:c r="L217" s="47" t="str">
        <x:v>bench/range</x:v>
      </x:c>
      <x:c r="M217" s="47" t="str">
        <x:v>wood tension and archery</x:v>
      </x:c>
      <x:c r="N217" s="47" t="str">
        <x:v>moderate</x:v>
      </x:c>
      <x:c r="O217" s="51" t="n">
        <x:v>360</x:v>
      </x:c>
      <x:c r="P217" s="51" t="n">
        <x:v>1440</x:v>
      </x:c>
      <x:c r="Q217" s="47" t="str">
        <x:v>progressive draw and grouping</x:v>
      </x:c>
      <x:c r="R217" s="47" t="str">
        <x:v>limb/string failure</x:v>
      </x:c>
      <x:c r="S217" s="47" t="str">
        <x:v>Weapon family</x:v>
      </x:c>
      <x:c r="T217" s="47" t="str"/>
      <x:c r="U217" s="47" t="str">
        <x:v>Governed node; variants not separated</x:v>
      </x:c>
      <x:c r="V217" s="49"/>
      <x:c r="W217" s="49"/>
    </x:row>
    <x:row r="218">
      <x:c r="A218" s="47" t="str">
        <x:v>T-ARROW</x:v>
      </x:c>
      <x:c r="B218" s="47" t="str">
        <x:v>Matched arrow set</x:v>
      </x:c>
      <x:c r="C218" s="47" t="str">
        <x:v>Weapons</x:v>
      </x:c>
      <x:c r="D218" s="47" t="str">
        <x:v>Endpoint</x:v>
      </x:c>
      <x:c r="E218" s="47" t="str">
        <x:v>H3</x:v>
      </x:c>
      <x:c r="F218" s="47" t="str">
        <x:v>Carryable ammunition set</x:v>
      </x:c>
      <x:c r="G218" s="47" t="str">
        <x:v>Yes</x:v>
      </x:c>
      <x:c r="H218" s="47" t="str">
        <x:v>Make / assemble / qualify</x:v>
      </x:c>
      <x:c r="I218" s="47" t="str">
        <x:v>P-STRAIGHT-POLE; P-SHARP-EDGE</x:v>
      </x:c>
      <x:c r="J218" s="47" t="str">
        <x:v>straighten / point / fletch / match</x:v>
      </x:c>
      <x:c r="K218" s="47" t="str">
        <x:v>knife / measure</x:v>
      </x:c>
      <x:c r="L218" s="47" t="str">
        <x:v>bench</x:v>
      </x:c>
      <x:c r="M218" s="47" t="str">
        <x:v>shaft/point/aerodynamics</x:v>
      </x:c>
      <x:c r="N218" s="47" t="str">
        <x:v>light</x:v>
      </x:c>
      <x:c r="O218" s="51" t="n">
        <x:v>120</x:v>
      </x:c>
      <x:c r="P218" s="51" t="n">
        <x:v>0</x:v>
      </x:c>
      <x:c r="Q218" s="47" t="str">
        <x:v>straightness / mass / flight grouping</x:v>
      </x:c>
      <x:c r="R218" s="47" t="str">
        <x:v>erratic flight / point loss</x:v>
      </x:c>
      <x:c r="S218" s="47" t="str">
        <x:v>Ammunition family</x:v>
      </x:c>
      <x:c r="T218" s="47" t="str"/>
      <x:c r="U218" s="47" t="str">
        <x:v>Compressed family/assembly</x:v>
      </x:c>
      <x:c r="V218" s="49"/>
      <x:c r="W218" s="49"/>
    </x:row>
    <x:row r="219">
      <x:c r="A219" s="47" t="str">
        <x:v>A-SNARE</x:v>
      </x:c>
      <x:c r="B219" s="47" t="str">
        <x:v>Selective checked snare/trap</x:v>
      </x:c>
      <x:c r="C219" s="47" t="str">
        <x:v>Hunting</x:v>
      </x:c>
      <x:c r="D219" s="47" t="str">
        <x:v>Endpoint</x:v>
      </x:c>
      <x:c r="E219" s="47" t="str">
        <x:v>H2</x:v>
      </x:c>
      <x:c r="F219" s="47" t="str">
        <x:v>Deployable hunting device</x:v>
      </x:c>
      <x:c r="G219" s="47" t="str">
        <x:v>No</x:v>
      </x:c>
      <x:c r="H219" s="47" t="str">
        <x:v>Make / assemble / qualify</x:v>
      </x:c>
      <x:c r="I219" s="47" t="str">
        <x:v>P-CORD; P-PEG; A-FORAGE-MAP</x:v>
      </x:c>
      <x:c r="J219" s="47" t="str">
        <x:v>site / set / anchor / monitor</x:v>
      </x:c>
      <x:c r="K219" s="47" t="str">
        <x:v>cord / peg</x:v>
      </x:c>
      <x:c r="L219" s="47" t="str">
        <x:v>habitat</x:v>
      </x:c>
      <x:c r="M219" s="47" t="str">
        <x:v>species / trigger / welfare</x:v>
      </x:c>
      <x:c r="N219" s="47" t="str">
        <x:v>moderate</x:v>
      </x:c>
      <x:c r="O219" s="51" t="n">
        <x:v>45</x:v>
      </x:c>
      <x:c r="P219" s="51" t="n">
        <x:v>240</x:v>
      </x:c>
      <x:c r="Q219" s="47" t="str">
        <x:v>target/anchor/check protocol</x:v>
      </x:c>
      <x:c r="R219" s="47" t="str">
        <x:v>non-target / ghost harm / escape</x:v>
      </x:c>
      <x:c r="S219" s="47" t="str">
        <x:v>Hunting trap/device</x:v>
      </x:c>
      <x:c r="T219" s="47" t="str"/>
      <x:c r="U219" s="47" t="str">
        <x:v>Compressed family/assembly</x:v>
      </x:c>
      <x:c r="V219" s="49"/>
      <x:c r="W219" s="49"/>
    </x:row>
    <x:row r="220">
      <x:c r="A220" s="47" t="str">
        <x:v>T-SNORKEL-KIT</x:v>
      </x:c>
      <x:c r="B220" s="47" t="str">
        <x:v>Qualified mask/snorkel/fin kit</x:v>
      </x:c>
      <x:c r="C220" s="47" t="str">
        <x:v>Diving</x:v>
      </x:c>
      <x:c r="D220" s="47" t="str">
        <x:v>Tool</x:v>
      </x:c>
      <x:c r="E220" s="47" t="str">
        <x:v>H2</x:v>
      </x:c>
      <x:c r="F220" s="47" t="str">
        <x:v>Carryable tool/equipment</x:v>
      </x:c>
      <x:c r="G220" s="47" t="str">
        <x:v>Yes</x:v>
      </x:c>
      <x:c r="H220" s="47" t="str">
        <x:v>Recover / repair / qualify</x:v>
      </x:c>
      <x:c r="I220" s="47" t="str">
        <x:v>S-GLASS; S-RUBBER</x:v>
      </x:c>
      <x:c r="J220" s="47" t="str">
        <x:v>inspect / repair / fit / test</x:v>
      </x:c>
      <x:c r="K220" s="47" t="str">
        <x:v>seals / straps</x:v>
      </x:c>
      <x:c r="L220" s="47" t="str">
        <x:v>clean marine bench</x:v>
      </x:c>
      <x:c r="M220" s="47" t="str">
        <x:v>equipment and fit</x:v>
      </x:c>
      <x:c r="N220" s="47" t="str">
        <x:v>light</x:v>
      </x:c>
      <x:c r="O220" s="51" t="n">
        <x:v>60</x:v>
      </x:c>
      <x:c r="P220" s="51" t="n">
        <x:v>0</x:v>
      </x:c>
      <x:c r="Q220" s="47" t="str">
        <x:v>shallow leak/fit/clear test</x:v>
      </x:c>
      <x:c r="R220" s="47" t="str">
        <x:v>flood / strap / false confidence</x:v>
      </x:c>
      <x:c r="S220" s="47" t="str"/>
      <x:c r="T220" s="47" t="str"/>
      <x:c r="U220" s="47" t="str">
        <x:v>Compressed family/assembly</x:v>
      </x:c>
      <x:c r="V220" s="49"/>
      <x:c r="W220" s="49"/>
    </x:row>
    <x:row r="221">
      <x:c r="A221" s="47" t="str">
        <x:v>A-SNORKEL-SURVEY</x:v>
      </x:c>
      <x:c r="B221" s="47" t="str">
        <x:v>Snorkel survey capability</x:v>
      </x:c>
      <x:c r="C221" s="47" t="str">
        <x:v>Diving</x:v>
      </x:c>
      <x:c r="D221" s="47" t="str">
        <x:v>Endpoint</x:v>
      </x:c>
      <x:c r="E221" s="47" t="str">
        <x:v>H2</x:v>
      </x:c>
      <x:c r="F221" s="47" t="str">
        <x:v>Placeable system/capability</x:v>
      </x:c>
      <x:c r="G221" s="47" t="str">
        <x:v>No</x:v>
      </x:c>
      <x:c r="H221" s="47" t="str">
        <x:v>Make / assemble / qualify</x:v>
      </x:c>
      <x:c r="I221" s="47" t="str">
        <x:v>T-SNORKEL-KIT; A-DIVE</x:v>
      </x:c>
      <x:c r="J221" s="47" t="str">
        <x:v>route / observe / mark / exit</x:v>
      </x:c>
      <x:c r="K221" s="47" t="str">
        <x:v>snorkel kit / float</x:v>
      </x:c>
      <x:c r="L221" s="47" t="str">
        <x:v>lagoon</x:v>
      </x:c>
      <x:c r="M221" s="47" t="str">
        <x:v>swim / marine observation</x:v>
      </x:c>
      <x:c r="N221" s="47" t="str">
        <x:v>high</x:v>
      </x:c>
      <x:c r="O221" s="51" t="n">
        <x:v>60</x:v>
      </x:c>
      <x:c r="P221" s="51" t="n">
        <x:v>0</x:v>
      </x:c>
      <x:c r="Q221" s="47" t="str">
        <x:v>same-route reserve and map</x:v>
      </x:c>
      <x:c r="R221" s="47" t="str">
        <x:v>current / sun / fixation</x:v>
      </x:c>
      <x:c r="S221" s="47" t="str"/>
      <x:c r="T221" s="47" t="str"/>
      <x:c r="U221" s="47" t="str">
        <x:v>Compressed family/assembly</x:v>
      </x:c>
      <x:c r="V221" s="49"/>
      <x:c r="W221" s="49"/>
    </x:row>
    <x:row r="222">
      <x:c r="A222" s="47" t="str">
        <x:v>A-DIVE-LINE</x:v>
      </x:c>
      <x:c r="B222" s="47" t="str">
        <x:v>Tended shallow-dive line system</x:v>
      </x:c>
      <x:c r="C222" s="47" t="str">
        <x:v>Diving</x:v>
      </x:c>
      <x:c r="D222" s="47" t="str">
        <x:v>Endpoint</x:v>
      </x:c>
      <x:c r="E222" s="47" t="str">
        <x:v>H3</x:v>
      </x:c>
      <x:c r="F222" s="47" t="str">
        <x:v>Placeable system/capability</x:v>
      </x:c>
      <x:c r="G222" s="47" t="str">
        <x:v>No</x:v>
      </x:c>
      <x:c r="H222" s="47" t="str">
        <x:v>Recover / repair / qualify</x:v>
      </x:c>
      <x:c r="I222" s="47" t="str">
        <x:v>P-ROPE; A-FLOAT</x:v>
      </x:c>
      <x:c r="J222" s="47" t="str">
        <x:v>anchor / tend / signal / recover</x:v>
      </x:c>
      <x:c r="K222" s="47" t="str">
        <x:v>rated rope / float</x:v>
      </x:c>
      <x:c r="L222" s="47" t="str">
        <x:v>shore/boat</x:v>
      </x:c>
      <x:c r="M222" s="47" t="str">
        <x:v>line and rescue discipline</x:v>
      </x:c>
      <x:c r="N222" s="47" t="str">
        <x:v>high</x:v>
      </x:c>
      <x:c r="O222" s="51" t="n">
        <x:v>90</x:v>
      </x:c>
      <x:c r="P222" s="51" t="n">
        <x:v>0</x:v>
      </x:c>
      <x:c r="Q222" s="47" t="str">
        <x:v>signal/recovery/entanglement drill</x:v>
      </x:c>
      <x:c r="R222" s="47" t="str">
        <x:v>snag / false security</x:v>
      </x:c>
      <x:c r="S222" s="47" t="str"/>
      <x:c r="T222" s="47" t="str"/>
      <x:c r="U222" s="47" t="str">
        <x:v>Compressed family/assembly</x:v>
      </x:c>
      <x:c r="V222" s="49"/>
      <x:c r="W222" s="49"/>
    </x:row>
    <x:row r="223">
      <x:c r="A223" s="47" t="str">
        <x:v>A-PUMP-DRAIN</x:v>
      </x:c>
      <x:c r="B223" s="47" t="str">
        <x:v>Pump/drain/reposition marine operation</x:v>
      </x:c>
      <x:c r="C223" s="47" t="str">
        <x:v>Diving</x:v>
      </x:c>
      <x:c r="D223" s="47" t="str">
        <x:v>Endpoint</x:v>
      </x:c>
      <x:c r="E223" s="47" t="str">
        <x:v>H4</x:v>
      </x:c>
      <x:c r="F223" s="47" t="str">
        <x:v>Placeable system/capability</x:v>
      </x:c>
      <x:c r="G223" s="47" t="str">
        <x:v>No</x:v>
      </x:c>
      <x:c r="H223" s="47" t="str">
        <x:v>Make / assemble / qualify</x:v>
      </x:c>
      <x:c r="I223" s="47" t="str">
        <x:v>A-PUMP; A-PIPE</x:v>
      </x:c>
      <x:c r="J223" s="47" t="str">
        <x:v>seal / pump / monitor / stabilize</x:v>
      </x:c>
      <x:c r="K223" s="47" t="str">
        <x:v>pump / pipe</x:v>
      </x:c>
      <x:c r="L223" s="47" t="str">
        <x:v>wreck/boatyard</x:v>
      </x:c>
      <x:c r="M223" s="47" t="str">
        <x:v>hydraulics and stability</x:v>
      </x:c>
      <x:c r="N223" s="47" t="str">
        <x:v>high</x:v>
      </x:c>
      <x:c r="O223" s="51" t="n">
        <x:v>240</x:v>
      </x:c>
      <x:c r="P223" s="51" t="n">
        <x:v>0</x:v>
      </x:c>
      <x:c r="Q223" s="47" t="str">
        <x:v>stable water level and safe stop</x:v>
      </x:c>
      <x:c r="R223" s="47" t="str">
        <x:v>shift / flood / contamination</x:v>
      </x:c>
      <x:c r="S223" s="47" t="str"/>
      <x:c r="T223" s="47" t="str"/>
      <x:c r="U223" s="47" t="str">
        <x:v>Compressed family/assembly</x:v>
      </x:c>
      <x:c r="V223" s="49"/>
      <x:c r="W223" s="49"/>
    </x:row>
    <x:row r="224">
      <x:c r="A224" s="47" t="str">
        <x:v>A-REMOTE-SURVEY</x:v>
      </x:c>
      <x:c r="B224" s="47" t="str">
        <x:v>Remote camera/sonar survey</x:v>
      </x:c>
      <x:c r="C224" s="47" t="str">
        <x:v>Diving</x:v>
      </x:c>
      <x:c r="D224" s="47" t="str">
        <x:v>Endpoint</x:v>
      </x:c>
      <x:c r="E224" s="47" t="str">
        <x:v>H5</x:v>
      </x:c>
      <x:c r="F224" s="47" t="str">
        <x:v>Placeable system/capability</x:v>
      </x:c>
      <x:c r="G224" s="47" t="str">
        <x:v>No</x:v>
      </x:c>
      <x:c r="H224" s="47" t="str">
        <x:v>Make / assemble / qualify</x:v>
      </x:c>
      <x:c r="I224" s="47" t="str">
        <x:v>A-RECEIVER; A-GRID</x:v>
      </x:c>
      <x:c r="J224" s="47" t="str">
        <x:v>power / lower / navigate / interpret</x:v>
      </x:c>
      <x:c r="K224" s="47" t="str">
        <x:v>camera/receiver/grid</x:v>
      </x:c>
      <x:c r="L224" s="47" t="str">
        <x:v>boat/shore station</x:v>
      </x:c>
      <x:c r="M224" s="47" t="str">
        <x:v>electronics and marine survey</x:v>
      </x:c>
      <x:c r="N224" s="47" t="str">
        <x:v>moderate</x:v>
      </x:c>
      <x:c r="O224" s="51" t="n">
        <x:v>180</x:v>
      </x:c>
      <x:c r="P224" s="51" t="n">
        <x:v>0</x:v>
      </x:c>
      <x:c r="Q224" s="47" t="str">
        <x:v>located target and recoverable record</x:v>
      </x:c>
      <x:c r="R224" s="47" t="str">
        <x:v>cable loss / false reading</x:v>
      </x:c>
      <x:c r="S224" s="47" t="str"/>
      <x:c r="T224" s="47" t="str"/>
      <x:c r="U224" s="47" t="str">
        <x:v>Compressed family/assembly</x:v>
      </x:c>
      <x:c r="V224" s="49"/>
      <x:c r="W224" s="49"/>
    </x:row>
    <x:row r="225">
      <x:c r="A225" s="47" t="str">
        <x:v>A-STEWARDSHIP</x:v>
      </x:c>
      <x:c r="B225" s="47" t="str">
        <x:v>Second-Life stewardship ledger</x:v>
      </x:c>
      <x:c r="C225" s="47" t="str">
        <x:v>Time</x:v>
      </x:c>
      <x:c r="D225" s="47" t="str">
        <x:v>Assembly</x:v>
      </x:c>
      <x:c r="E225" s="47" t="str">
        <x:v>H3</x:v>
      </x:c>
      <x:c r="F225" s="47" t="str">
        <x:v>Placeable/deployable assembly</x:v>
      </x:c>
      <x:c r="G225" s="47" t="str">
        <x:v>No</x:v>
      </x:c>
      <x:c r="H225" s="47" t="str">
        <x:v>Make / assemble / qualify</x:v>
      </x:c>
      <x:c r="I225" s="47" t="str">
        <x:v>W-ARCHIVE; A-WORKING-HOME</x:v>
      </x:c>
      <x:c r="J225" s="47" t="str">
        <x:v>commission / schedule / limit / report</x:v>
      </x:c>
      <x:c r="K225" s="47" t="str">
        <x:v>archive / labels</x:v>
      </x:c>
      <x:c r="L225" s="47" t="str">
        <x:v>working home</x:v>
      </x:c>
      <x:c r="M225" s="47" t="str">
        <x:v>planning and maintenance</x:v>
      </x:c>
      <x:c r="N225" s="47" t="str">
        <x:v>light</x:v>
      </x:c>
      <x:c r="O225" s="51" t="n">
        <x:v>120</x:v>
      </x:c>
      <x:c r="P225" s="51" t="n">
        <x:v>0</x:v>
      </x:c>
      <x:c r="Q225" s="47" t="str">
        <x:v>return report matches physical state</x:v>
      </x:c>
      <x:c r="R225" s="47" t="str">
        <x:v>hidden debt / chore wall</x:v>
      </x:c>
      <x:c r="S225" s="47" t="str"/>
      <x:c r="T225" s="47" t="str"/>
      <x:c r="U225" s="47" t="str">
        <x:v>Governed node; variants not separated</x:v>
      </x:c>
      <x:c r="V225" s="49"/>
      <x:c r="W225" s="49"/>
    </x:row>
    <x:row r="226">
      <x:c r="A226" s="47" t="str">
        <x:v>A-SAFE-ROUTINE</x:v>
      </x:c>
      <x:c r="B226" s="47" t="str">
        <x:v>Offline-safe proven routine</x:v>
      </x:c>
      <x:c r="C226" s="47" t="str">
        <x:v>Time</x:v>
      </x:c>
      <x:c r="D226" s="47" t="str">
        <x:v>Endpoint</x:v>
      </x:c>
      <x:c r="E226" s="47" t="str">
        <x:v>H4</x:v>
      </x:c>
      <x:c r="F226" s="47" t="str">
        <x:v>Placeable system/capability</x:v>
      </x:c>
      <x:c r="G226" s="47" t="str">
        <x:v>No</x:v>
      </x:c>
      <x:c r="H226" s="47" t="str">
        <x:v>Make / assemble / qualify</x:v>
      </x:c>
      <x:c r="I226" s="47" t="str">
        <x:v>A-STEWARDSHIP; A-VALVE</x:v>
      </x:c>
      <x:c r="J226" s="47" t="str">
        <x:v>stage / run / stop / report</x:v>
      </x:c>
      <x:c r="K226" s="47" t="str">
        <x:v>controls / storage</x:v>
      </x:c>
      <x:c r="L226" s="47" t="str">
        <x:v>commissioned system</x:v>
      </x:c>
      <x:c r="M226" s="47" t="str">
        <x:v>automation and fault response</x:v>
      </x:c>
      <x:c r="N226" s="47" t="str">
        <x:v>none while offline</x:v>
      </x:c>
      <x:c r="O226" s="51" t="n">
        <x:v>60</x:v>
      </x:c>
      <x:c r="P226" s="51" t="n">
        <x:v>1440</x:v>
      </x:c>
      <x:c r="Q226" s="47" t="str">
        <x:v>input limit and safe-stop drill</x:v>
      </x:c>
      <x:c r="R226" s="47" t="str">
        <x:v>overrun / hidden hazard</x:v>
      </x:c>
      <x:c r="S226" s="47" t="str"/>
      <x:c r="T226" s="47" t="str"/>
      <x:c r="U226" s="47" t="str">
        <x:v>Governed node; variants not separated</x:v>
      </x:c>
      <x:c r="V226" s="49"/>
      <x:c r="W226" s="49"/>
    </x:row>
  </x:sheetData>
  <x:mergeCells>
    <x:mergeCell ref="A1:W1"/>
    <x:mergeCell ref="A2:W2"/>
  </x:mergeCells>
  <x:dataValidations count="1">
    <x:dataValidation type="list" sqref="V5:V226">
      <x:formula1>"Keep,Rename,Expand family,Split variants,Remove,Needs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f10bcade7f43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32" hidden="0" customWidth="1"/>
    <x:col min="4" max="4" width="14" hidden="0" customWidth="1"/>
    <x:col min="5" max="5" width="14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12" hidden="0" customWidth="1"/>
    <x:col min="11" max="11" width="30" hidden="0" customWidth="1"/>
    <x:col min="12" max="12" width="30" hidden="0" customWidth="1"/>
  </x:cols>
  <x:sheetData>
    <x:row r="1" ht="28" customHeight="1">
      <x:c r="A1" s="3" t="str">
        <x:v>Tool Roster — Exact Current Count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2" customHeight="1">
      <x:c r="A2" s="7" t="str">
        <x:v>32 nodes are classified as Tool. The Domain column shows why the count is broader than hand tools alone; specialist equipment remains visible rather than being silently excluded.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6" t="str">
        <x:v>#</x:v>
      </x:c>
      <x:c r="B4" s="17" t="str">
        <x:v>Node ID</x:v>
      </x:c>
      <x:c r="C4" s="17" t="str">
        <x:v>Name</x:v>
      </x:c>
      <x:c r="D4" s="17" t="str">
        <x:v>Domain</x:v>
      </x:c>
      <x:c r="E4" s="17" t="str">
        <x:v>Threshold</x:v>
      </x:c>
      <x:c r="F4" s="17" t="str">
        <x:v>Inputs</x:v>
      </x:c>
      <x:c r="G4" s="17" t="str">
        <x:v>Required tools</x:v>
      </x:c>
      <x:c r="H4" s="17" t="str">
        <x:v>Workspace</x:v>
      </x:c>
      <x:c r="I4" s="17" t="str">
        <x:v>Skills / knowledge</x:v>
      </x:c>
      <x:c r="J4" s="17" t="str">
        <x:v>Active min</x:v>
      </x:c>
      <x:c r="K4" s="17" t="str">
        <x:v>Qualification</x:v>
      </x:c>
      <x:c r="L4" s="18" t="str">
        <x:v>Audit note</x:v>
      </x:c>
    </x:row>
    <x:row r="5">
      <x:c r="A5" s="46" t="n">
        <x:v>1</x:v>
      </x:c>
      <x:c r="B5" s="46" t="str">
        <x:v>T-HAMMERSTONE</x:v>
      </x:c>
      <x:c r="C5" s="46" t="str">
        <x:v>Hammer stone</x:v>
      </x:c>
      <x:c r="D5" s="46" t="str">
        <x:v>Tools</x:v>
      </x:c>
      <x:c r="E5" s="46" t="str">
        <x:v>H0</x:v>
      </x:c>
      <x:c r="F5" s="46" t="str">
        <x:v>S-STONE</x:v>
      </x:c>
      <x:c r="G5" s="46" t="str"/>
      <x:c r="H5" s="46" t="str">
        <x:v>world</x:v>
      </x:c>
      <x:c r="I5" s="46" t="str">
        <x:v>stone / striking</x:v>
      </x:c>
      <x:c r="J5" s="50" t="n">
        <x:v>5</x:v>
      </x:c>
      <x:c r="K5" s="46" t="str">
        <x:v>controlled strike</x:v>
      </x:c>
      <x:c r="L5" s="46" t="str">
        <x:v>Dual-use tool; no weapon model</x:v>
      </x:c>
    </x:row>
    <x:row r="6">
      <x:c r="A6" s="47" t="n">
        <x:v>2</x:v>
      </x:c>
      <x:c r="B6" s="47" t="str">
        <x:v>T-STONE-KNIFE</x:v>
      </x:c>
      <x:c r="C6" s="47" t="str">
        <x:v>Stone hand cutter</x:v>
      </x:c>
      <x:c r="D6" s="47" t="str">
        <x:v>Tools</x:v>
      </x:c>
      <x:c r="E6" s="47" t="str">
        <x:v>H0</x:v>
      </x:c>
      <x:c r="F6" s="47" t="str">
        <x:v>P-SHARP-EDGE; S-FIBER</x:v>
      </x:c>
      <x:c r="G6" s="47" t="str">
        <x:v>T-HAMMERSTONE</x:v>
      </x:c>
      <x:c r="H6" s="47" t="str">
        <x:v>W-WORKMAT</x:v>
      </x:c>
      <x:c r="I6" s="47" t="str">
        <x:v>edge / binding</x:v>
      </x:c>
      <x:c r="J6" s="51" t="n">
        <x:v>20</x:v>
      </x:c>
      <x:c r="K6" s="47" t="str">
        <x:v>safe varied cutting</x:v>
      </x:c>
      <x:c r="L6" s="47" t="str">
        <x:v>Dual-use tool; no weapon model</x:v>
      </x:c>
    </x:row>
    <x:row r="7">
      <x:c r="A7" s="47" t="n">
        <x:v>3</x:v>
      </x:c>
      <x:c r="B7" s="47" t="str">
        <x:v>T-MEASURE</x:v>
      </x:c>
      <x:c r="C7" s="47" t="str">
        <x:v>Marked cord/gauge/level</x:v>
      </x:c>
      <x:c r="D7" s="47" t="str">
        <x:v>Tools</x:v>
      </x:c>
      <x:c r="E7" s="47" t="str">
        <x:v>H2</x:v>
      </x:c>
      <x:c r="F7" s="47" t="str">
        <x:v>P-CORD; P-STRAIGHT-POLE; P-CLEAN-WATER</x:v>
      </x:c>
      <x:c r="G7" s="47" t="str">
        <x:v>T-STONE-KNIFE</x:v>
      </x:c>
      <x:c r="H7" s="47" t="str">
        <x:v>W-WORKMAT</x:v>
      </x:c>
      <x:c r="I7" s="47" t="str">
        <x:v>measurement</x:v>
      </x:c>
      <x:c r="J7" s="51" t="n">
        <x:v>45</x:v>
      </x:c>
      <x:c r="K7" s="47" t="str">
        <x:v>known-length/level test</x:v>
      </x:c>
      <x:c r="L7" s="47" t="str">
        <x:v>General work tool</x:v>
      </x:c>
    </x:row>
    <x:row r="8">
      <x:c r="A8" s="47" t="n">
        <x:v>4</x:v>
      </x:c>
      <x:c r="B8" s="47" t="str">
        <x:v>T-AXE</x:v>
      </x:c>
      <x:c r="C8" s="47" t="str">
        <x:v>Handled chopping tool</x:v>
      </x:c>
      <x:c r="D8" s="47" t="str">
        <x:v>Tools</x:v>
      </x:c>
      <x:c r="E8" s="47" t="str">
        <x:v>H2</x:v>
      </x:c>
      <x:c r="F8" s="47" t="str">
        <x:v>P-SHARP-EDGE; P-STRAIGHT-POLE; P-CORD; P-PEG</x:v>
      </x:c>
      <x:c r="G8" s="47" t="str">
        <x:v>T-MALLET</x:v>
      </x:c>
      <x:c r="H8" s="47" t="str">
        <x:v>W-BENCH</x:v>
      </x:c>
      <x:c r="I8" s="47" t="str">
        <x:v>toolmaking / timber</x:v>
      </x:c>
      <x:c r="J8" s="51" t="n">
        <x:v>120</x:v>
      </x:c>
      <x:c r="K8" s="47" t="str">
        <x:v>repeated strike/haft test</x:v>
      </x:c>
      <x:c r="L8" s="47" t="str">
        <x:v>Dual-use tool; no weapon model</x:v>
      </x:c>
    </x:row>
    <x:row r="9">
      <x:c r="A9" s="47" t="n">
        <x:v>5</x:v>
      </x:c>
      <x:c r="B9" s="47" t="str">
        <x:v>T-ADZE</x:v>
      </x:c>
      <x:c r="C9" s="47" t="str">
        <x:v>Adze/hewing tool</x:v>
      </x:c>
      <x:c r="D9" s="47" t="str">
        <x:v>Tools</x:v>
      </x:c>
      <x:c r="E9" s="47" t="str">
        <x:v>H3</x:v>
      </x:c>
      <x:c r="F9" s="47" t="str">
        <x:v>P-METAL-STOCK; P-STRAIGHT-POLE; P-PEG</x:v>
      </x:c>
      <x:c r="G9" s="47" t="str">
        <x:v>T-HAMMER</x:v>
      </x:c>
      <x:c r="H9" s="47" t="str">
        <x:v>W-BENCH</x:v>
      </x:c>
      <x:c r="I9" s="47" t="str">
        <x:v>metal / timber</x:v>
      </x:c>
      <x:c r="J9" s="51" t="n">
        <x:v>180</x:v>
      </x:c>
      <x:c r="K9" s="47" t="str">
        <x:v>controlled hew</x:v>
      </x:c>
      <x:c r="L9" s="47" t="str">
        <x:v>General work tool</x:v>
      </x:c>
    </x:row>
    <x:row r="10">
      <x:c r="A10" s="47" t="n">
        <x:v>6</x:v>
      </x:c>
      <x:c r="B10" s="47" t="str">
        <x:v>T-MALLET</x:v>
      </x:c>
      <x:c r="C10" s="47" t="str">
        <x:v>Wood/stone mallet</x:v>
      </x:c>
      <x:c r="D10" s="47" t="str">
        <x:v>Tools</x:v>
      </x:c>
      <x:c r="E10" s="47" t="str">
        <x:v>H1</x:v>
      </x:c>
      <x:c r="F10" s="47" t="str">
        <x:v>P-STRAIGHT-POLE; P-PEG</x:v>
      </x:c>
      <x:c r="G10" s="47" t="str">
        <x:v>T-STONE-KNIFE</x:v>
      </x:c>
      <x:c r="H10" s="47" t="str">
        <x:v>W-WORKMAT</x:v>
      </x:c>
      <x:c r="I10" s="47" t="str">
        <x:v>toolmaking</x:v>
      </x:c>
      <x:c r="J10" s="51" t="n">
        <x:v>45</x:v>
      </x:c>
      <x:c r="K10" s="47" t="str">
        <x:v>strike/haft test</x:v>
      </x:c>
      <x:c r="L10" s="47" t="str">
        <x:v>General work tool</x:v>
      </x:c>
    </x:row>
    <x:row r="11">
      <x:c r="A11" s="47" t="n">
        <x:v>7</x:v>
      </x:c>
      <x:c r="B11" s="47" t="str">
        <x:v>T-HAMMER</x:v>
      </x:c>
      <x:c r="C11" s="47" t="str">
        <x:v>Fitted metal hammer</x:v>
      </x:c>
      <x:c r="D11" s="47" t="str">
        <x:v>Tools</x:v>
      </x:c>
      <x:c r="E11" s="47" t="str">
        <x:v>H4</x:v>
      </x:c>
      <x:c r="F11" s="47" t="str">
        <x:v>P-METAL-STOCK; P-STRAIGHT-POLE; P-PEG; W-FORGE</x:v>
      </x:c>
      <x:c r="G11" s="47" t="str">
        <x:v>T-TONGS</x:v>
      </x:c>
      <x:c r="H11" s="47" t="str">
        <x:v>W-FORGE</x:v>
      </x:c>
      <x:c r="I11" s="47" t="str">
        <x:v>metal / toolmaking</x:v>
      </x:c>
      <x:c r="J11" s="51" t="n">
        <x:v>240</x:v>
      </x:c>
      <x:c r="K11" s="47" t="str">
        <x:v>face/haft/load test</x:v>
      </x:c>
      <x:c r="L11" s="47" t="str">
        <x:v>General work tool</x:v>
      </x:c>
    </x:row>
    <x:row r="12">
      <x:c r="A12" s="47" t="n">
        <x:v>8</x:v>
      </x:c>
      <x:c r="B12" s="47" t="str">
        <x:v>T-CHISEL</x:v>
      </x:c>
      <x:c r="C12" s="47" t="str">
        <x:v>Chisel/wedge set</x:v>
      </x:c>
      <x:c r="D12" s="47" t="str">
        <x:v>Tools</x:v>
      </x:c>
      <x:c r="E12" s="47" t="str">
        <x:v>H3</x:v>
      </x:c>
      <x:c r="F12" s="47" t="str">
        <x:v>P-METAL-STOCK; W-FORGE</x:v>
      </x:c>
      <x:c r="G12" s="47" t="str">
        <x:v>T-HAMMER</x:v>
      </x:c>
      <x:c r="H12" s="47" t="str">
        <x:v>W-FORGE</x:v>
      </x:c>
      <x:c r="I12" s="47" t="str">
        <x:v>metal / fracture</x:v>
      </x:c>
      <x:c r="J12" s="51" t="n">
        <x:v>180</x:v>
      </x:c>
      <x:c r="K12" s="47" t="str">
        <x:v>edge and strike test</x:v>
      </x:c>
      <x:c r="L12" s="47" t="str">
        <x:v>General work tool</x:v>
      </x:c>
    </x:row>
    <x:row r="13">
      <x:c r="A13" s="47" t="n">
        <x:v>9</x:v>
      </x:c>
      <x:c r="B13" s="47" t="str">
        <x:v>T-PRY</x:v>
      </x:c>
      <x:c r="C13" s="47" t="str">
        <x:v>Pry bar/leverage tool</x:v>
      </x:c>
      <x:c r="D13" s="47" t="str">
        <x:v>Tools</x:v>
      </x:c>
      <x:c r="E13" s="47" t="str">
        <x:v>H3</x:v>
      </x:c>
      <x:c r="F13" s="47" t="str">
        <x:v>P-METAL-STOCK; W-FORGE</x:v>
      </x:c>
      <x:c r="G13" s="47" t="str">
        <x:v>T-HAMMER</x:v>
      </x:c>
      <x:c r="H13" s="47" t="str">
        <x:v>W-FORGE</x:v>
      </x:c>
      <x:c r="I13" s="47" t="str">
        <x:v>metal / leverage</x:v>
      </x:c>
      <x:c r="J13" s="51" t="n">
        <x:v>120</x:v>
      </x:c>
      <x:c r="K13" s="47" t="str">
        <x:v>proof bend</x:v>
      </x:c>
      <x:c r="L13" s="47" t="str">
        <x:v>Dual-use tool; no weapon model</x:v>
      </x:c>
    </x:row>
    <x:row r="14">
      <x:c r="A14" s="47" t="n">
        <x:v>10</x:v>
      </x:c>
      <x:c r="B14" s="47" t="str">
        <x:v>T-AWL</x:v>
      </x:c>
      <x:c r="C14" s="47" t="str">
        <x:v>Awl/piercer</x:v>
      </x:c>
      <x:c r="D14" s="47" t="str">
        <x:v>Tools</x:v>
      </x:c>
      <x:c r="E14" s="47" t="str">
        <x:v>H1</x:v>
      </x:c>
      <x:c r="F14" s="47" t="str">
        <x:v>S-BONE; P-SHARP-EDGE</x:v>
      </x:c>
      <x:c r="G14" s="47" t="str">
        <x:v>T-STONE-KNIFE</x:v>
      </x:c>
      <x:c r="H14" s="47" t="str">
        <x:v>W-WORKMAT</x:v>
      </x:c>
      <x:c r="I14" s="47" t="str">
        <x:v>bone / sewing</x:v>
      </x:c>
      <x:c r="J14" s="51" t="n">
        <x:v>30</x:v>
      </x:c>
      <x:c r="K14" s="47" t="str">
        <x:v>pierce sample</x:v>
      </x:c>
      <x:c r="L14" s="47" t="str">
        <x:v>General work tool</x:v>
      </x:c>
    </x:row>
    <x:row r="15">
      <x:c r="A15" s="47" t="n">
        <x:v>11</x:v>
      </x:c>
      <x:c r="B15" s="47" t="str">
        <x:v>T-BOW-DRILL</x:v>
      </x:c>
      <x:c r="C15" s="47" t="str">
        <x:v>Bow/hand drill</x:v>
      </x:c>
      <x:c r="D15" s="47" t="str">
        <x:v>Tools</x:v>
      </x:c>
      <x:c r="E15" s="47" t="str">
        <x:v>H2</x:v>
      </x:c>
      <x:c r="F15" s="47" t="str">
        <x:v>P-STRAIGHT-POLE; P-CORD; P-SHARP-EDGE</x:v>
      </x:c>
      <x:c r="G15" s="47" t="str">
        <x:v>T-STONE-KNIFE</x:v>
      </x:c>
      <x:c r="H15" s="47" t="str">
        <x:v>W-WORKMAT</x:v>
      </x:c>
      <x:c r="I15" s="47" t="str">
        <x:v>boring / fire</x:v>
      </x:c>
      <x:c r="J15" s="51" t="n">
        <x:v>90</x:v>
      </x:c>
      <x:c r="K15" s="47" t="str">
        <x:v>controlled bore/ember</x:v>
      </x:c>
      <x:c r="L15" s="47" t="str">
        <x:v>General work tool</x:v>
      </x:c>
    </x:row>
    <x:row r="16">
      <x:c r="A16" s="47" t="n">
        <x:v>12</x:v>
      </x:c>
      <x:c r="B16" s="47" t="str">
        <x:v>T-DRILL</x:v>
      </x:c>
      <x:c r="C16" s="47" t="str">
        <x:v>Brace/drill and bits</x:v>
      </x:c>
      <x:c r="D16" s="47" t="str">
        <x:v>Tools</x:v>
      </x:c>
      <x:c r="E16" s="47" t="str">
        <x:v>H4</x:v>
      </x:c>
      <x:c r="F16" s="47" t="str">
        <x:v>P-METAL-STOCK; P-STRAIGHT-POLE; W-FORGE</x:v>
      </x:c>
      <x:c r="G16" s="47" t="str">
        <x:v>T-HAMMER</x:v>
      </x:c>
      <x:c r="H16" s="47" t="str">
        <x:v>W-BENCH</x:v>
      </x:c>
      <x:c r="I16" s="47" t="str">
        <x:v>metal / boring</x:v>
      </x:c>
      <x:c r="J16" s="51" t="n">
        <x:v>300</x:v>
      </x:c>
      <x:c r="K16" s="47" t="str">
        <x:v>round/aligned hole</x:v>
      </x:c>
      <x:c r="L16" s="47" t="str">
        <x:v>General work tool</x:v>
      </x:c>
    </x:row>
    <x:row r="17">
      <x:c r="A17" s="47" t="n">
        <x:v>13</x:v>
      </x:c>
      <x:c r="B17" s="47" t="str">
        <x:v>T-SAW</x:v>
      </x:c>
      <x:c r="C17" s="47" t="str">
        <x:v>Saw/hacksaw route</x:v>
      </x:c>
      <x:c r="D17" s="47" t="str">
        <x:v>Tools</x:v>
      </x:c>
      <x:c r="E17" s="47" t="str">
        <x:v>H4</x:v>
      </x:c>
      <x:c r="F17" s="47" t="str">
        <x:v>P-METAL-STOCK; P-STRAIGHT-POLE; W-FORGE</x:v>
      </x:c>
      <x:c r="G17" s="47" t="str">
        <x:v>T-FILE</x:v>
      </x:c>
      <x:c r="H17" s="47" t="str">
        <x:v>W-BENCH</x:v>
      </x:c>
      <x:c r="I17" s="47" t="str">
        <x:v>metal / timber</x:v>
      </x:c>
      <x:c r="J17" s="51" t="n">
        <x:v>360</x:v>
      </x:c>
      <x:c r="K17" s="47" t="str">
        <x:v>straight cut</x:v>
      </x:c>
      <x:c r="L17" s="47" t="str">
        <x:v>General work tool</x:v>
      </x:c>
    </x:row>
    <x:row r="18">
      <x:c r="A18" s="47" t="n">
        <x:v>14</x:v>
      </x:c>
      <x:c r="B18" s="47" t="str">
        <x:v>T-FILE</x:v>
      </x:c>
      <x:c r="C18" s="47" t="str">
        <x:v>File/abrasive tool</x:v>
      </x:c>
      <x:c r="D18" s="47" t="str">
        <x:v>Tools</x:v>
      </x:c>
      <x:c r="E18" s="47" t="str">
        <x:v>H3</x:v>
      </x:c>
      <x:c r="F18" s="47" t="str">
        <x:v>S-STONE; P-METAL-STOCK</x:v>
      </x:c>
      <x:c r="G18" s="47" t="str">
        <x:v>T-HAMMER</x:v>
      </x:c>
      <x:c r="H18" s="47" t="str">
        <x:v>W-FORGE</x:v>
      </x:c>
      <x:c r="I18" s="47" t="str">
        <x:v>abrasion / metal</x:v>
      </x:c>
      <x:c r="J18" s="51" t="n">
        <x:v>180</x:v>
      </x:c>
      <x:c r="K18" s="47" t="str">
        <x:v>controlled deburr</x:v>
      </x:c>
      <x:c r="L18" s="47" t="str">
        <x:v>General work tool</x:v>
      </x:c>
    </x:row>
    <x:row r="19">
      <x:c r="A19" s="47" t="n">
        <x:v>15</x:v>
      </x:c>
      <x:c r="B19" s="47" t="str">
        <x:v>T-TONGS</x:v>
      </x:c>
      <x:c r="C19" s="47" t="str">
        <x:v>Tongs/gripping tool</x:v>
      </x:c>
      <x:c r="D19" s="47" t="str">
        <x:v>Tools</x:v>
      </x:c>
      <x:c r="E19" s="47" t="str">
        <x:v>H3</x:v>
      </x:c>
      <x:c r="F19" s="47" t="str">
        <x:v>P-METAL-STOCK; W-FORGE</x:v>
      </x:c>
      <x:c r="G19" s="47" t="str">
        <x:v>T-HAMMER</x:v>
      </x:c>
      <x:c r="H19" s="47" t="str">
        <x:v>W-FORGE</x:v>
      </x:c>
      <x:c r="I19" s="47" t="str">
        <x:v>metal / holding</x:v>
      </x:c>
      <x:c r="J19" s="51" t="n">
        <x:v>180</x:v>
      </x:c>
      <x:c r="K19" s="47" t="str">
        <x:v>hot-object grip</x:v>
      </x:c>
      <x:c r="L19" s="47" t="str">
        <x:v>General work tool</x:v>
      </x:c>
    </x:row>
    <x:row r="20">
      <x:c r="A20" s="47" t="n">
        <x:v>16</x:v>
      </x:c>
      <x:c r="B20" s="47" t="str">
        <x:v>T-CLAMP</x:v>
      </x:c>
      <x:c r="C20" s="47" t="str">
        <x:v>Clamp/vice/jig</x:v>
      </x:c>
      <x:c r="D20" s="47" t="str">
        <x:v>Tools</x:v>
      </x:c>
      <x:c r="E20" s="47" t="str">
        <x:v>H3</x:v>
      </x:c>
      <x:c r="F20" s="47" t="str">
        <x:v>P-PLANK; P-PEG; S-FASTENER</x:v>
      </x:c>
      <x:c r="G20" s="47" t="str">
        <x:v>T-DRILL</x:v>
      </x:c>
      <x:c r="H20" s="47" t="str">
        <x:v>W-BENCH</x:v>
      </x:c>
      <x:c r="I20" s="47" t="str">
        <x:v>workholding</x:v>
      </x:c>
      <x:c r="J20" s="51" t="n">
        <x:v>180</x:v>
      </x:c>
      <x:c r="K20" s="47" t="str">
        <x:v>holding force/alignment</x:v>
      </x:c>
      <x:c r="L20" s="47" t="str">
        <x:v>General work tool</x:v>
      </x:c>
    </x:row>
    <x:row r="21">
      <x:c r="A21" s="47" t="n">
        <x:v>17</x:v>
      </x:c>
      <x:c r="B21" s="47" t="str">
        <x:v>T-DIG</x:v>
      </x:c>
      <x:c r="C21" s="47" t="str">
        <x:v>Digging stick/scoop</x:v>
      </x:c>
      <x:c r="D21" s="47" t="str">
        <x:v>Tools</x:v>
      </x:c>
      <x:c r="E21" s="47" t="str">
        <x:v>H1</x:v>
      </x:c>
      <x:c r="F21" s="47" t="str">
        <x:v>P-STRAIGHT-POLE; P-SHARP-EDGE</x:v>
      </x:c>
      <x:c r="G21" s="47" t="str">
        <x:v>T-STONE-KNIFE</x:v>
      </x:c>
      <x:c r="H21" s="47" t="str">
        <x:v>W-WORKMAT</x:v>
      </x:c>
      <x:c r="I21" s="47" t="str">
        <x:v>earthwork</x:v>
      </x:c>
      <x:c r="J21" s="51" t="n">
        <x:v>45</x:v>
      </x:c>
      <x:c r="K21" s="47" t="str">
        <x:v>soil penetration</x:v>
      </x:c>
      <x:c r="L21" s="47" t="str">
        <x:v>General work tool</x:v>
      </x:c>
    </x:row>
    <x:row r="22">
      <x:c r="A22" s="47" t="n">
        <x:v>18</x:v>
      </x:c>
      <x:c r="B22" s="47" t="str">
        <x:v>T-SHOVEL</x:v>
      </x:c>
      <x:c r="C22" s="47" t="str">
        <x:v>Fitted shovel/mattock</x:v>
      </x:c>
      <x:c r="D22" s="47" t="str">
        <x:v>Tools</x:v>
      </x:c>
      <x:c r="E22" s="47" t="str">
        <x:v>H3</x:v>
      </x:c>
      <x:c r="F22" s="47" t="str">
        <x:v>P-METAL-STOCK; P-STRAIGHT-POLE; S-FASTENER</x:v>
      </x:c>
      <x:c r="G22" s="47" t="str">
        <x:v>T-HAMMER</x:v>
      </x:c>
      <x:c r="H22" s="47" t="str">
        <x:v>W-BENCH</x:v>
      </x:c>
      <x:c r="I22" s="47" t="str">
        <x:v>earthwork / metal</x:v>
      </x:c>
      <x:c r="J22" s="51" t="n">
        <x:v>240</x:v>
      </x:c>
      <x:c r="K22" s="47" t="str">
        <x:v>dig/lift test</x:v>
      </x:c>
      <x:c r="L22" s="47" t="str">
        <x:v>General work tool</x:v>
      </x:c>
    </x:row>
    <x:row r="23">
      <x:c r="A23" s="47" t="n">
        <x:v>19</x:v>
      </x:c>
      <x:c r="B23" s="47" t="str">
        <x:v>T-NEEDLE</x:v>
      </x:c>
      <x:c r="C23" s="47" t="str">
        <x:v>Needle/sewing set</x:v>
      </x:c>
      <x:c r="D23" s="47" t="str">
        <x:v>Tools</x:v>
      </x:c>
      <x:c r="E23" s="47" t="str">
        <x:v>H2</x:v>
      </x:c>
      <x:c r="F23" s="47" t="str">
        <x:v>S-BONE; T-AWL</x:v>
      </x:c>
      <x:c r="G23" s="47" t="str">
        <x:v>T-STONE-KNIFE</x:v>
      </x:c>
      <x:c r="H23" s="47" t="str">
        <x:v>W-WORKMAT</x:v>
      </x:c>
      <x:c r="I23" s="47" t="str">
        <x:v>sewing</x:v>
      </x:c>
      <x:c r="J23" s="51" t="n">
        <x:v>45</x:v>
      </x:c>
      <x:c r="K23" s="47" t="str">
        <x:v>seam sample</x:v>
      </x:c>
      <x:c r="L23" s="47" t="str">
        <x:v>General work tool</x:v>
      </x:c>
    </x:row>
    <x:row r="24">
      <x:c r="A24" s="47" t="n">
        <x:v>20</x:v>
      </x:c>
      <x:c r="B24" s="47" t="str">
        <x:v>T-SNIPS</x:v>
      </x:c>
      <x:c r="C24" s="47" t="str">
        <x:v>Sheet cutting tool</x:v>
      </x:c>
      <x:c r="D24" s="47" t="str">
        <x:v>Tools</x:v>
      </x:c>
      <x:c r="E24" s="47" t="str">
        <x:v>H4</x:v>
      </x:c>
      <x:c r="F24" s="47" t="str">
        <x:v>P-METAL-STOCK; W-FORGE</x:v>
      </x:c>
      <x:c r="G24" s="47" t="str">
        <x:v>T-HAMMER</x:v>
      </x:c>
      <x:c r="H24" s="47" t="str">
        <x:v>W-FORGE</x:v>
      </x:c>
      <x:c r="I24" s="47" t="str">
        <x:v>metal / sheet</x:v>
      </x:c>
      <x:c r="J24" s="51" t="n">
        <x:v>300</x:v>
      </x:c>
      <x:c r="K24" s="47" t="str">
        <x:v>clean sheet cut</x:v>
      </x:c>
      <x:c r="L24" s="47" t="str">
        <x:v>General work tool</x:v>
      </x:c>
    </x:row>
    <x:row r="25">
      <x:c r="A25" s="47" t="n">
        <x:v>21</x:v>
      </x:c>
      <x:c r="B25" s="47" t="str">
        <x:v>T-PUNCH</x:v>
      </x:c>
      <x:c r="C25" s="47" t="str">
        <x:v>Punch/rivet set</x:v>
      </x:c>
      <x:c r="D25" s="47" t="str">
        <x:v>Tools</x:v>
      </x:c>
      <x:c r="E25" s="47" t="str">
        <x:v>H4</x:v>
      </x:c>
      <x:c r="F25" s="47" t="str">
        <x:v>P-METAL-STOCK; W-FORGE</x:v>
      </x:c>
      <x:c r="G25" s="47" t="str">
        <x:v>T-HAMMER</x:v>
      </x:c>
      <x:c r="H25" s="47" t="str">
        <x:v>W-FORGE</x:v>
      </x:c>
      <x:c r="I25" s="47" t="str">
        <x:v>metal / fastening</x:v>
      </x:c>
      <x:c r="J25" s="51" t="n">
        <x:v>180</x:v>
      </x:c>
      <x:c r="K25" s="47" t="str">
        <x:v>hole/rivet sample</x:v>
      </x:c>
      <x:c r="L25" s="47" t="str">
        <x:v>General work tool</x:v>
      </x:c>
    </x:row>
    <x:row r="26">
      <x:c r="A26" s="47" t="n">
        <x:v>22</x:v>
      </x:c>
      <x:c r="B26" s="47" t="str">
        <x:v>T-METER</x:v>
      </x:c>
      <x:c r="C26" s="47" t="str">
        <x:v>Electrical test meter</x:v>
      </x:c>
      <x:c r="D26" s="47" t="str">
        <x:v>Tools</x:v>
      </x:c>
      <x:c r="E26" s="47" t="str">
        <x:v>H5</x:v>
      </x:c>
      <x:c r="F26" s="47" t="str">
        <x:v>S-BATTERY; S-WIRE; S-RADIO</x:v>
      </x:c>
      <x:c r="G26" s="47" t="str"/>
      <x:c r="H26" s="47" t="str">
        <x:v>W-ELECTRICAL</x:v>
      </x:c>
      <x:c r="I26" s="47" t="str">
        <x:v>electrical / measurement</x:v>
      </x:c>
      <x:c r="J26" s="51" t="n">
        <x:v>240</x:v>
      </x:c>
      <x:c r="K26" s="47" t="str">
        <x:v>known reference test</x:v>
      </x:c>
      <x:c r="L26" s="47" t="str">
        <x:v>General work tool</x:v>
      </x:c>
    </x:row>
    <x:row r="27">
      <x:c r="A27" s="47" t="n">
        <x:v>23</x:v>
      </x:c>
      <x:c r="B27" s="47" t="str">
        <x:v>A-CRUTCH</x:v>
      </x:c>
      <x:c r="C27" s="47" t="str">
        <x:v>Crutch/cane</x:v>
      </x:c>
      <x:c r="D27" s="47" t="str">
        <x:v>Medicine</x:v>
      </x:c>
      <x:c r="E27" s="47" t="str">
        <x:v>H3</x:v>
      </x:c>
      <x:c r="F27" s="47" t="str">
        <x:v>P-STRAIGHT-POLE; P-MAT; P-CORD</x:v>
      </x:c>
      <x:c r="G27" s="47" t="str">
        <x:v>T-STONE-KNIFE</x:v>
      </x:c>
      <x:c r="H27" s="47" t="str">
        <x:v>W-BENCH</x:v>
      </x:c>
      <x:c r="I27" s="47" t="str">
        <x:v>medicine / construction</x:v>
      </x:c>
      <x:c r="J27" s="51" t="n">
        <x:v>90</x:v>
      </x:c>
      <x:c r="K27" s="47" t="str">
        <x:v>gait/load test</x:v>
      </x:c>
      <x:c r="L27" s="47" t="str">
        <x:v>Specialist tool/equipment</x:v>
      </x:c>
    </x:row>
    <x:row r="28">
      <x:c r="A28" s="47" t="n">
        <x:v>24</x:v>
      </x:c>
      <x:c r="B28" s="47" t="str">
        <x:v>A-FISH-LINE</x:v>
      </x:c>
      <x:c r="C28" s="47" t="str">
        <x:v>Fishing line/hook</x:v>
      </x:c>
      <x:c r="D28" s="47" t="str">
        <x:v>Food</x:v>
      </x:c>
      <x:c r="E28" s="47" t="str">
        <x:v>H2</x:v>
      </x:c>
      <x:c r="F28" s="47" t="str">
        <x:v>P-CORD; S-BONE; P-SHARP-EDGE</x:v>
      </x:c>
      <x:c r="G28" s="47" t="str">
        <x:v>T-STONE-KNIFE</x:v>
      </x:c>
      <x:c r="H28" s="47" t="str">
        <x:v>shore</x:v>
      </x:c>
      <x:c r="I28" s="47" t="str">
        <x:v>fishing / ecology</x:v>
      </x:c>
      <x:c r="J28" s="51" t="n">
        <x:v>60</x:v>
      </x:c>
      <x:c r="K28" s="47" t="str">
        <x:v>catch/retrieval test</x:v>
      </x:c>
      <x:c r="L28" s="47" t="str">
        <x:v>Specialist tool/equipment</x:v>
      </x:c>
    </x:row>
    <x:row r="29">
      <x:c r="A29" s="47" t="n">
        <x:v>25</x:v>
      </x:c>
      <x:c r="B29" s="47" t="str">
        <x:v>A-SPEAR</x:v>
      </x:c>
      <x:c r="C29" s="47" t="str">
        <x:v>Spear/harpoon</x:v>
      </x:c>
      <x:c r="D29" s="47" t="str">
        <x:v>Food</x:v>
      </x:c>
      <x:c r="E29" s="47" t="str">
        <x:v>H2</x:v>
      </x:c>
      <x:c r="F29" s="47" t="str">
        <x:v>P-STRAIGHT-POLE; P-SHARP-EDGE; P-CORD</x:v>
      </x:c>
      <x:c r="G29" s="47" t="str">
        <x:v>T-STONE-KNIFE</x:v>
      </x:c>
      <x:c r="H29" s="47" t="str">
        <x:v>safe range</x:v>
      </x:c>
      <x:c r="I29" s="47" t="str">
        <x:v>hunting / toolmaking</x:v>
      </x:c>
      <x:c r="J29" s="51" t="n">
        <x:v>90</x:v>
      </x:c>
      <x:c r="K29" s="47" t="str">
        <x:v>range/retention</x:v>
      </x:c>
      <x:c r="L29" s="47" t="str">
        <x:v>Weapon family (misclassified under Food)</x:v>
      </x:c>
    </x:row>
    <x:row r="30">
      <x:c r="A30" s="47" t="n">
        <x:v>26</x:v>
      </x:c>
      <x:c r="B30" s="47" t="str">
        <x:v>A-BASKET</x:v>
      </x:c>
      <x:c r="C30" s="47" t="str">
        <x:v>Carry basket</x:v>
      </x:c>
      <x:c r="D30" s="47" t="str">
        <x:v>Logistics</x:v>
      </x:c>
      <x:c r="E30" s="47" t="str">
        <x:v>H1</x:v>
      </x:c>
      <x:c r="F30" s="47" t="str">
        <x:v>P-MAT; P-CORD</x:v>
      </x:c>
      <x:c r="G30" s="47" t="str">
        <x:v>T-STONE-KNIFE</x:v>
      </x:c>
      <x:c r="H30" s="47" t="str">
        <x:v>W-WORKMAT</x:v>
      </x:c>
      <x:c r="I30" s="47" t="str">
        <x:v>weaving / logistics</x:v>
      </x:c>
      <x:c r="J30" s="51" t="n">
        <x:v>120</x:v>
      </x:c>
      <x:c r="K30" s="47" t="str">
        <x:v>load/carry</x:v>
      </x:c>
      <x:c r="L30" s="47" t="str">
        <x:v>Specialist tool/equipment</x:v>
      </x:c>
    </x:row>
    <x:row r="31">
      <x:c r="A31" s="47" t="n">
        <x:v>27</x:v>
      </x:c>
      <x:c r="B31" s="47" t="str">
        <x:v>A-PACK</x:v>
      </x:c>
      <x:c r="C31" s="47" t="str">
        <x:v>Pack frame/harness</x:v>
      </x:c>
      <x:c r="D31" s="47" t="str">
        <x:v>Logistics</x:v>
      </x:c>
      <x:c r="E31" s="47" t="str">
        <x:v>H3</x:v>
      </x:c>
      <x:c r="F31" s="47" t="str">
        <x:v>P-STRAIGHT-POLE; P-MAT; P-CORD</x:v>
      </x:c>
      <x:c r="G31" s="47" t="str">
        <x:v>T-MEASURE</x:v>
      </x:c>
      <x:c r="H31" s="47" t="str">
        <x:v>W-BENCH</x:v>
      </x:c>
      <x:c r="I31" s="47" t="str">
        <x:v>construction / logistics</x:v>
      </x:c>
      <x:c r="J31" s="51" t="n">
        <x:v>240</x:v>
      </x:c>
      <x:c r="K31" s="47" t="str">
        <x:v>fit/load/route</x:v>
      </x:c>
      <x:c r="L31" s="47" t="str">
        <x:v>Specialist tool/equipment</x:v>
      </x:c>
    </x:row>
    <x:row r="32">
      <x:c r="A32" s="47" t="n">
        <x:v>28</x:v>
      </x:c>
      <x:c r="B32" s="47" t="str">
        <x:v>A-FLOAT</x:v>
      </x:c>
      <x:c r="C32" s="47" t="str">
        <x:v>Flotation aid</x:v>
      </x:c>
      <x:c r="D32" s="47" t="str">
        <x:v>Maritime</x:v>
      </x:c>
      <x:c r="E32" s="47" t="str">
        <x:v>H1</x:v>
      </x:c>
      <x:c r="F32" s="47" t="str">
        <x:v>S-TIMBER; P-CORD</x:v>
      </x:c>
      <x:c r="G32" s="47" t="str"/>
      <x:c r="H32" s="47" t="str">
        <x:v>shore</x:v>
      </x:c>
      <x:c r="I32" s="47" t="str">
        <x:v>water safety</x:v>
      </x:c>
      <x:c r="J32" s="51" t="n">
        <x:v>45</x:v>
      </x:c>
      <x:c r="K32" s="47" t="str">
        <x:v>person-support/release</x:v>
      </x:c>
      <x:c r="L32" s="47" t="str">
        <x:v>Specialist tool/equipment</x:v>
      </x:c>
    </x:row>
    <x:row r="33">
      <x:c r="A33" s="47" t="n">
        <x:v>29</x:v>
      </x:c>
      <x:c r="B33" s="47" t="str">
        <x:v>T-SPINDLE</x:v>
      </x:c>
      <x:c r="C33" s="47" t="str">
        <x:v>Spindle/twisting tool</x:v>
      </x:c>
      <x:c r="D33" s="47" t="str">
        <x:v>Fiber</x:v>
      </x:c>
      <x:c r="E33" s="47" t="str">
        <x:v>H1</x:v>
      </x:c>
      <x:c r="F33" s="47" t="str">
        <x:v>P-STRAIGHT-POLE; P-PEG</x:v>
      </x:c>
      <x:c r="G33" s="47" t="str">
        <x:v>knife / measure</x:v>
      </x:c>
      <x:c r="H33" s="47" t="str">
        <x:v>work mat</x:v>
      </x:c>
      <x:c r="I33" s="47" t="str">
        <x:v>rotation and fiber control</x:v>
      </x:c>
      <x:c r="J33" s="51" t="n">
        <x:v>30</x:v>
      </x:c>
      <x:c r="K33" s="47" t="str">
        <x:v>consistent twist</x:v>
      </x:c>
      <x:c r="L33" s="47" t="str">
        <x:v>Specialist tool/equipment</x:v>
      </x:c>
    </x:row>
    <x:row r="34">
      <x:c r="A34" s="47" t="n">
        <x:v>30</x:v>
      </x:c>
      <x:c r="B34" s="47" t="str">
        <x:v>T-LOOM</x:v>
      </x:c>
      <x:c r="C34" s="47" t="str">
        <x:v>Frame loom/net gauge</x:v>
      </x:c>
      <x:c r="D34" s="47" t="str">
        <x:v>Fiber</x:v>
      </x:c>
      <x:c r="E34" s="47" t="str">
        <x:v>H2</x:v>
      </x:c>
      <x:c r="F34" s="47" t="str">
        <x:v>P-STRAIGHT-POLE; T-MEASURE</x:v>
      </x:c>
      <x:c r="G34" s="47" t="str">
        <x:v>knife / measure</x:v>
      </x:c>
      <x:c r="H34" s="47" t="str">
        <x:v>bench</x:v>
      </x:c>
      <x:c r="I34" s="47" t="str">
        <x:v>geometry and tension</x:v>
      </x:c>
      <x:c r="J34" s="51" t="n">
        <x:v>120</x:v>
      </x:c>
      <x:c r="K34" s="47" t="str">
        <x:v>square stable frame</x:v>
      </x:c>
      <x:c r="L34" s="47" t="str">
        <x:v>Specialist tool/equipment</x:v>
      </x:c>
    </x:row>
    <x:row r="35">
      <x:c r="A35" s="47" t="n">
        <x:v>31</x:v>
      </x:c>
      <x:c r="B35" s="47" t="str">
        <x:v>T-HOE</x:v>
      </x:c>
      <x:c r="C35" s="47" t="str">
        <x:v>Hoe/cultivation tool</x:v>
      </x:c>
      <x:c r="D35" s="47" t="str">
        <x:v>Tools</x:v>
      </x:c>
      <x:c r="E35" s="47" t="str">
        <x:v>H1</x:v>
      </x:c>
      <x:c r="F35" s="47" t="str">
        <x:v>T-DIG; P-STRAIGHT-POLE</x:v>
      </x:c>
      <x:c r="G35" s="47" t="str">
        <x:v>cutter / mallet</x:v>
      </x:c>
      <x:c r="H35" s="47" t="str">
        <x:v>bench</x:v>
      </x:c>
      <x:c r="I35" s="47" t="str">
        <x:v>soil and tool geometry</x:v>
      </x:c>
      <x:c r="J35" s="51" t="n">
        <x:v>90</x:v>
      </x:c>
      <x:c r="K35" s="47" t="str">
        <x:v>soil work without head shift</x:v>
      </x:c>
      <x:c r="L35" s="47" t="str">
        <x:v>General work tool</x:v>
      </x:c>
    </x:row>
    <x:row r="36">
      <x:c r="A36" s="47" t="n">
        <x:v>32</x:v>
      </x:c>
      <x:c r="B36" s="47" t="str">
        <x:v>T-SNORKEL-KIT</x:v>
      </x:c>
      <x:c r="C36" s="47" t="str">
        <x:v>Qualified mask/snorkel/fin kit</x:v>
      </x:c>
      <x:c r="D36" s="47" t="str">
        <x:v>Diving</x:v>
      </x:c>
      <x:c r="E36" s="47" t="str">
        <x:v>H2</x:v>
      </x:c>
      <x:c r="F36" s="47" t="str">
        <x:v>S-GLASS; S-RUBBER</x:v>
      </x:c>
      <x:c r="G36" s="47" t="str">
        <x:v>seals / straps</x:v>
      </x:c>
      <x:c r="H36" s="47" t="str">
        <x:v>clean marine bench</x:v>
      </x:c>
      <x:c r="I36" s="47" t="str">
        <x:v>equipment and fit</x:v>
      </x:c>
      <x:c r="J36" s="51" t="n">
        <x:v>60</x:v>
      </x:c>
      <x:c r="K36" s="47" t="str">
        <x:v>shallow leak/fit/clear test</x:v>
      </x:c>
      <x:c r="L36" s="47" t="str">
        <x:v>Specialist tool/equipment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21355ff444e4b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36" hidden="0" customWidth="1"/>
  </x:cols>
  <x:sheetData>
    <x:row r="1" ht="28" customHeight="1">
      <x:c r="A1" s="3" t="str">
        <x:v>Weapons Audit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Current v2.8 combat/hunting nodes are separated from earlier-canon weapon families that never became standalone graph nodes. 'Absent' means absent by exact governed node, not forbidden from the game.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6" t="str">
        <x:v>Node ID</x:v>
      </x:c>
      <x:c r="B4" s="17" t="str">
        <x:v>Current name</x:v>
      </x:c>
      <x:c r="C4" s="17" t="str">
        <x:v>Domain</x:v>
      </x:c>
      <x:c r="D4" s="17" t="str">
        <x:v>Class</x:v>
      </x:c>
      <x:c r="E4" s="17" t="str">
        <x:v>Threshold</x:v>
      </x:c>
      <x:c r="F4" s="17" t="str">
        <x:v>Combat relation</x:v>
      </x:c>
      <x:c r="G4" s="17" t="str">
        <x:v>Inputs</x:v>
      </x:c>
      <x:c r="H4" s="18" t="str">
        <x:v>Qualification</x:v>
      </x:c>
    </x:row>
    <x:row r="5">
      <x:c r="A5" s="46" t="str">
        <x:v>T-STONE-KNIFE</x:v>
      </x:c>
      <x:c r="B5" s="46" t="str">
        <x:v>Stone hand cutter</x:v>
      </x:c>
      <x:c r="C5" s="46" t="str">
        <x:v>Tools</x:v>
      </x:c>
      <x:c r="D5" s="46" t="str">
        <x:v>Tool</x:v>
      </x:c>
      <x:c r="E5" s="46" t="str">
        <x:v>H0</x:v>
      </x:c>
      <x:c r="F5" s="46" t="str">
        <x:v>Dual-use tool; no weapon model</x:v>
      </x:c>
      <x:c r="G5" s="46" t="str">
        <x:v>P-SHARP-EDGE; S-FIBER</x:v>
      </x:c>
      <x:c r="H5" s="46" t="str">
        <x:v>safe varied cutting</x:v>
      </x:c>
    </x:row>
    <x:row r="6">
      <x:c r="A6" s="47" t="str">
        <x:v>T-AXE</x:v>
      </x:c>
      <x:c r="B6" s="47" t="str">
        <x:v>Handled chopping tool</x:v>
      </x:c>
      <x:c r="C6" s="47" t="str">
        <x:v>Tools</x:v>
      </x:c>
      <x:c r="D6" s="47" t="str">
        <x:v>Tool</x:v>
      </x:c>
      <x:c r="E6" s="47" t="str">
        <x:v>H2</x:v>
      </x:c>
      <x:c r="F6" s="47" t="str">
        <x:v>Dual-use tool; no weapon model</x:v>
      </x:c>
      <x:c r="G6" s="47" t="str">
        <x:v>P-SHARP-EDGE; P-STRAIGHT-POLE; P-CORD; P-PEG</x:v>
      </x:c>
      <x:c r="H6" s="47" t="str">
        <x:v>repeated strike/haft test</x:v>
      </x:c>
    </x:row>
    <x:row r="7">
      <x:c r="A7" s="47" t="str">
        <x:v>A-SPEAR</x:v>
      </x:c>
      <x:c r="B7" s="47" t="str">
        <x:v>Spear/harpoon</x:v>
      </x:c>
      <x:c r="C7" s="47" t="str">
        <x:v>Food</x:v>
      </x:c>
      <x:c r="D7" s="47" t="str">
        <x:v>Tool</x:v>
      </x:c>
      <x:c r="E7" s="47" t="str">
        <x:v>H2</x:v>
      </x:c>
      <x:c r="F7" s="47" t="str">
        <x:v>Weapon family (misclassified under Food)</x:v>
      </x:c>
      <x:c r="G7" s="47" t="str">
        <x:v>P-STRAIGHT-POLE; P-SHARP-EDGE; P-CORD</x:v>
      </x:c>
      <x:c r="H7" s="47" t="str">
        <x:v>range/retention</x:v>
      </x:c>
    </x:row>
    <x:row r="8">
      <x:c r="A8" s="47" t="str">
        <x:v>A-BOWSTRING</x:v>
      </x:c>
      <x:c r="B8" s="47" t="str">
        <x:v>Qualified bowstring</x:v>
      </x:c>
      <x:c r="C8" s="47" t="str">
        <x:v>Weapons</x:v>
      </x:c>
      <x:c r="D8" s="47" t="str">
        <x:v>Assembly</x:v>
      </x:c>
      <x:c r="E8" s="47" t="str">
        <x:v>H2</x:v>
      </x:c>
      <x:c r="F8" s="47" t="str">
        <x:v>Weapon component</x:v>
      </x:c>
      <x:c r="G8" s="47" t="str">
        <x:v>P-GRADED-FIBER; T-SPINDLE</x:v>
      </x:c>
      <x:c r="H8" s="47" t="str">
        <x:v>creep / break / abrasion test</x:v>
      </x:c>
    </x:row>
    <x:row r="9">
      <x:c r="A9" s="47" t="str">
        <x:v>T-BOW</x:v>
      </x:c>
      <x:c r="B9" s="47" t="str">
        <x:v>Tillering-tested bow</x:v>
      </x:c>
      <x:c r="C9" s="47" t="str">
        <x:v>Weapons</x:v>
      </x:c>
      <x:c r="D9" s="47" t="str">
        <x:v>Endpoint</x:v>
      </x:c>
      <x:c r="E9" s="47" t="str">
        <x:v>H3</x:v>
      </x:c>
      <x:c r="F9" s="47" t="str">
        <x:v>Weapon family</x:v>
      </x:c>
      <x:c r="G9" s="47" t="str">
        <x:v>P-STRAIGHT-POLE; A-BOWSTRING</x:v>
      </x:c>
      <x:c r="H9" s="47" t="str">
        <x:v>progressive draw and grouping</x:v>
      </x:c>
    </x:row>
    <x:row r="10">
      <x:c r="A10" s="47" t="str">
        <x:v>T-ARROW</x:v>
      </x:c>
      <x:c r="B10" s="47" t="str">
        <x:v>Matched arrow set</x:v>
      </x:c>
      <x:c r="C10" s="47" t="str">
        <x:v>Weapons</x:v>
      </x:c>
      <x:c r="D10" s="47" t="str">
        <x:v>Endpoint</x:v>
      </x:c>
      <x:c r="E10" s="47" t="str">
        <x:v>H3</x:v>
      </x:c>
      <x:c r="F10" s="47" t="str">
        <x:v>Ammunition family</x:v>
      </x:c>
      <x:c r="G10" s="47" t="str">
        <x:v>P-STRAIGHT-POLE; P-SHARP-EDGE</x:v>
      </x:c>
      <x:c r="H10" s="47" t="str">
        <x:v>straightness / mass / flight grouping</x:v>
      </x:c>
    </x:row>
    <x:row r="11">
      <x:c r="A11" s="47" t="str">
        <x:v>A-SNARE</x:v>
      </x:c>
      <x:c r="B11" s="47" t="str">
        <x:v>Selective checked snare/trap</x:v>
      </x:c>
      <x:c r="C11" s="47" t="str">
        <x:v>Hunting</x:v>
      </x:c>
      <x:c r="D11" s="47" t="str">
        <x:v>Endpoint</x:v>
      </x:c>
      <x:c r="E11" s="47" t="str">
        <x:v>H2</x:v>
      </x:c>
      <x:c r="F11" s="47" t="str">
        <x:v>Hunting trap/device</x:v>
      </x:c>
      <x:c r="G11" s="47" t="str">
        <x:v>P-CORD; P-PEG; A-FORAGE-MAP</x:v>
      </x:c>
      <x:c r="H11" s="47" t="str">
        <x:v>target/anchor/check protocol</x:v>
      </x:c>
    </x:row>
    <x:row r="15" ht="30" customHeight="1">
      <x:c r="A15" s="16" t="str">
        <x:v>Earlier-canon name</x:v>
      </x:c>
      <x:c r="B15" s="17" t="str">
        <x:v>Family</x:v>
      </x:c>
      <x:c r="C15" s="17" t="str">
        <x:v>Source</x:v>
      </x:c>
      <x:c r="D15" s="17" t="str">
        <x:v>v2.8 status</x:v>
      </x:c>
      <x:c r="E15" s="17" t="str">
        <x:v>Closest node</x:v>
      </x:c>
      <x:c r="F15" s="17" t="str">
        <x:v>Director action</x:v>
      </x:c>
      <x:c r="G15" s="18" t="str">
        <x:v>Director notes</x:v>
      </x:c>
    </x:row>
    <x:row r="16">
      <x:c r="A16" s="46" t="str">
        <x:v>Throwing stick</x:v>
      </x:c>
      <x:c r="B16" s="46" t="str">
        <x:v>Primitive hunting weapon</x:v>
      </x:c>
      <x:c r="C16" s="46" t="str">
        <x:v>v0.12 §8.2</x:v>
      </x:c>
      <x:c r="D16" s="46" t="str">
        <x:v>Absent</x:v>
      </x:c>
      <x:c r="E16" s="46" t="str"/>
      <x:c r="F16" s="48"/>
      <x:c r="G16" s="48"/>
    </x:row>
    <x:row r="17">
      <x:c r="A17" s="47" t="str">
        <x:v>Sling</x:v>
      </x:c>
      <x:c r="B17" s="47" t="str">
        <x:v>Primitive projectile weapon</x:v>
      </x:c>
      <x:c r="C17" s="47" t="str">
        <x:v>v0.12 §8.2</x:v>
      </x:c>
      <x:c r="D17" s="47" t="str">
        <x:v>Absent</x:v>
      </x:c>
      <x:c r="E17" s="47" t="str"/>
      <x:c r="F17" s="49"/>
      <x:c r="G17" s="49"/>
    </x:row>
    <x:row r="18">
      <x:c r="A18" s="47" t="str">
        <x:v>Thrusting spear</x:v>
      </x:c>
      <x:c r="B18" s="47" t="str">
        <x:v>Close weapon</x:v>
      </x:c>
      <x:c r="C18" s="47" t="str">
        <x:v>v0.12 §8.2 / v2.7 §12.4</x:v>
      </x:c>
      <x:c r="D18" s="47" t="str">
        <x:v>Collapsed</x:v>
      </x:c>
      <x:c r="E18" s="47" t="str">
        <x:v>Spear/harpoon</x:v>
      </x:c>
      <x:c r="F18" s="49"/>
      <x:c r="G18" s="49"/>
    </x:row>
    <x:row r="19">
      <x:c r="A19" s="47" t="str">
        <x:v>Throwing spear / javelin</x:v>
      </x:c>
      <x:c r="B19" s="47" t="str">
        <x:v>Projectile weapon</x:v>
      </x:c>
      <x:c r="C19" s="47" t="str">
        <x:v>v0.12 §8.2</x:v>
      </x:c>
      <x:c r="D19" s="47" t="str">
        <x:v>Absent</x:v>
      </x:c>
      <x:c r="E19" s="47" t="str"/>
      <x:c r="F19" s="49"/>
      <x:c r="G19" s="49"/>
    </x:row>
    <x:row r="20">
      <x:c r="A20" s="47" t="str">
        <x:v>Spear-thrower / atlatl</x:v>
      </x:c>
      <x:c r="B20" s="47" t="str">
        <x:v>Projectile launcher</x:v>
      </x:c>
      <x:c r="C20" s="47" t="str">
        <x:v>v0.12 §8.2</x:v>
      </x:c>
      <x:c r="D20" s="47" t="str">
        <x:v>Absent</x:v>
      </x:c>
      <x:c r="E20" s="47" t="str"/>
      <x:c r="F20" s="49"/>
      <x:c r="G20" s="49"/>
    </x:row>
    <x:row r="21">
      <x:c r="A21" s="47" t="str">
        <x:v>Self bow</x:v>
      </x:c>
      <x:c r="B21" s="47" t="str">
        <x:v>Bow variant</x:v>
      </x:c>
      <x:c r="C21" s="47" t="str">
        <x:v>v0.12 §8.2</x:v>
      </x:c>
      <x:c r="D21" s="47" t="str">
        <x:v>Collapsed</x:v>
      </x:c>
      <x:c r="E21" s="47" t="str">
        <x:v>Tillering-tested bow</x:v>
      </x:c>
      <x:c r="F21" s="49"/>
      <x:c r="G21" s="49"/>
    </x:row>
    <x:row r="22">
      <x:c r="A22" s="47" t="str">
        <x:v>Composite / recovered bow</x:v>
      </x:c>
      <x:c r="B22" s="47" t="str">
        <x:v>Bow variant</x:v>
      </x:c>
      <x:c r="C22" s="47" t="str">
        <x:v>v0.12 §8.2</x:v>
      </x:c>
      <x:c r="D22" s="47" t="str">
        <x:v>Absent</x:v>
      </x:c>
      <x:c r="E22" s="47" t="str"/>
      <x:c r="F22" s="49"/>
      <x:c r="G22" s="49"/>
    </x:row>
    <x:row r="23">
      <x:c r="A23" s="47" t="str">
        <x:v>Crossbow</x:v>
      </x:c>
      <x:c r="B23" s="47" t="str">
        <x:v>Stored-energy weapon</x:v>
      </x:c>
      <x:c r="C23" s="47" t="str">
        <x:v>v0.12 §8.2 / v0.4 Tier 2</x:v>
      </x:c>
      <x:c r="D23" s="47" t="str">
        <x:v>Absent</x:v>
      </x:c>
      <x:c r="E23" s="47" t="str"/>
      <x:c r="F23" s="49"/>
      <x:c r="G23" s="49"/>
    </x:row>
    <x:row r="24">
      <x:c r="A24" s="47" t="str">
        <x:v>Blowpipe-like tool</x:v>
      </x:c>
      <x:c r="B24" s="47" t="str">
        <x:v>Limited small-quarry tool</x:v>
      </x:c>
      <x:c r="C24" s="47" t="str">
        <x:v>v0.12 §8.2</x:v>
      </x:c>
      <x:c r="D24" s="47" t="str">
        <x:v>Absent</x:v>
      </x:c>
      <x:c r="E24" s="47" t="str"/>
      <x:c r="F24" s="49"/>
      <x:c r="G24" s="49"/>
    </x:row>
    <x:row r="25">
      <x:c r="A25" s="47" t="str">
        <x:v>Practice arrow set</x:v>
      </x:c>
      <x:c r="B25" s="47" t="str">
        <x:v>Ammunition variant</x:v>
      </x:c>
      <x:c r="C25" s="47" t="str">
        <x:v>v0.12 §8.3</x:v>
      </x:c>
      <x:c r="D25" s="47" t="str">
        <x:v>Collapsed</x:v>
      </x:c>
      <x:c r="E25" s="47" t="str">
        <x:v>Matched arrow set</x:v>
      </x:c>
      <x:c r="F25" s="49"/>
      <x:c r="G25" s="49"/>
    </x:row>
    <x:row r="26">
      <x:c r="A26" s="47" t="str">
        <x:v>Small-game arrow set</x:v>
      </x:c>
      <x:c r="B26" s="47" t="str">
        <x:v>Ammunition variant</x:v>
      </x:c>
      <x:c r="C26" s="47" t="str">
        <x:v>v0.12 §8.3</x:v>
      </x:c>
      <x:c r="D26" s="47" t="str">
        <x:v>Collapsed</x:v>
      </x:c>
      <x:c r="E26" s="47" t="str">
        <x:v>Matched arrow set</x:v>
      </x:c>
      <x:c r="F26" s="49"/>
      <x:c r="G26" s="49"/>
    </x:row>
    <x:row r="27">
      <x:c r="A27" s="47" t="str">
        <x:v>Fishing / retrieval arrow set</x:v>
      </x:c>
      <x:c r="B27" s="47" t="str">
        <x:v>Ammunition variant</x:v>
      </x:c>
      <x:c r="C27" s="47" t="str">
        <x:v>v0.12 §8.3</x:v>
      </x:c>
      <x:c r="D27" s="47" t="str">
        <x:v>Absent</x:v>
      </x:c>
      <x:c r="E27" s="47" t="str"/>
      <x:c r="F27" s="49"/>
      <x:c r="G27" s="49"/>
    </x:row>
    <x:row r="28">
      <x:c r="A28" s="47" t="str">
        <x:v>Crossbow bolt set</x:v>
      </x:c>
      <x:c r="B28" s="47" t="str">
        <x:v>Ammunition</x:v>
      </x:c>
      <x:c r="C28" s="47" t="str">
        <x:v>v0.12 §8.3</x:v>
      </x:c>
      <x:c r="D28" s="47" t="str">
        <x:v>Absent</x:v>
      </x:c>
      <x:c r="E28" s="47" t="str"/>
      <x:c r="F28" s="49"/>
      <x:c r="G28" s="49"/>
    </x:row>
    <x:row r="29">
      <x:c r="A29" s="47" t="str">
        <x:v>Dart set</x:v>
      </x:c>
      <x:c r="B29" s="47" t="str">
        <x:v>Ammunition</x:v>
      </x:c>
      <x:c r="C29" s="47" t="str">
        <x:v>v0.12 §8.3</x:v>
      </x:c>
      <x:c r="D29" s="47" t="str">
        <x:v>Absent</x:v>
      </x:c>
      <x:c r="E29" s="47" t="str"/>
      <x:c r="F29" s="49"/>
      <x:c r="G29" s="49"/>
    </x:row>
    <x:row r="30">
      <x:c r="A30" s="47" t="str">
        <x:v>Found firearm</x:v>
      </x:c>
      <x:c r="B30" s="47" t="str">
        <x:v>Rare salvaged weapon</x:v>
      </x:c>
      <x:c r="C30" s="47" t="str">
        <x:v>v0.12 §8.4</x:v>
      </x:c>
      <x:c r="D30" s="47" t="str">
        <x:v>Absent</x:v>
      </x:c>
      <x:c r="E30" s="47" t="str"/>
      <x:c r="F30" s="49"/>
      <x:c r="G30" s="49"/>
    </x:row>
    <x:row r="31">
      <x:c r="A31" s="47" t="str">
        <x:v>Multi-prong fish spear</x:v>
      </x:c>
      <x:c r="B31" s="47" t="str">
        <x:v>Fishing weapon</x:v>
      </x:c>
      <x:c r="C31" s="47" t="str">
        <x:v>v0.12 §8.5</x:v>
      </x:c>
      <x:c r="D31" s="47" t="str">
        <x:v>Collapsed</x:v>
      </x:c>
      <x:c r="E31" s="47" t="str">
        <x:v>Spear/harpoon</x:v>
      </x:c>
      <x:c r="F31" s="49"/>
      <x:c r="G31" s="49"/>
    </x:row>
    <x:row r="32">
      <x:c r="A32" s="47" t="str">
        <x:v>Detachable-head harpoon + recovery line</x:v>
      </x:c>
      <x:c r="B32" s="47" t="str">
        <x:v>Fishing weapon</x:v>
      </x:c>
      <x:c r="C32" s="47" t="str">
        <x:v>v0.12 §8.5 / v2.7 §12.4</x:v>
      </x:c>
      <x:c r="D32" s="47" t="str">
        <x:v>Absent</x:v>
      </x:c>
      <x:c r="E32" s="47" t="str"/>
      <x:c r="F32" s="49"/>
      <x:c r="G32" s="49"/>
    </x:row>
    <x:row r="33">
      <x:c r="A33" s="47" t="str">
        <x:v>Pole spear</x:v>
      </x:c>
      <x:c r="B33" s="47" t="str">
        <x:v>Diving/fishing weapon</x:v>
      </x:c>
      <x:c r="C33" s="47" t="str">
        <x:v>v0.12 §8.5</x:v>
      </x:c>
      <x:c r="D33" s="47" t="str">
        <x:v>Absent</x:v>
      </x:c>
      <x:c r="E33" s="47" t="str"/>
      <x:c r="F33" s="49"/>
      <x:c r="G33" s="49"/>
    </x:row>
    <x:row r="34">
      <x:c r="A34" s="47" t="str">
        <x:v>Speargun</x:v>
      </x:c>
      <x:c r="B34" s="47" t="str">
        <x:v>Advanced diving weapon</x:v>
      </x:c>
      <x:c r="C34" s="47" t="str">
        <x:v>v0.12 §8.5</x:v>
      </x:c>
      <x:c r="D34" s="47" t="str">
        <x:v>Absent</x:v>
      </x:c>
      <x:c r="E34" s="47" t="str"/>
      <x:c r="F34" s="49"/>
      <x:c r="G34" s="49"/>
    </x:row>
    <x:row r="35">
      <x:c r="A35" s="47" t="str">
        <x:v>Lobster/crustacean noose</x:v>
      </x:c>
      <x:c r="B35" s="47" t="str">
        <x:v>Fishing capture tool</x:v>
      </x:c>
      <x:c r="C35" s="47" t="str">
        <x:v>v0.12 §8.5</x:v>
      </x:c>
      <x:c r="D35" s="47" t="str">
        <x:v>Absent</x:v>
      </x:c>
      <x:c r="E35" s="47" t="str"/>
      <x:c r="F35" s="49"/>
      <x:c r="G35" s="49"/>
    </x:row>
    <x:row r="36">
      <x:c r="A36" s="47" t="str">
        <x:v>Landing gaff</x:v>
      </x:c>
      <x:c r="B36" s="47" t="str">
        <x:v>Fishing landing tool</x:v>
      </x:c>
      <x:c r="C36" s="47" t="str">
        <x:v>v0.12 §8.5</x:v>
      </x:c>
      <x:c r="D36" s="47" t="str">
        <x:v>Absent</x:v>
      </x:c>
      <x:c r="E36" s="47" t="str"/>
      <x:c r="F36" s="49"/>
      <x:c r="G36" s="49"/>
    </x:row>
    <x:row r="37">
      <x:c r="A37" s="47" t="str">
        <x:v>Landing net</x:v>
      </x:c>
      <x:c r="B37" s="47" t="str">
        <x:v>Fishing landing tool</x:v>
      </x:c>
      <x:c r="C37" s="47" t="str">
        <x:v>v0.12 §8.5</x:v>
      </x:c>
      <x:c r="D37" s="47" t="str">
        <x:v>Absent</x:v>
      </x:c>
      <x:c r="E37" s="47" t="str">
        <x:v>Load-tested net/mesh</x:v>
      </x:c>
      <x:c r="F37" s="49"/>
      <x:c r="G37" s="49"/>
    </x:row>
    <x:row r="38">
      <x:c r="A38" s="47" t="str">
        <x:v>Dispatch club / baton</x:v>
      </x:c>
      <x:c r="B38" s="47" t="str">
        <x:v>Processing/dispatch tool</x:v>
      </x:c>
      <x:c r="C38" s="47" t="str">
        <x:v>v0.12 §8.5</x:v>
      </x:c>
      <x:c r="D38" s="47" t="str">
        <x:v>Absent</x:v>
      </x:c>
      <x:c r="E38" s="47" t="str"/>
      <x:c r="F38" s="49"/>
      <x:c r="G38" s="49"/>
    </x:row>
    <x:row r="39">
      <x:c r="A39" s="47" t="str">
        <x:v>Two-hand-accessible line cutter</x:v>
      </x:c>
      <x:c r="B39" s="47" t="str">
        <x:v>Safety tool</x:v>
      </x:c>
      <x:c r="C39" s="47" t="str">
        <x:v>v0.12 §8.5</x:v>
      </x:c>
      <x:c r="D39" s="47" t="str">
        <x:v>Absent</x:v>
      </x:c>
      <x:c r="E39" s="47" t="str">
        <x:v>Stone hand cutter</x:v>
      </x:c>
      <x:c r="F39" s="49"/>
      <x:c r="G39" s="49"/>
    </x:row>
    <x:row r="40">
      <x:c r="A40" s="47" t="str">
        <x:v>Knife sheath / edge guard</x:v>
      </x:c>
      <x:c r="B40" s="47" t="str">
        <x:v>Weapon/tool safety</x:v>
      </x:c>
      <x:c r="C40" s="47" t="str">
        <x:v>v0.12 §8.6</x:v>
      </x:c>
      <x:c r="D40" s="47" t="str">
        <x:v>Absent</x:v>
      </x:c>
      <x:c r="E40" s="47" t="str"/>
      <x:c r="F40" s="49"/>
      <x:c r="G40" s="49"/>
    </x:row>
    <x:row r="41">
      <x:c r="A41" s="47" t="str">
        <x:v>Sharpening stone / steel</x:v>
      </x:c>
      <x:c r="B41" s="47" t="str">
        <x:v>Weapon maintenance</x:v>
      </x:c>
      <x:c r="C41" s="47" t="str">
        <x:v>v0.12 §8.6</x:v>
      </x:c>
      <x:c r="D41" s="47" t="str">
        <x:v>Absent</x:v>
      </x:c>
      <x:c r="E41" s="47" t="str">
        <x:v>File/abrasive tool</x:v>
      </x:c>
      <x:c r="F41" s="49"/>
      <x:c r="G41" s="49"/>
    </x:row>
  </x:sheetData>
  <x:mergeCells>
    <x:mergeCell ref="A1:H1"/>
    <x:mergeCell ref="A2:H2"/>
  </x:mergeCells>
  <x:dataValidations count="1">
    <x:dataValidation type="list" sqref="F16:F41">
      <x:formula1>"Add,Merge,Reject,Needs review"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7c4d4e7f8f9d422f"/>
    <x:tablePart xmlns:r="http://schemas.openxmlformats.org/officeDocument/2006/relationships" r:id="Rfc14ee1ec21a4b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5" hidden="0" customWidth="1"/>
    <x:col min="4" max="4" width="25" hidden="0" customWidth="1"/>
    <x:col min="5" max="5" width="3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</x:cols>
  <x:sheetData>
    <x:row r="1" ht="28" customHeight="1">
      <x:c r="A1" s="3" t="str">
        <x:v>Steam Engine → Electricity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2" customHeight="1">
      <x:c r="A2" s="7" t="str">
        <x:v>The current named chain is shown first. The second table is the minimum design decomposition needed before a player-built pressure steam engine and generator can be called a real craft tree. It is game-system architecture, not real-world boiler construction guidance.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6" t="str">
        <x:v>Node ID</x:v>
      </x:c>
      <x:c r="B4" s="17" t="str">
        <x:v>Current name</x:v>
      </x:c>
      <x:c r="C4" s="17" t="str">
        <x:v>Class</x:v>
      </x:c>
      <x:c r="D4" s="17" t="str">
        <x:v>Threshold</x:v>
      </x:c>
      <x:c r="E4" s="17" t="str">
        <x:v>Inputs</x:v>
      </x:c>
      <x:c r="F4" s="17" t="str">
        <x:v>Required tools</x:v>
      </x:c>
      <x:c r="G4" s="17" t="str">
        <x:v>Workspace</x:v>
      </x:c>
      <x:c r="H4" s="17" t="str">
        <x:v>Skills / knowledge</x:v>
      </x:c>
      <x:c r="I4" s="17" t="str">
        <x:v>Active min</x:v>
      </x:c>
      <x:c r="J4" s="17" t="str">
        <x:v>Qualification</x:v>
      </x:c>
      <x:c r="K4" s="18" t="str">
        <x:v>Audit</x:v>
      </x:c>
    </x:row>
    <x:row r="5">
      <x:c r="A5" s="46" t="str">
        <x:v>T-METER</x:v>
      </x:c>
      <x:c r="B5" s="46" t="str">
        <x:v>Electrical test meter</x:v>
      </x:c>
      <x:c r="C5" s="46" t="str">
        <x:v>Tool</x:v>
      </x:c>
      <x:c r="D5" s="46" t="str">
        <x:v>H5</x:v>
      </x:c>
      <x:c r="E5" s="46" t="str">
        <x:v>S-BATTERY; S-WIRE; S-RADIO</x:v>
      </x:c>
      <x:c r="F5" s="46" t="str"/>
      <x:c r="G5" s="46" t="str">
        <x:v>W-ELECTRICAL</x:v>
      </x:c>
      <x:c r="H5" s="46" t="str">
        <x:v>electrical / measurement</x:v>
      </x:c>
      <x:c r="I5" s="46" t="n">
        <x:v>240</x:v>
      </x:c>
      <x:c r="J5" s="46" t="str">
        <x:v>known reference test</x:v>
      </x:c>
      <x:c r="K5" s="46" t="str">
        <x:v>Circular workspace relation: meter points to electrical bench, which requires meter</x:v>
      </x:c>
    </x:row>
    <x:row r="6">
      <x:c r="A6" s="47" t="str">
        <x:v>W-ELECTRICAL</x:v>
      </x:c>
      <x:c r="B6" s="47" t="str">
        <x:v>Protected electrical bench</x:v>
      </x:c>
      <x:c r="C6" s="47" t="str">
        <x:v>Workspace</x:v>
      </x:c>
      <x:c r="D6" s="47" t="str">
        <x:v>H5</x:v>
      </x:c>
      <x:c r="E6" s="47" t="str">
        <x:v>W-BENCH; A-ROOF; T-METER; P-CONDUCTOR</x:v>
      </x:c>
      <x:c r="F6" s="47" t="str">
        <x:v>T-METER</x:v>
      </x:c>
      <x:c r="G6" s="47" t="str">
        <x:v>working home</x:v>
      </x:c>
      <x:c r="H6" s="47" t="str">
        <x:v>electrical</x:v>
      </x:c>
      <x:c r="I6" s="47" t="n">
        <x:v>600</x:v>
      </x:c>
      <x:c r="J6" s="47" t="str">
        <x:v>known-reference/isolation</x:v>
      </x:c>
      <x:c r="K6" s="47" t="str">
        <x:v>Supporting node</x:v>
      </x:c>
    </x:row>
    <x:row r="7">
      <x:c r="A7" s="47" t="str">
        <x:v>A-LAMP</x:v>
      </x:c>
      <x:c r="B7" s="47" t="str">
        <x:v>Protected lamp/light</x:v>
      </x:c>
      <x:c r="C7" s="47" t="str">
        <x:v>Assembly</x:v>
      </x:c>
      <x:c r="D7" s="47" t="str">
        <x:v>H4</x:v>
      </x:c>
      <x:c r="E7" s="47" t="str">
        <x:v>S-BATTERY; S-WIRE; S-GLASS</x:v>
      </x:c>
      <x:c r="F7" s="47" t="str">
        <x:v>T-METER</x:v>
      </x:c>
      <x:c r="G7" s="47" t="str">
        <x:v>W-ELECTRICAL</x:v>
      </x:c>
      <x:c r="H7" s="47" t="str">
        <x:v>electrical</x:v>
      </x:c>
      <x:c r="I7" s="47" t="n">
        <x:v>120</x:v>
      </x:c>
      <x:c r="J7" s="47" t="str">
        <x:v>light/load/short</x:v>
      </x:c>
      <x:c r="K7" s="47" t="str">
        <x:v>Supporting node</x:v>
      </x:c>
    </x:row>
    <x:row r="8">
      <x:c r="A8" s="47" t="str">
        <x:v>A-GENERATOR</x:v>
      </x:c>
      <x:c r="B8" s="47" t="str">
        <x:v>Small generator adaptation</x:v>
      </x:c>
      <x:c r="C8" s="47" t="str">
        <x:v>Assembly</x:v>
      </x:c>
      <x:c r="D8" s="47" t="str">
        <x:v>H5</x:v>
      </x:c>
      <x:c r="E8" s="47" t="str">
        <x:v>S-BEARING; S-WIRE; P-CONDUCTOR; T-METER</x:v>
      </x:c>
      <x:c r="F8" s="47" t="str">
        <x:v>T-METER</x:v>
      </x:c>
      <x:c r="G8" s="47" t="str">
        <x:v>W-ELECTRICAL</x:v>
      </x:c>
      <x:c r="H8" s="47" t="str">
        <x:v>mechanics / electrical</x:v>
      </x:c>
      <x:c r="I8" s="47" t="n">
        <x:v>1200</x:v>
      </x:c>
      <x:c r="J8" s="47" t="str">
        <x:v>output/load/heat</x:v>
      </x:c>
      <x:c r="K8" s="47" t="str">
        <x:v>Too coarse; rotor, stator, field, regulation, coupling and frame are not separated</x:v>
      </x:c>
    </x:row>
    <x:row r="9">
      <x:c r="A9" s="47" t="str">
        <x:v>A-BANK</x:v>
      </x:c>
      <x:c r="B9" s="47" t="str">
        <x:v>Protected battery bank</x:v>
      </x:c>
      <x:c r="C9" s="47" t="str">
        <x:v>Assembly</x:v>
      </x:c>
      <x:c r="D9" s="47" t="str">
        <x:v>H5</x:v>
      </x:c>
      <x:c r="E9" s="47" t="str">
        <x:v>S-BATTERY; P-CONDUCTOR; S-WIRE; T-METER</x:v>
      </x:c>
      <x:c r="F9" s="47" t="str">
        <x:v>T-METER</x:v>
      </x:c>
      <x:c r="G9" s="47" t="str">
        <x:v>W-ELECTRICAL</x:v>
      </x:c>
      <x:c r="H9" s="47" t="str">
        <x:v>electrical</x:v>
      </x:c>
      <x:c r="I9" s="47" t="n">
        <x:v>900</x:v>
      </x:c>
      <x:c r="J9" s="47" t="str">
        <x:v>capacity/fault/thermal</x:v>
      </x:c>
      <x:c r="K9" s="47" t="str">
        <x:v>Supporting node</x:v>
      </x:c>
    </x:row>
    <x:row r="10">
      <x:c r="A10" s="47" t="str">
        <x:v>A-GRID</x:v>
      </x:c>
      <x:c r="B10" s="47" t="str">
        <x:v>Camp microgrid</x:v>
      </x:c>
      <x:c r="C10" s="47" t="str">
        <x:v>Endpoint</x:v>
      </x:c>
      <x:c r="D10" s="47" t="str">
        <x:v>H5</x:v>
      </x:c>
      <x:c r="E10" s="47" t="str">
        <x:v>A-GENERATOR; A-BANK; P-CONDUCTOR; A-LAMP</x:v>
      </x:c>
      <x:c r="F10" s="47" t="str">
        <x:v>T-METER</x:v>
      </x:c>
      <x:c r="G10" s="47" t="str">
        <x:v>working home</x:v>
      </x:c>
      <x:c r="H10" s="47" t="str">
        <x:v>electrical / governance</x:v>
      </x:c>
      <x:c r="I10" s="47" t="n">
        <x:v>1800</x:v>
      </x:c>
      <x:c r="J10" s="47" t="str">
        <x:v>fault/load/wet weather</x:v>
      </x:c>
      <x:c r="K10" s="47" t="str">
        <x:v>Supporting node</x:v>
      </x:c>
    </x:row>
    <x:row r="11">
      <x:c r="A11" s="47" t="str">
        <x:v>A-PRESSURE-CONTROL</x:v>
      </x:c>
      <x:c r="B11" s="47" t="str">
        <x:v>Pressure relief and control set</x:v>
      </x:c>
      <x:c r="C11" s="47" t="str">
        <x:v>Assembly</x:v>
      </x:c>
      <x:c r="D11" s="47" t="str">
        <x:v>H5</x:v>
      </x:c>
      <x:c r="E11" s="47" t="str">
        <x:v>A-VALVE; T-METER</x:v>
      </x:c>
      <x:c r="F11" s="47" t="str">
        <x:v>meter / valve tools</x:v>
      </x:c>
      <x:c r="G11" s="47" t="str">
        <x:v>precision bench</x:v>
      </x:c>
      <x:c r="H11" s="47" t="str">
        <x:v>pressure systems</x:v>
      </x:c>
      <x:c r="I11" s="47" t="n">
        <x:v>240</x:v>
      </x:c>
      <x:c r="J11" s="47" t="str">
        <x:v>safe relief/control test</x:v>
      </x:c>
      <x:c r="K11" s="47" t="str">
        <x:v>Too coarse; electrical meter is not a complete pressure instrumentation set</x:v>
      </x:c>
    </x:row>
    <x:row r="12">
      <x:c r="A12" s="47" t="str">
        <x:v>A-PRESSURE-BOILER</x:v>
      </x:c>
      <x:c r="B12" s="47" t="str">
        <x:v>Qualified pressure boiler</x:v>
      </x:c>
      <x:c r="C12" s="47" t="str">
        <x:v>Assembly</x:v>
      </x:c>
      <x:c r="D12" s="47" t="str">
        <x:v>H6</x:v>
      </x:c>
      <x:c r="E12" s="47" t="str">
        <x:v>P-METAL-STOCK; A-PRESSURE-CONTROL</x:v>
      </x:c>
      <x:c r="F12" s="47" t="str">
        <x:v>metal/pressure tools</x:v>
      </x:c>
      <x:c r="G12" s="47" t="str">
        <x:v>separate power house</x:v>
      </x:c>
      <x:c r="H12" s="47" t="str">
        <x:v>boiler integrity and feedwater</x:v>
      </x:c>
      <x:c r="I12" s="47" t="n">
        <x:v>960</x:v>
      </x:c>
      <x:c r="J12" s="47" t="str">
        <x:v>qualified boundary and shutdown</x:v>
      </x:c>
      <x:c r="K12" s="47" t="str">
        <x:v>Too coarse; shell, joints, firebox, feedwater and instruments are not separated</x:v>
      </x:c>
    </x:row>
    <x:row r="13">
      <x:c r="A13" s="47" t="str">
        <x:v>A-STEAM-ENGINE</x:v>
      </x:c>
      <x:c r="B13" s="47" t="str">
        <x:v>Steam prime mover</x:v>
      </x:c>
      <x:c r="C13" s="47" t="str">
        <x:v>Assembly</x:v>
      </x:c>
      <x:c r="D13" s="47" t="str">
        <x:v>H6</x:v>
      </x:c>
      <x:c r="E13" s="47" t="str">
        <x:v>A-PRESSURE-BOILER; S-BEARING</x:v>
      </x:c>
      <x:c r="F13" s="47" t="str">
        <x:v>precision tools</x:v>
      </x:c>
      <x:c r="G13" s="47" t="str">
        <x:v>power house</x:v>
      </x:c>
      <x:c r="H13" s="47" t="str">
        <x:v>mechanics and steam</x:v>
      </x:c>
      <x:c r="I13" s="47" t="n">
        <x:v>1200</x:v>
      </x:c>
      <x:c r="J13" s="47" t="str">
        <x:v>controlled no-load and load run</x:v>
      </x:c>
      <x:c r="K13" s="47" t="str">
        <x:v>Too coarse; boiler + bearing does not define a prime mover</x:v>
      </x:c>
    </x:row>
    <x:row r="14">
      <x:c r="A14" s="47" t="str">
        <x:v>A-STEAM-PUMP</x:v>
      </x:c>
      <x:c r="B14" s="47" t="str">
        <x:v>Steam-driven water/mine pump</x:v>
      </x:c>
      <x:c r="C14" s="47" t="str">
        <x:v>Endpoint</x:v>
      </x:c>
      <x:c r="D14" s="47" t="str">
        <x:v>H6</x:v>
      </x:c>
      <x:c r="E14" s="47" t="str">
        <x:v>A-STEAM-ENGINE; A-PUMP</x:v>
      </x:c>
      <x:c r="F14" s="47" t="str">
        <x:v>engine/pump tools</x:v>
      </x:c>
      <x:c r="G14" s="47" t="str">
        <x:v>power/water system</x:v>
      </x:c>
      <x:c r="H14" s="47" t="str">
        <x:v>hydraulics and steam</x:v>
      </x:c>
      <x:c r="I14" s="47" t="n">
        <x:v>240</x:v>
      </x:c>
      <x:c r="J14" s="47" t="str">
        <x:v>flow and safe-stop test</x:v>
      </x:c>
      <x:c r="K14" s="47" t="str">
        <x:v>Supporting node</x:v>
      </x:c>
    </x:row>
    <x:row r="15">
      <x:c r="A15" s="47" t="str">
        <x:v>A-STEAM-GEN</x:v>
      </x:c>
      <x:c r="B15" s="47" t="str">
        <x:v>Steam-electric generation set</x:v>
      </x:c>
      <x:c r="C15" s="47" t="str">
        <x:v>Endpoint</x:v>
      </x:c>
      <x:c r="D15" s="47" t="str">
        <x:v>H6</x:v>
      </x:c>
      <x:c r="E15" s="47" t="str">
        <x:v>A-STEAM-ENGINE; A-GENERATOR</x:v>
      </x:c>
      <x:c r="F15" s="47" t="str">
        <x:v>meter / precision tools</x:v>
      </x:c>
      <x:c r="G15" s="47" t="str">
        <x:v>power house</x:v>
      </x:c>
      <x:c r="H15" s="47" t="str">
        <x:v>steam + electrical</x:v>
      </x:c>
      <x:c r="I15" s="47" t="n">
        <x:v>360</x:v>
      </x:c>
      <x:c r="J15" s="47" t="str">
        <x:v>stable protected output</x:v>
      </x:c>
      <x:c r="K15" s="47" t="str">
        <x:v>Valid endpoint name; incomplete ancestry</x:v>
      </x:c>
    </x:row>
    <x:row r="19" ht="30" customHeight="1">
      <x:c r="A19" s="16" t="str">
        <x:v>Proposed ID</x:v>
      </x:c>
      <x:c r="B19" s="17" t="str">
        <x:v>Required subassembly</x:v>
      </x:c>
      <x:c r="C19" s="17" t="str">
        <x:v>System</x:v>
      </x:c>
      <x:c r="D19" s="17" t="str">
        <x:v>Knowledge / skill</x:v>
      </x:c>
      <x:c r="E19" s="17" t="str">
        <x:v>Qualification role</x:v>
      </x:c>
      <x:c r="F19" s="17" t="str">
        <x:v>Director action</x:v>
      </x:c>
      <x:c r="G19" s="18" t="str">
        <x:v>Director notes</x:v>
      </x:c>
    </x:row>
    <x:row r="20">
      <x:c r="A20" s="46" t="str">
        <x:v>STEAM-01</x:v>
      </x:c>
      <x:c r="B20" s="46" t="str">
        <x:v>Combustion/firebox module</x:v>
      </x:c>
      <x:c r="C20" s="46" t="str">
        <x:v>Heat source</x:v>
      </x:c>
      <x:c r="D20" s="46" t="str">
        <x:v>Firecraft + metal/ceramic</x:v>
      </x:c>
      <x:c r="E20" s="46" t="str">
        <x:v>Controlled heat delivery and safe isolation</x:v>
      </x:c>
      <x:c r="F20" s="48"/>
      <x:c r="G20" s="48"/>
    </x:row>
    <x:row r="21">
      <x:c r="A21" s="47" t="str">
        <x:v>STEAM-02</x:v>
      </x:c>
      <x:c r="B21" s="47" t="str">
        <x:v>Treated feedwater reserve</x:v>
      </x:c>
      <x:c r="C21" s="47" t="str">
        <x:v>Water system</x:v>
      </x:c>
      <x:c r="D21" s="47" t="str">
        <x:v>Water chemistry + sanitation</x:v>
      </x:c>
      <x:c r="E21" s="47" t="str">
        <x:v>Known protected feedwater lot</x:v>
      </x:c>
      <x:c r="F21" s="49"/>
      <x:c r="G21" s="49"/>
    </x:row>
    <x:row r="22">
      <x:c r="A22" s="47" t="str">
        <x:v>STEAM-03</x:v>
      </x:c>
      <x:c r="B22" s="47" t="str">
        <x:v>Feedwater pump or injector</x:v>
      </x:c>
      <x:c r="C22" s="47" t="str">
        <x:v>Boiler support</x:v>
      </x:c>
      <x:c r="D22" s="47" t="str">
        <x:v>Hydraulics + mechanics</x:v>
      </x:c>
      <x:c r="E22" s="47" t="str">
        <x:v>Stable feed against operating pressure</x:v>
      </x:c>
      <x:c r="F22" s="49"/>
      <x:c r="G22" s="49"/>
    </x:row>
    <x:row r="23">
      <x:c r="A23" s="47" t="str">
        <x:v>STEAM-04</x:v>
      </x:c>
      <x:c r="B23" s="47" t="str">
        <x:v>Qualified pressure shell/drum</x:v>
      </x:c>
      <x:c r="C23" s="47" t="str">
        <x:v>Boiler boundary</x:v>
      </x:c>
      <x:c r="D23" s="47" t="str">
        <x:v>Metallurgy + pressure integrity</x:v>
      </x:c>
      <x:c r="E23" s="47" t="str">
        <x:v>Independent integrity qualification</x:v>
      </x:c>
      <x:c r="F23" s="49"/>
      <x:c r="G23" s="49"/>
    </x:row>
    <x:row r="24">
      <x:c r="A24" s="47" t="str">
        <x:v>STEAM-05</x:v>
      </x:c>
      <x:c r="B24" s="47" t="str">
        <x:v>Heating surface / tube bank</x:v>
      </x:c>
      <x:c r="C24" s="47" t="str">
        <x:v>Boiler boundary</x:v>
      </x:c>
      <x:c r="D24" s="47" t="str">
        <x:v>Heat transfer + joints</x:v>
      </x:c>
      <x:c r="E24" s="47" t="str">
        <x:v>Leak-free thermal cycling</x:v>
      </x:c>
      <x:c r="F24" s="49"/>
      <x:c r="G24" s="49"/>
    </x:row>
    <x:row r="25">
      <x:c r="A25" s="47" t="str">
        <x:v>STEAM-06</x:v>
      </x:c>
      <x:c r="B25" s="47" t="str">
        <x:v>Qualified pressure joints/fittings</x:v>
      </x:c>
      <x:c r="C25" s="47" t="str">
        <x:v>Boiler boundary</x:v>
      </x:c>
      <x:c r="D25" s="47" t="str">
        <x:v>Joining + metallurgy</x:v>
      </x:c>
      <x:c r="E25" s="47" t="str">
        <x:v>Proof under pressure and temperature variation</x:v>
      </x:c>
      <x:c r="F25" s="49"/>
      <x:c r="G25" s="49"/>
    </x:row>
    <x:row r="26">
      <x:c r="A26" s="47" t="str">
        <x:v>STEAM-07</x:v>
      </x:c>
      <x:c r="B26" s="47" t="str">
        <x:v>Safety relief valve</x:v>
      </x:c>
      <x:c r="C26" s="47" t="str">
        <x:v>Mandatory safety</x:v>
      </x:c>
      <x:c r="D26" s="47" t="str">
        <x:v>Pressure control</x:v>
      </x:c>
      <x:c r="E26" s="47" t="str">
        <x:v>Opens, reseats and remains inspectable</x:v>
      </x:c>
      <x:c r="F26" s="49"/>
      <x:c r="G26" s="49"/>
    </x:row>
    <x:row r="27">
      <x:c r="A27" s="47" t="str">
        <x:v>STEAM-08</x:v>
      </x:c>
      <x:c r="B27" s="47" t="str">
        <x:v>Independent pressure gauge</x:v>
      </x:c>
      <x:c r="C27" s="47" t="str">
        <x:v>Mandatory instrument</x:v>
      </x:c>
      <x:c r="D27" s="47" t="str">
        <x:v>Measurement + calibration</x:v>
      </x:c>
      <x:c r="E27" s="47" t="str">
        <x:v>Known-reference calibration</x:v>
      </x:c>
      <x:c r="F27" s="49"/>
      <x:c r="G27" s="49"/>
    </x:row>
    <x:row r="28">
      <x:c r="A28" s="47" t="str">
        <x:v>STEAM-09</x:v>
      </x:c>
      <x:c r="B28" s="47" t="str">
        <x:v>Water-level indicator</x:v>
      </x:c>
      <x:c r="C28" s="47" t="str">
        <x:v>Mandatory instrument</x:v>
      </x:c>
      <x:c r="D28" s="47" t="str">
        <x:v>Boiler operation</x:v>
      </x:c>
      <x:c r="E28" s="47" t="str">
        <x:v>Accurate low-water warning</x:v>
      </x:c>
      <x:c r="F28" s="49"/>
      <x:c r="G28" s="49"/>
    </x:row>
    <x:row r="29">
      <x:c r="A29" s="47" t="str">
        <x:v>STEAM-10</x:v>
      </x:c>
      <x:c r="B29" s="47" t="str">
        <x:v>Steam stop/throttle valve</x:v>
      </x:c>
      <x:c r="C29" s="47" t="str">
        <x:v>Control</x:v>
      </x:c>
      <x:c r="D29" s="47" t="str">
        <x:v>Valves + operation</x:v>
      </x:c>
      <x:c r="E29" s="47" t="str">
        <x:v>Controlled isolation and modulation</x:v>
      </x:c>
      <x:c r="F29" s="49"/>
      <x:c r="G29" s="49"/>
    </x:row>
    <x:row r="30">
      <x:c r="A30" s="47" t="str">
        <x:v>STEAM-11</x:v>
      </x:c>
      <x:c r="B30" s="47" t="str">
        <x:v>Blowdown/drain system</x:v>
      </x:c>
      <x:c r="C30" s="47" t="str">
        <x:v>Maintenance/safety</x:v>
      </x:c>
      <x:c r="D30" s="47" t="str">
        <x:v>Water chemistry + valves</x:v>
      </x:c>
      <x:c r="E30" s="47" t="str">
        <x:v>Safe drain and scale-management route</x:v>
      </x:c>
      <x:c r="F30" s="49"/>
      <x:c r="G30" s="49"/>
    </x:row>
    <x:row r="31">
      <x:c r="A31" s="47" t="str">
        <x:v>STEAM-12</x:v>
      </x:c>
      <x:c r="B31" s="47" t="str">
        <x:v>Insulated steam line</x:v>
      </x:c>
      <x:c r="C31" s="47" t="str">
        <x:v>Steam delivery</x:v>
      </x:c>
      <x:c r="D31" s="47" t="str">
        <x:v>Pipework + insulation</x:v>
      </x:c>
      <x:c r="E31" s="47" t="str">
        <x:v>Leak, expansion and burn-hazard test</x:v>
      </x:c>
      <x:c r="F31" s="49"/>
      <x:c r="G31" s="49"/>
    </x:row>
    <x:row r="32">
      <x:c r="A32" s="47" t="str">
        <x:v>STEAM-13</x:v>
      </x:c>
      <x:c r="B32" s="47" t="str">
        <x:v>Cylinder and bore</x:v>
      </x:c>
      <x:c r="C32" s="47" t="str">
        <x:v>Prime mover</x:v>
      </x:c>
      <x:c r="D32" s="47" t="str">
        <x:v>Precision machining + metallurgy</x:v>
      </x:c>
      <x:c r="E32" s="47" t="str">
        <x:v>Roundness, finish and leak test</x:v>
      </x:c>
      <x:c r="F32" s="49"/>
      <x:c r="G32" s="49"/>
    </x:row>
    <x:row r="33">
      <x:c r="A33" s="47" t="str">
        <x:v>STEAM-14</x:v>
      </x:c>
      <x:c r="B33" s="47" t="str">
        <x:v>Piston and sealing set</x:v>
      </x:c>
      <x:c r="C33" s="47" t="str">
        <x:v>Prime mover</x:v>
      </x:c>
      <x:c r="D33" s="47" t="str">
        <x:v>Fit + sealing</x:v>
      </x:c>
      <x:c r="E33" s="47" t="str">
        <x:v>Low-friction pressure seal</x:v>
      </x:c>
      <x:c r="F33" s="49"/>
      <x:c r="G33" s="49"/>
    </x:row>
    <x:row r="34">
      <x:c r="A34" s="47" t="str">
        <x:v>STEAM-15</x:v>
      </x:c>
      <x:c r="B34" s="47" t="str">
        <x:v>Connecting rod</x:v>
      </x:c>
      <x:c r="C34" s="47" t="str">
        <x:v>Prime mover</x:v>
      </x:c>
      <x:c r="D34" s="47" t="str">
        <x:v>Mechanics + forging/machining</x:v>
      </x:c>
      <x:c r="E34" s="47" t="str">
        <x:v>Alignment and fatigue proof</x:v>
      </x:c>
      <x:c r="F34" s="49"/>
      <x:c r="G34" s="49"/>
    </x:row>
    <x:row r="35">
      <x:c r="A35" s="47" t="str">
        <x:v>STEAM-16</x:v>
      </x:c>
      <x:c r="B35" s="47" t="str">
        <x:v>Crankshaft</x:v>
      </x:c>
      <x:c r="C35" s="47" t="str">
        <x:v>Prime mover</x:v>
      </x:c>
      <x:c r="D35" s="47" t="str">
        <x:v>Precision metalwork</x:v>
      </x:c>
      <x:c r="E35" s="47" t="str">
        <x:v>Runout and load proof</x:v>
      </x:c>
      <x:c r="F35" s="49"/>
      <x:c r="G35" s="49"/>
    </x:row>
    <x:row r="36">
      <x:c r="A36" s="47" t="str">
        <x:v>STEAM-17</x:v>
      </x:c>
      <x:c r="B36" s="47" t="str">
        <x:v>Bearing set</x:v>
      </x:c>
      <x:c r="C36" s="47" t="str">
        <x:v>Prime mover</x:v>
      </x:c>
      <x:c r="D36" s="47" t="str">
        <x:v>Fit + lubrication</x:v>
      </x:c>
      <x:c r="E36" s="47" t="str">
        <x:v>Temperature and load run</x:v>
      </x:c>
      <x:c r="F36" s="49"/>
      <x:c r="G36" s="49"/>
    </x:row>
    <x:row r="37">
      <x:c r="A37" s="47" t="str">
        <x:v>STEAM-18</x:v>
      </x:c>
      <x:c r="B37" s="47" t="str">
        <x:v>Flywheel</x:v>
      </x:c>
      <x:c r="C37" s="47" t="str">
        <x:v>Prime mover</x:v>
      </x:c>
      <x:c r="D37" s="47" t="str">
        <x:v>Balance + stored-energy safety</x:v>
      </x:c>
      <x:c r="E37" s="47" t="str">
        <x:v>Guarded balance/overspeed test</x:v>
      </x:c>
      <x:c r="F37" s="49"/>
      <x:c r="G37" s="49"/>
    </x:row>
    <x:row r="38">
      <x:c r="A38" s="47" t="str">
        <x:v>STEAM-19</x:v>
      </x:c>
      <x:c r="B38" s="47" t="str">
        <x:v>Valve gear / timing mechanism</x:v>
      </x:c>
      <x:c r="C38" s="47" t="str">
        <x:v>Prime mover</x:v>
      </x:c>
      <x:c r="D38" s="47" t="str">
        <x:v>Mechanics + control</x:v>
      </x:c>
      <x:c r="E38" s="47" t="str">
        <x:v>Repeatable timing across load</x:v>
      </x:c>
      <x:c r="F38" s="49"/>
      <x:c r="G38" s="49"/>
    </x:row>
    <x:row r="39">
      <x:c r="A39" s="47" t="str">
        <x:v>STEAM-20</x:v>
      </x:c>
      <x:c r="B39" s="47" t="str">
        <x:v>Speed governor</x:v>
      </x:c>
      <x:c r="C39" s="47" t="str">
        <x:v>Mandatory control</x:v>
      </x:c>
      <x:c r="D39" s="47" t="str">
        <x:v>Mechanics + instrumentation</x:v>
      </x:c>
      <x:c r="E39" s="47" t="str">
        <x:v>Load-change and overspeed shutdown</x:v>
      </x:c>
      <x:c r="F39" s="49"/>
      <x:c r="G39" s="49"/>
    </x:row>
    <x:row r="40">
      <x:c r="A40" s="47" t="str">
        <x:v>STEAM-21</x:v>
      </x:c>
      <x:c r="B40" s="47" t="str">
        <x:v>Lubrication reservoir and delivery</x:v>
      </x:c>
      <x:c r="C40" s="47" t="str">
        <x:v>Prime mover support</x:v>
      </x:c>
      <x:c r="D40" s="47" t="str">
        <x:v>Lubricants + contamination control</x:v>
      </x:c>
      <x:c r="E40" s="47" t="str">
        <x:v>Continuous lubrication evidence</x:v>
      </x:c>
      <x:c r="F40" s="49"/>
      <x:c r="G40" s="49"/>
    </x:row>
    <x:row r="41">
      <x:c r="A41" s="47" t="str">
        <x:v>STEAM-22</x:v>
      </x:c>
      <x:c r="B41" s="47" t="str">
        <x:v>Exhaust / condenser / condensate route</x:v>
      </x:c>
      <x:c r="C41" s="47" t="str">
        <x:v>Steam cycle</x:v>
      </x:c>
      <x:c r="D41" s="47" t="str">
        <x:v>Heat transfer + water</x:v>
      </x:c>
      <x:c r="E41" s="47" t="str">
        <x:v>Safe exhaust or recovered condensate</x:v>
      </x:c>
      <x:c r="F41" s="49"/>
      <x:c r="G41" s="49"/>
    </x:row>
    <x:row r="42">
      <x:c r="A42" s="47" t="str">
        <x:v>STEAM-23</x:v>
      </x:c>
      <x:c r="B42" s="47" t="str">
        <x:v>Rigid base, guards and alignment mounts</x:v>
      </x:c>
      <x:c r="C42" s="47" t="str">
        <x:v>Machine structure</x:v>
      </x:c>
      <x:c r="D42" s="47" t="str">
        <x:v>Construction + precision layout</x:v>
      </x:c>
      <x:c r="E42" s="47" t="str">
        <x:v>Alignment and guard inspection</x:v>
      </x:c>
      <x:c r="F42" s="49"/>
      <x:c r="G42" s="49"/>
    </x:row>
    <x:row r="43">
      <x:c r="A43" s="47" t="str">
        <x:v>ELEC-01</x:v>
      </x:c>
      <x:c r="B43" s="47" t="str">
        <x:v>Flexible shaft coupling</x:v>
      </x:c>
      <x:c r="C43" s="47" t="str">
        <x:v>Power transmission</x:v>
      </x:c>
      <x:c r="D43" s="47" t="str">
        <x:v>Mechanics + alignment</x:v>
      </x:c>
      <x:c r="E43" s="47" t="str">
        <x:v>No-load and load alignment test</x:v>
      </x:c>
      <x:c r="F43" s="49"/>
      <x:c r="G43" s="49"/>
    </x:row>
    <x:row r="44">
      <x:c r="A44" s="47" t="str">
        <x:v>ELEC-02</x:v>
      </x:c>
      <x:c r="B44" s="47" t="str">
        <x:v>Generator rotor</x:v>
      </x:c>
      <x:c r="C44" s="47" t="str">
        <x:v>Generator</x:v>
      </x:c>
      <x:c r="D44" s="47" t="str">
        <x:v>Electrical + rotating machinery</x:v>
      </x:c>
      <x:c r="E44" s="47" t="str">
        <x:v>Balance and field test</x:v>
      </x:c>
      <x:c r="F44" s="49"/>
      <x:c r="G44" s="49"/>
    </x:row>
    <x:row r="45">
      <x:c r="A45" s="47" t="str">
        <x:v>ELEC-03</x:v>
      </x:c>
      <x:c r="B45" s="47" t="str">
        <x:v>Generator stator/windings</x:v>
      </x:c>
      <x:c r="C45" s="47" t="str">
        <x:v>Generator</x:v>
      </x:c>
      <x:c r="D45" s="47" t="str">
        <x:v>Copper work + insulation</x:v>
      </x:c>
      <x:c r="E45" s="47" t="str">
        <x:v>Continuity and insulation test</x:v>
      </x:c>
      <x:c r="F45" s="49"/>
      <x:c r="G45" s="49"/>
    </x:row>
    <x:row r="46">
      <x:c r="A46" s="47" t="str">
        <x:v>ELEC-04</x:v>
      </x:c>
      <x:c r="B46" s="47" t="str">
        <x:v>Field magnet / excitation module</x:v>
      </x:c>
      <x:c r="C46" s="47" t="str">
        <x:v>Generator</x:v>
      </x:c>
      <x:c r="D46" s="47" t="str">
        <x:v>Electrical + materials</x:v>
      </x:c>
      <x:c r="E46" s="47" t="str">
        <x:v>Stable field under temperature</x:v>
      </x:c>
      <x:c r="F46" s="49"/>
      <x:c r="G46" s="49"/>
    </x:row>
    <x:row r="47">
      <x:c r="A47" s="47" t="str">
        <x:v>ELEC-05</x:v>
      </x:c>
      <x:c r="B47" s="47" t="str">
        <x:v>Rectifier/regulator set</x:v>
      </x:c>
      <x:c r="C47" s="47" t="str">
        <x:v>Power conditioning</x:v>
      </x:c>
      <x:c r="D47" s="47" t="str">
        <x:v>Electronics + heat</x:v>
      </x:c>
      <x:c r="E47" s="47" t="str">
        <x:v>Stable protected output</x:v>
      </x:c>
      <x:c r="F47" s="49"/>
      <x:c r="G47" s="49"/>
    </x:row>
    <x:row r="48">
      <x:c r="A48" s="47" t="str">
        <x:v>ELEC-06</x:v>
      </x:c>
      <x:c r="B48" s="47" t="str">
        <x:v>Fuse/breaker/disconnect panel</x:v>
      </x:c>
      <x:c r="C48" s="47" t="str">
        <x:v>Mandatory protection</x:v>
      </x:c>
      <x:c r="D48" s="47" t="str">
        <x:v>Electrical safety</x:v>
      </x:c>
      <x:c r="E48" s="47" t="str">
        <x:v>Fault isolation test</x:v>
      </x:c>
      <x:c r="F48" s="49"/>
      <x:c r="G48" s="49"/>
    </x:row>
    <x:row r="49">
      <x:c r="A49" s="47" t="str">
        <x:v>ELEC-07</x:v>
      </x:c>
      <x:c r="B49" s="47" t="str">
        <x:v>Charge controller</x:v>
      </x:c>
      <x:c r="C49" s="47" t="str">
        <x:v>Storage interface</x:v>
      </x:c>
      <x:c r="D49" s="47" t="str">
        <x:v>Electrical control</x:v>
      </x:c>
      <x:c r="E49" s="47" t="str">
        <x:v>Battery-compatible charge limits</x:v>
      </x:c>
      <x:c r="F49" s="49"/>
      <x:c r="G49" s="49"/>
    </x:row>
    <x:row r="50">
      <x:c r="A50" s="47" t="str">
        <x:v>ELEC-08</x:v>
      </x:c>
      <x:c r="B50" s="47" t="str">
        <x:v>Protected battery bank</x:v>
      </x:c>
      <x:c r="C50" s="47" t="str">
        <x:v>Storage</x:v>
      </x:c>
      <x:c r="D50" s="47" t="str">
        <x:v>Battery care + ventilation</x:v>
      </x:c>
      <x:c r="E50" s="47" t="str">
        <x:v>Charge/discharge/temperature test</x:v>
      </x:c>
      <x:c r="F50" s="49"/>
      <x:c r="G50" s="49"/>
    </x:row>
    <x:row r="51">
      <x:c r="A51" s="47" t="str">
        <x:v>ELEC-09</x:v>
      </x:c>
      <x:c r="B51" s="47" t="str">
        <x:v>Distribution bus and protected conductors</x:v>
      </x:c>
      <x:c r="C51" s="47" t="str">
        <x:v>Distribution</x:v>
      </x:c>
      <x:c r="D51" s="47" t="str">
        <x:v>Electrical installation</x:v>
      </x:c>
      <x:c r="E51" s="47" t="str">
        <x:v>Wet-weather insulation and load test</x:v>
      </x:c>
      <x:c r="F51" s="49"/>
      <x:c r="G51" s="49"/>
    </x:row>
    <x:row r="52">
      <x:c r="A52" s="47" t="str">
        <x:v>ELEC-10</x:v>
      </x:c>
      <x:c r="B52" s="47" t="str">
        <x:v>Camp microgrid control board</x:v>
      </x:c>
      <x:c r="C52" s="47" t="str">
        <x:v>Distribution/control</x:v>
      </x:c>
      <x:c r="D52" s="47" t="str">
        <x:v>Electrical governance</x:v>
      </x:c>
      <x:c r="E52" s="47" t="str">
        <x:v>Priority-load and safe-shed test</x:v>
      </x:c>
      <x:c r="F52" s="49"/>
      <x:c r="G52" s="49"/>
    </x:row>
    <x:row r="53">
      <x:c r="A53" s="47" t="str">
        <x:v>ELEC-11</x:v>
      </x:c>
      <x:c r="B53" s="47" t="str">
        <x:v>Grounding/bonding and lightning protection</x:v>
      </x:c>
      <x:c r="C53" s="47" t="str">
        <x:v>Protection</x:v>
      </x:c>
      <x:c r="D53" s="47" t="str">
        <x:v>Electrical + weather</x:v>
      </x:c>
      <x:c r="E53" s="47" t="str">
        <x:v>Fault path and storm inspection</x:v>
      </x:c>
      <x:c r="F53" s="49"/>
      <x:c r="G53" s="49"/>
    </x:row>
    <x:row r="54">
      <x:c r="A54" s="47" t="str">
        <x:v>TEST-01</x:v>
      </x:c>
      <x:c r="B54" s="47" t="str">
        <x:v>Hydrostatic boundary test rig</x:v>
      </x:c>
      <x:c r="C54" s="47" t="str">
        <x:v>Qualification</x:v>
      </x:c>
      <x:c r="D54" s="47" t="str">
        <x:v>Pressure testing</x:v>
      </x:c>
      <x:c r="E54" s="47" t="str">
        <x:v>Non-fired integrity proof</x:v>
      </x:c>
      <x:c r="F54" s="49"/>
      <x:c r="G54" s="49"/>
    </x:row>
    <x:row r="55">
      <x:c r="A55" s="47" t="str">
        <x:v>TEST-02</x:v>
      </x:c>
      <x:c r="B55" s="47" t="str">
        <x:v>No-load engine test stand</x:v>
      </x:c>
      <x:c r="C55" s="47" t="str">
        <x:v>Qualification</x:v>
      </x:c>
      <x:c r="D55" s="47" t="str">
        <x:v>Mechanics + steam</x:v>
      </x:c>
      <x:c r="E55" s="47" t="str">
        <x:v>Controlled start, run and stop</x:v>
      </x:c>
      <x:c r="F55" s="49"/>
      <x:c r="G55" s="49"/>
    </x:row>
    <x:row r="56">
      <x:c r="A56" s="47" t="str">
        <x:v>TEST-03</x:v>
      </x:c>
      <x:c r="B56" s="47" t="str">
        <x:v>Overspeed and emergency-stop test</x:v>
      </x:c>
      <x:c r="C56" s="47" t="str">
        <x:v>Qualification</x:v>
      </x:c>
      <x:c r="D56" s="47" t="str">
        <x:v>Controls + safety</x:v>
      </x:c>
      <x:c r="E56" s="47" t="str">
        <x:v>Independent shutdown proof</x:v>
      </x:c>
      <x:c r="F56" s="49"/>
      <x:c r="G56" s="49"/>
    </x:row>
    <x:row r="57">
      <x:c r="A57" s="47" t="str">
        <x:v>TEST-04</x:v>
      </x:c>
      <x:c r="B57" s="47" t="str">
        <x:v>Generator load bank</x:v>
      </x:c>
      <x:c r="C57" s="47" t="str">
        <x:v>Qualification</x:v>
      </x:c>
      <x:c r="D57" s="47" t="str">
        <x:v>Electrical measurement</x:v>
      </x:c>
      <x:c r="E57" s="47" t="str">
        <x:v>Output, heat and regulation proof</x:v>
      </x:c>
      <x:c r="F57" s="49"/>
      <x:c r="G57" s="49"/>
    </x:row>
  </x:sheetData>
  <x:mergeCells>
    <x:mergeCell ref="A1:K1"/>
    <x:mergeCell ref="A2:K2"/>
  </x:mergeCells>
  <x:dataValidations count="1">
    <x:dataValidation type="list" sqref="F20:F57">
      <x:formula1>"Add,Merge,Reject,Needs review"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534d8058c29241e3"/>
    <x:tablePart xmlns:r="http://schemas.openxmlformats.org/officeDocument/2006/relationships" r:id="Rd473bf25ce2140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24" hidden="0" customWidth="1"/>
    <x:col min="4" max="4" width="40" hidden="0" customWidth="1"/>
    <x:col min="5" max="5" width="18" hidden="0" customWidth="1"/>
    <x:col min="6" max="6" width="18" hidden="0" customWidth="1"/>
    <x:col min="7" max="7" width="42" hidden="0" customWidth="1"/>
    <x:col min="8" max="8" width="12" hidden="0" customWidth="1"/>
  </x:cols>
  <x:sheetData>
    <x:row r="1" ht="28" customHeight="1">
      <x:c r="A1" s="3" t="str">
        <x:v>Recovered Earlier-Canon Names Missing from v2.8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These names appeared in the earlier crafting, hunting, or civilization canon but are not exact standalone v2.8 node names. Similar concepts may be compressed into a family; use Closest current node before deciding to add or split.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6" t="str">
        <x:v>Earlier-canon name</x:v>
      </x:c>
      <x:c r="B4" s="17" t="str">
        <x:v>Category</x:v>
      </x:c>
      <x:c r="C4" s="17" t="str">
        <x:v>Source</x:v>
      </x:c>
      <x:c r="D4" s="17" t="str">
        <x:v>Closest current node / treatment</x:v>
      </x:c>
      <x:c r="E4" s="17" t="str">
        <x:v>Exact v2.8 name?</x:v>
      </x:c>
      <x:c r="F4" s="17" t="str">
        <x:v>Director action</x:v>
      </x:c>
      <x:c r="G4" s="17" t="str">
        <x:v>Director notes</x:v>
      </x:c>
      <x:c r="H4" s="18" t="str">
        <x:v>Priority</x:v>
      </x:c>
    </x:row>
    <x:row r="5">
      <x:c r="A5" s="46" t="str">
        <x:v>Tinder bundle</x:v>
      </x:c>
      <x:c r="B5" s="46" t="str">
        <x:v>Fire</x:v>
      </x:c>
      <x:c r="C5" s="46" t="str">
        <x:v>v0.4 Tier 0</x:v>
      </x:c>
      <x:c r="D5" s="46" t="str">
        <x:v>Tinder/fuel is implicit</x:v>
      </x:c>
      <x:c r="E5" s="46" t="str">
        <x:f>IF(COUNTIF('Master Catalogue'!$B$5:$B$226,A5)&gt;0,"Yes","No")</x:f>
        <x:v>No</x:v>
      </x:c>
      <x:c r="F5" s="48"/>
      <x:c r="G5" s="48"/>
      <x:c r="H5" s="48"/>
    </x:row>
    <x:row r="6">
      <x:c r="A6" s="47" t="str">
        <x:v>Simple torch</x:v>
      </x:c>
      <x:c r="B6" s="47" t="str">
        <x:v>Light</x:v>
      </x:c>
      <x:c r="C6" s="47" t="str">
        <x:v>v0.4 Tier 0</x:v>
      </x:c>
      <x:c r="D6" s="47" t="str">
        <x:v>Protected lamp/light</x:v>
      </x:c>
      <x:c r="E6" s="47" t="str">
        <x:f>IF(COUNTIF('Master Catalogue'!$B$5:$B$226,A6)&gt;0,"Yes","No")</x:f>
        <x:v>No</x:v>
      </x:c>
      <x:c r="F6" s="49"/>
      <x:c r="G6" s="49"/>
      <x:c r="H6" s="49"/>
    </x:row>
    <x:row r="7">
      <x:c r="A7" s="47" t="str">
        <x:v>Leaf shelter</x:v>
      </x:c>
      <x:c r="B7" s="47" t="str">
        <x:v>Shelter</x:v>
      </x:c>
      <x:c r="C7" s="47" t="str">
        <x:v>v0.4 Tier 0</x:v>
      </x:c>
      <x:c r="D7" s="47" t="str">
        <x:v>Windbreak + rain roof</x:v>
      </x:c>
      <x:c r="E7" s="47" t="str">
        <x:f>IF(COUNTIF('Master Catalogue'!$B$5:$B$226,A7)&gt;0,"Yes","No")</x:f>
        <x:v>No</x:v>
      </x:c>
      <x:c r="F7" s="49"/>
      <x:c r="G7" s="49"/>
      <x:c r="H7" s="49"/>
    </x:row>
    <x:row r="8">
      <x:c r="A8" s="47" t="str">
        <x:v>Coconut canteen</x:v>
      </x:c>
      <x:c r="B8" s="47" t="str">
        <x:v>Water/container</x:v>
      </x:c>
      <x:c r="C8" s="47" t="str">
        <x:v>v0.4 Tier 0</x:v>
      </x:c>
      <x:c r="D8" s="47" t="str">
        <x:v>Coconut shell cup / organic pouch</x:v>
      </x:c>
      <x:c r="E8" s="47" t="str">
        <x:f>IF(COUNTIF('Master Catalogue'!$B$5:$B$226,A8)&gt;0,"Yes","No")</x:f>
        <x:v>No</x:v>
      </x:c>
      <x:c r="F8" s="49"/>
      <x:c r="G8" s="49"/>
      <x:c r="H8" s="49"/>
    </x:row>
    <x:row r="9">
      <x:c r="A9" s="47" t="str">
        <x:v>Fish spear</x:v>
      </x:c>
      <x:c r="B9" s="47" t="str">
        <x:v>Weapon/fishing</x:v>
      </x:c>
      <x:c r="C9" s="47" t="str">
        <x:v>v0.4 Tier 0</x:v>
      </x:c>
      <x:c r="D9" s="47" t="str">
        <x:v>Spear/harpoon</x:v>
      </x:c>
      <x:c r="E9" s="47" t="str">
        <x:f>IF(COUNTIF('Master Catalogue'!$B$5:$B$226,A9)&gt;0,"Yes","No")</x:f>
        <x:v>No</x:v>
      </x:c>
      <x:c r="F9" s="49"/>
      <x:c r="G9" s="49"/>
      <x:c r="H9" s="49"/>
    </x:row>
    <x:row r="10">
      <x:c r="A10" s="47" t="str">
        <x:v>Stone hammer</x:v>
      </x:c>
      <x:c r="B10" s="47" t="str">
        <x:v>Tool</x:v>
      </x:c>
      <x:c r="C10" s="47" t="str">
        <x:v>v0.4 Tier 0 / v2.7 §12.3</x:v>
      </x:c>
      <x:c r="D10" s="47" t="str">
        <x:v>Hammer stone / wood-stone mallet</x:v>
      </x:c>
      <x:c r="E10" s="47" t="str">
        <x:f>IF(COUNTIF('Master Catalogue'!$B$5:$B$226,A10)&gt;0,"Yes","No")</x:f>
        <x:v>No</x:v>
      </x:c>
      <x:c r="F10" s="49"/>
      <x:c r="G10" s="49"/>
      <x:c r="H10" s="49"/>
    </x:row>
    <x:row r="11">
      <x:c r="A11" s="47" t="str">
        <x:v>Basic bandage</x:v>
      </x:c>
      <x:c r="B11" s="47" t="str">
        <x:v>Medicine</x:v>
      </x:c>
      <x:c r="C11" s="47" t="str">
        <x:v>v0.4 Tier 0</x:v>
      </x:c>
      <x:c r="D11" s="47" t="str">
        <x:v>Clean dressing</x:v>
      </x:c>
      <x:c r="E11" s="47" t="str">
        <x:f>IF(COUNTIF('Master Catalogue'!$B$5:$B$226,A11)&gt;0,"Yes","No")</x:f>
        <x:v>No</x:v>
      </x:c>
      <x:c r="F11" s="49"/>
      <x:c r="G11" s="49"/>
      <x:c r="H11" s="49"/>
    </x:row>
    <x:row r="12">
      <x:c r="A12" s="47" t="str">
        <x:v>Signal fire</x:v>
      </x:c>
      <x:c r="B12" s="47" t="str">
        <x:v>Signal/fire</x:v>
      </x:c>
      <x:c r="C12" s="47" t="str">
        <x:v>v0.4 Tier 0</x:v>
      </x:c>
      <x:c r="D12" s="47" t="str">
        <x:v>No exact node</x:v>
      </x:c>
      <x:c r="E12" s="47" t="str">
        <x:f>IF(COUNTIF('Master Catalogue'!$B$5:$B$226,A12)&gt;0,"Yes","No")</x:f>
        <x:v>No</x:v>
      </x:c>
      <x:c r="F12" s="49"/>
      <x:c r="G12" s="49"/>
      <x:c r="H12" s="49"/>
    </x:row>
    <x:row r="13">
      <x:c r="A13" s="47" t="str">
        <x:v>Bow drill / fire kit</x:v>
      </x:c>
      <x:c r="B13" s="47" t="str">
        <x:v>Fire/tool</x:v>
      </x:c>
      <x:c r="C13" s="47" t="str">
        <x:v>v0.4 Tier 1</x:v>
      </x:c>
      <x:c r="D13" s="47" t="str">
        <x:v>Bow/hand drill</x:v>
      </x:c>
      <x:c r="E13" s="47" t="str">
        <x:f>IF(COUNTIF('Master Catalogue'!$B$5:$B$226,A13)&gt;0,"Yes","No")</x:f>
        <x:v>No</x:v>
      </x:c>
      <x:c r="F13" s="49"/>
      <x:c r="G13" s="49"/>
      <x:c r="H13" s="49"/>
    </x:row>
    <x:row r="14">
      <x:c r="A14" s="47" t="str">
        <x:v>Rain catcher</x:v>
      </x:c>
      <x:c r="B14" s="47" t="str">
        <x:v>Water</x:v>
      </x:c>
      <x:c r="C14" s="47" t="str">
        <x:v>v0.4 Tier 1</x:v>
      </x:c>
      <x:c r="D14" s="47" t="str">
        <x:v>Rain gutter + covered reserve</x:v>
      </x:c>
      <x:c r="E14" s="47" t="str">
        <x:f>IF(COUNTIF('Master Catalogue'!$B$5:$B$226,A14)&gt;0,"Yes","No")</x:f>
        <x:v>No</x:v>
      </x:c>
      <x:c r="F14" s="49"/>
      <x:c r="G14" s="49"/>
      <x:c r="H14" s="49"/>
    </x:row>
    <x:row r="15">
      <x:c r="A15" s="47" t="str">
        <x:v>Layered water pre-filter</x:v>
      </x:c>
      <x:c r="B15" s="47" t="str">
        <x:v>Water</x:v>
      </x:c>
      <x:c r="C15" s="47" t="str">
        <x:v>v0.4 Tier 1</x:v>
      </x:c>
      <x:c r="D15" s="47" t="str">
        <x:v>Qualified treatment train</x:v>
      </x:c>
      <x:c r="E15" s="47" t="str">
        <x:f>IF(COUNTIF('Master Catalogue'!$B$5:$B$226,A15)&gt;0,"Yes","No")</x:f>
        <x:v>No</x:v>
      </x:c>
      <x:c r="F15" s="49"/>
      <x:c r="G15" s="49"/>
      <x:c r="H15" s="49"/>
    </x:row>
    <x:row r="16">
      <x:c r="A16" s="47" t="str">
        <x:v>Drying rack</x:v>
      </x:c>
      <x:c r="B16" s="47" t="str">
        <x:v>Food/materials</x:v>
      </x:c>
      <x:c r="C16" s="47" t="str">
        <x:v>v0.4 Tier 1</x:v>
      </x:c>
      <x:c r="D16" s="47" t="str">
        <x:v>Smoking/drying station</x:v>
      </x:c>
      <x:c r="E16" s="47" t="str">
        <x:f>IF(COUNTIF('Master Catalogue'!$B$5:$B$226,A16)&gt;0,"Yes","No")</x:f>
        <x:v>No</x:v>
      </x:c>
      <x:c r="F16" s="49"/>
      <x:c r="G16" s="49"/>
      <x:c r="H16" s="49"/>
    </x:row>
    <x:row r="17">
      <x:c r="A17" s="47" t="str">
        <x:v>Fishing net</x:v>
      </x:c>
      <x:c r="B17" s="47" t="str">
        <x:v>Fishing/fiber</x:v>
      </x:c>
      <x:c r="C17" s="47" t="str">
        <x:v>v0.4 Tier 1</x:v>
      </x:c>
      <x:c r="D17" s="47" t="str">
        <x:v>Load-tested net/mesh</x:v>
      </x:c>
      <x:c r="E17" s="47" t="str">
        <x:f>IF(COUNTIF('Master Catalogue'!$B$5:$B$226,A17)&gt;0,"Yes","No")</x:f>
        <x:v>No</x:v>
      </x:c>
      <x:c r="F17" s="49"/>
      <x:c r="G17" s="49"/>
      <x:c r="H17" s="49"/>
    </x:row>
    <x:row r="18">
      <x:c r="A18" s="47" t="str">
        <x:v>Crab trap</x:v>
      </x:c>
      <x:c r="B18" s="47" t="str">
        <x:v>Fishing</x:v>
      </x:c>
      <x:c r="C18" s="47" t="str">
        <x:v>v0.4 Tier 1</x:v>
      </x:c>
      <x:c r="D18" s="47" t="str">
        <x:v>Selective fish/crab trap</x:v>
      </x:c>
      <x:c r="E18" s="47" t="str">
        <x:f>IF(COUNTIF('Master Catalogue'!$B$5:$B$226,A18)&gt;0,"Yes","No")</x:f>
        <x:v>No</x:v>
      </x:c>
      <x:c r="F18" s="49"/>
      <x:c r="G18" s="49"/>
      <x:c r="H18" s="49"/>
    </x:row>
    <x:row r="19">
      <x:c r="A19" s="47" t="str">
        <x:v>Bedroll</x:v>
      </x:c>
      <x:c r="B19" s="47" t="str">
        <x:v>Shelter/clothing</x:v>
      </x:c>
      <x:c r="C19" s="47" t="str">
        <x:v>v0.4 Tier 1</x:v>
      </x:c>
      <x:c r="D19" s="47" t="str">
        <x:v>Raised insulated sleep</x:v>
      </x:c>
      <x:c r="E19" s="47" t="str">
        <x:f>IF(COUNTIF('Master Catalogue'!$B$5:$B$226,A19)&gt;0,"Yes","No")</x:f>
        <x:v>No</x:v>
      </x:c>
      <x:c r="F19" s="49"/>
      <x:c r="G19" s="49"/>
      <x:c r="H19" s="49"/>
    </x:row>
    <x:row r="20">
      <x:c r="A20" s="47" t="str">
        <x:v>Mosquito screen</x:v>
      </x:c>
      <x:c r="B20" s="47" t="str">
        <x:v>Shelter/fiber</x:v>
      </x:c>
      <x:c r="C20" s="47" t="str">
        <x:v>v0.4 Tier 1</x:v>
      </x:c>
      <x:c r="D20" s="47" t="str">
        <x:v>No exact node</x:v>
      </x:c>
      <x:c r="E20" s="47" t="str">
        <x:f>IF(COUNTIF('Master Catalogue'!$B$5:$B$226,A20)&gt;0,"Yes","No")</x:f>
        <x:v>No</x:v>
      </x:c>
      <x:c r="F20" s="49"/>
      <x:c r="G20" s="49"/>
      <x:c r="H20" s="49"/>
    </x:row>
    <x:row r="21">
      <x:c r="A21" s="47" t="str">
        <x:v>Resin-sealed roof</x:v>
      </x:c>
      <x:c r="B21" s="47" t="str">
        <x:v>Shelter</x:v>
      </x:c>
      <x:c r="C21" s="47" t="str">
        <x:v>v0.4 Tier 1</x:v>
      </x:c>
      <x:c r="D21" s="47" t="str">
        <x:v>Rain roof + prepared sealant</x:v>
      </x:c>
      <x:c r="E21" s="47" t="str">
        <x:f>IF(COUNTIF('Master Catalogue'!$B$5:$B$226,A21)&gt;0,"Yes","No")</x:f>
        <x:v>No</x:v>
      </x:c>
      <x:c r="F21" s="49"/>
      <x:c r="G21" s="49"/>
      <x:c r="H21" s="49"/>
    </x:row>
    <x:row r="22">
      <x:c r="A22" s="47" t="str">
        <x:v>Storage chest</x:v>
      </x:c>
      <x:c r="B22" s="47" t="str">
        <x:v>Storage</x:v>
      </x:c>
      <x:c r="C22" s="47" t="str">
        <x:v>v0.4 Tier 1</x:v>
      </x:c>
      <x:c r="D22" s="47" t="str">
        <x:v>Dry cache/chest</x:v>
      </x:c>
      <x:c r="E22" s="47" t="str">
        <x:f>IF(COUNTIF('Master Catalogue'!$B$5:$B$226,A22)&gt;0,"Yes","No")</x:f>
        <x:v>No</x:v>
      </x:c>
      <x:c r="F22" s="49"/>
      <x:c r="G22" s="49"/>
      <x:c r="H22" s="49"/>
    </x:row>
    <x:row r="23">
      <x:c r="A23" s="47" t="str">
        <x:v>Door</x:v>
      </x:c>
      <x:c r="B23" s="47" t="str">
        <x:v>Shelter</x:v>
      </x:c>
      <x:c r="C23" s="47" t="str">
        <x:v>v0.4 Tier 1</x:v>
      </x:c>
      <x:c r="D23" s="47" t="str">
        <x:v>Storm shutters/opening protection</x:v>
      </x:c>
      <x:c r="E23" s="47" t="str">
        <x:f>IF(COUNTIF('Master Catalogue'!$B$5:$B$226,A23)&gt;0,"Yes","No")</x:f>
        <x:v>No</x:v>
      </x:c>
      <x:c r="F23" s="49"/>
      <x:c r="G23" s="49"/>
      <x:c r="H23" s="49"/>
    </x:row>
    <x:row r="24">
      <x:c r="A24" s="47" t="str">
        <x:v>Latch</x:v>
      </x:c>
      <x:c r="B24" s="47" t="str">
        <x:v>Security</x:v>
      </x:c>
      <x:c r="C24" s="47" t="str">
        <x:v>v0.4 Tier 1</x:v>
      </x:c>
      <x:c r="D24" s="47" t="str">
        <x:v>No exact node</x:v>
      </x:c>
      <x:c r="E24" s="47" t="str">
        <x:f>IF(COUNTIF('Master Catalogue'!$B$5:$B$226,A24)&gt;0,"Yes","No")</x:f>
        <x:v>No</x:v>
      </x:c>
      <x:c r="F24" s="49"/>
      <x:c r="G24" s="49"/>
      <x:c r="H24" s="49"/>
    </x:row>
    <x:row r="25">
      <x:c r="A25" s="47" t="str">
        <x:v>Simple lock</x:v>
      </x:c>
      <x:c r="B25" s="47" t="str">
        <x:v>Security</x:v>
      </x:c>
      <x:c r="C25" s="47" t="str">
        <x:v>v0.4 Tier 1</x:v>
      </x:c>
      <x:c r="D25" s="47" t="str">
        <x:v>No exact node</x:v>
      </x:c>
      <x:c r="E25" s="47" t="str">
        <x:f>IF(COUNTIF('Master Catalogue'!$B$5:$B$226,A25)&gt;0,"Yes","No")</x:f>
        <x:v>No</x:v>
      </x:c>
      <x:c r="F25" s="49"/>
      <x:c r="G25" s="49"/>
      <x:c r="H25" s="49"/>
    </x:row>
    <x:row r="26">
      <x:c r="A26" s="47" t="str">
        <x:v>Alarm line</x:v>
      </x:c>
      <x:c r="B26" s="47" t="str">
        <x:v>Security</x:v>
      </x:c>
      <x:c r="C26" s="47" t="str">
        <x:v>v0.4 Tier 1</x:v>
      </x:c>
      <x:c r="D26" s="47" t="str">
        <x:v>No exact node</x:v>
      </x:c>
      <x:c r="E26" s="47" t="str">
        <x:f>IF(COUNTIF('Master Catalogue'!$B$5:$B$226,A26)&gt;0,"Yes","No")</x:f>
        <x:v>No</x:v>
      </x:c>
      <x:c r="F26" s="49"/>
      <x:c r="G26" s="49"/>
      <x:c r="H26" s="49"/>
    </x:row>
    <x:row r="27">
      <x:c r="A27" s="47" t="str">
        <x:v>Salvage pry bar</x:v>
      </x:c>
      <x:c r="B27" s="47" t="str">
        <x:v>Tool</x:v>
      </x:c>
      <x:c r="C27" s="47" t="str">
        <x:v>v0.4 Tier 1</x:v>
      </x:c>
      <x:c r="D27" s="47" t="str">
        <x:v>Pry bar/leverage tool</x:v>
      </x:c>
      <x:c r="E27" s="47" t="str">
        <x:f>IF(COUNTIF('Master Catalogue'!$B$5:$B$226,A27)&gt;0,"Yes","No")</x:f>
        <x:v>No</x:v>
      </x:c>
      <x:c r="F27" s="49"/>
      <x:c r="G27" s="49"/>
      <x:c r="H27" s="49"/>
    </x:row>
    <x:row r="28">
      <x:c r="A28" s="47" t="str">
        <x:v>Sheet-metal roof</x:v>
      </x:c>
      <x:c r="B28" s="47" t="str">
        <x:v>Shelter/metal</x:v>
      </x:c>
      <x:c r="C28" s="47" t="str">
        <x:v>v0.4 Tier 2</x:v>
      </x:c>
      <x:c r="D28" s="47" t="str">
        <x:v>Rain roof</x:v>
      </x:c>
      <x:c r="E28" s="47" t="str">
        <x:f>IF(COUNTIF('Master Catalogue'!$B$5:$B$226,A28)&gt;0,"Yes","No")</x:f>
        <x:v>No</x:v>
      </x:c>
      <x:c r="F28" s="49"/>
      <x:c r="G28" s="49"/>
      <x:c r="H28" s="49"/>
    </x:row>
    <x:row r="29">
      <x:c r="A29" s="47" t="str">
        <x:v>Sheet-metal gutter</x:v>
      </x:c>
      <x:c r="B29" s="47" t="str">
        <x:v>Water/metal</x:v>
      </x:c>
      <x:c r="C29" s="47" t="str">
        <x:v>v0.4 Tier 2</x:v>
      </x:c>
      <x:c r="D29" s="47" t="str">
        <x:v>Rain gutter/channel</x:v>
      </x:c>
      <x:c r="E29" s="47" t="str">
        <x:f>IF(COUNTIF('Master Catalogue'!$B$5:$B$226,A29)&gt;0,"Yes","No")</x:f>
        <x:v>No</x:v>
      </x:c>
      <x:c r="F29" s="49"/>
      <x:c r="G29" s="49"/>
      <x:c r="H29" s="49"/>
    </x:row>
    <x:row r="30">
      <x:c r="A30" s="47" t="str">
        <x:v>Reinforced hand tools</x:v>
      </x:c>
      <x:c r="B30" s="47" t="str">
        <x:v>Tool family</x:v>
      </x:c>
      <x:c r="C30" s="47" t="str">
        <x:v>v0.4 Tier 2</x:v>
      </x:c>
      <x:c r="D30" s="47" t="str">
        <x:v>Multiple current tools</x:v>
      </x:c>
      <x:c r="E30" s="47" t="str">
        <x:f>IF(COUNTIF('Master Catalogue'!$B$5:$B$226,A30)&gt;0,"Yes","No")</x:f>
        <x:v>No</x:v>
      </x:c>
      <x:c r="F30" s="49"/>
      <x:c r="G30" s="49"/>
      <x:c r="H30" s="49"/>
    </x:row>
    <x:row r="31">
      <x:c r="A31" s="47" t="str">
        <x:v>Pulley hoist</x:v>
      </x:c>
      <x:c r="B31" s="47" t="str">
        <x:v>Logistics</x:v>
      </x:c>
      <x:c r="C31" s="47" t="str">
        <x:v>v0.4 Tier 2</x:v>
      </x:c>
      <x:c r="D31" s="47" t="str">
        <x:v>Pulley/tackle</x:v>
      </x:c>
      <x:c r="E31" s="47" t="str">
        <x:f>IF(COUNTIF('Master Catalogue'!$B$5:$B$226,A31)&gt;0,"Yes","No")</x:f>
        <x:v>No</x:v>
      </x:c>
      <x:c r="F31" s="49"/>
      <x:c r="G31" s="49"/>
      <x:c r="H31" s="49"/>
    </x:row>
    <x:row r="32">
      <x:c r="A32" s="47" t="str">
        <x:v>Cargo cart</x:v>
      </x:c>
      <x:c r="B32" s="47" t="str">
        <x:v>Logistics</x:v>
      </x:c>
      <x:c r="C32" s="47" t="str">
        <x:v>v0.4 Tier 2</x:v>
      </x:c>
      <x:c r="D32" s="47" t="str">
        <x:v>Handcart</x:v>
      </x:c>
      <x:c r="E32" s="47" t="str">
        <x:f>IF(COUNTIF('Master Catalogue'!$B$5:$B$226,A32)&gt;0,"Yes","No")</x:f>
        <x:v>No</x:v>
      </x:c>
      <x:c r="F32" s="49"/>
      <x:c r="G32" s="49"/>
      <x:c r="H32" s="49"/>
    </x:row>
    <x:row r="33">
      <x:c r="A33" s="47" t="str">
        <x:v>Wreck bracing kit</x:v>
      </x:c>
      <x:c r="B33" s="47" t="str">
        <x:v>Salvage</x:v>
      </x:c>
      <x:c r="C33" s="47" t="str">
        <x:v>v0.4 Tier 2</x:v>
      </x:c>
      <x:c r="D33" s="47" t="str">
        <x:v>Covered sorting yard / salvage operations</x:v>
      </x:c>
      <x:c r="E33" s="47" t="str">
        <x:f>IF(COUNTIF('Master Catalogue'!$B$5:$B$226,A33)&gt;0,"Yes","No")</x:f>
        <x:v>No</x:v>
      </x:c>
      <x:c r="F33" s="49"/>
      <x:c r="G33" s="49"/>
      <x:c r="H33" s="49"/>
    </x:row>
    <x:row r="34">
      <x:c r="A34" s="47" t="str">
        <x:v>Water tank</x:v>
      </x:c>
      <x:c r="B34" s="47" t="str">
        <x:v>Water/container</x:v>
      </x:c>
      <x:c r="C34" s="47" t="str">
        <x:v>v0.4 Tier 2</x:v>
      </x:c>
      <x:c r="D34" s="47" t="str">
        <x:v>Covered cistern</x:v>
      </x:c>
      <x:c r="E34" s="47" t="str">
        <x:f>IF(COUNTIF('Master Catalogue'!$B$5:$B$226,A34)&gt;0,"Yes","No")</x:f>
        <x:v>No</x:v>
      </x:c>
      <x:c r="F34" s="49"/>
      <x:c r="G34" s="49"/>
      <x:c r="H34" s="49"/>
    </x:row>
    <x:row r="35">
      <x:c r="A35" s="47" t="str">
        <x:v>Distillation unit</x:v>
      </x:c>
      <x:c r="B35" s="47" t="str">
        <x:v>Water/thermal</x:v>
      </x:c>
      <x:c r="C35" s="47" t="str">
        <x:v>v0.4 Tier 2</x:v>
      </x:c>
      <x:c r="D35" s="47" t="str">
        <x:v>Distiller/desalinator</x:v>
      </x:c>
      <x:c r="E35" s="47" t="str">
        <x:f>IF(COUNTIF('Master Catalogue'!$B$5:$B$226,A35)&gt;0,"Yes","No")</x:f>
        <x:v>No</x:v>
      </x:c>
      <x:c r="F35" s="49"/>
      <x:c r="G35" s="49"/>
      <x:c r="H35" s="49"/>
    </x:row>
    <x:row r="36">
      <x:c r="A36" s="47" t="str">
        <x:v>Charcoal kiln</x:v>
      </x:c>
      <x:c r="B36" s="47" t="str">
        <x:v>Thermal</x:v>
      </x:c>
      <x:c r="C36" s="47" t="str">
        <x:v>v0.4 Tier 2</x:v>
      </x:c>
      <x:c r="D36" s="47" t="str">
        <x:v>Charcoal pit/retort</x:v>
      </x:c>
      <x:c r="E36" s="47" t="str">
        <x:f>IF(COUNTIF('Master Catalogue'!$B$5:$B$226,A36)&gt;0,"Yes","No")</x:f>
        <x:v>No</x:v>
      </x:c>
      <x:c r="F36" s="49"/>
      <x:c r="G36" s="49"/>
      <x:c r="H36" s="49"/>
    </x:row>
    <x:row r="37">
      <x:c r="A37" s="47" t="str">
        <x:v>Metal stove</x:v>
      </x:c>
      <x:c r="B37" s="47" t="str">
        <x:v>Fire</x:v>
      </x:c>
      <x:c r="C37" s="47" t="str">
        <x:v>v0.4 Tier 2</x:v>
      </x:c>
      <x:c r="D37" s="47" t="str">
        <x:v>Efficient enclosed stove</x:v>
      </x:c>
      <x:c r="E37" s="47" t="str">
        <x:f>IF(COUNTIF('Master Catalogue'!$B$5:$B$226,A37)&gt;0,"Yes","No")</x:f>
        <x:v>No</x:v>
      </x:c>
      <x:c r="F37" s="49"/>
      <x:c r="G37" s="49"/>
      <x:c r="H37" s="49"/>
    </x:row>
    <x:row r="38">
      <x:c r="A38" s="47" t="str">
        <x:v>Crossbow</x:v>
      </x:c>
      <x:c r="B38" s="47" t="str">
        <x:v>Weapon</x:v>
      </x:c>
      <x:c r="C38" s="47" t="str">
        <x:v>v0.4 Tier 2 / v0.12 §8.2</x:v>
      </x:c>
      <x:c r="D38" s="47" t="str">
        <x:v>No exact node</x:v>
      </x:c>
      <x:c r="E38" s="47" t="str">
        <x:f>IF(COUNTIF('Master Catalogue'!$B$5:$B$226,A38)&gt;0,"Yes","No")</x:f>
        <x:v>No</x:v>
      </x:c>
      <x:c r="F38" s="49"/>
      <x:c r="G38" s="49"/>
      <x:c r="H38" s="49"/>
    </x:row>
    <x:row r="39">
      <x:c r="A39" s="47" t="str">
        <x:v>Compressed-air spear launcher</x:v>
      </x:c>
      <x:c r="B39" s="47" t="str">
        <x:v>Weapon</x:v>
      </x:c>
      <x:c r="C39" s="47" t="str">
        <x:v>v0.4 Tier 2</x:v>
      </x:c>
      <x:c r="D39" s="47" t="str">
        <x:v>No exact node</x:v>
      </x:c>
      <x:c r="E39" s="47" t="str">
        <x:f>IF(COUNTIF('Master Catalogue'!$B$5:$B$226,A39)&gt;0,"Yes","No")</x:f>
        <x:v>No</x:v>
      </x:c>
      <x:c r="F39" s="49"/>
      <x:c r="G39" s="49"/>
      <x:c r="H39" s="49"/>
    </x:row>
    <x:row r="40">
      <x:c r="A40" s="47" t="str">
        <x:v>Lockbox</x:v>
      </x:c>
      <x:c r="B40" s="47" t="str">
        <x:v>Storage/security</x:v>
      </x:c>
      <x:c r="C40" s="47" t="str">
        <x:v>v0.4 Tier 2</x:v>
      </x:c>
      <x:c r="D40" s="47" t="str">
        <x:v>Dry cache/chest</x:v>
      </x:c>
      <x:c r="E40" s="47" t="str">
        <x:f>IF(COUNTIF('Master Catalogue'!$B$5:$B$226,A40)&gt;0,"Yes","No")</x:f>
        <x:v>No</x:v>
      </x:c>
      <x:c r="F40" s="49"/>
      <x:c r="G40" s="49"/>
      <x:c r="H40" s="49"/>
    </x:row>
    <x:row r="41">
      <x:c r="A41" s="47" t="str">
        <x:v>Keyed/mechanical lock</x:v>
      </x:c>
      <x:c r="B41" s="47" t="str">
        <x:v>Security</x:v>
      </x:c>
      <x:c r="C41" s="47" t="str">
        <x:v>v0.4 Tier 2</x:v>
      </x:c>
      <x:c r="D41" s="47" t="str">
        <x:v>No exact node</x:v>
      </x:c>
      <x:c r="E41" s="47" t="str">
        <x:f>IF(COUNTIF('Master Catalogue'!$B$5:$B$226,A41)&gt;0,"Yes","No")</x:f>
        <x:v>No</x:v>
      </x:c>
      <x:c r="F41" s="49"/>
      <x:c r="G41" s="49"/>
      <x:c r="H41" s="49"/>
    </x:row>
    <x:row r="42">
      <x:c r="A42" s="47" t="str">
        <x:v>Mechanical trap</x:v>
      </x:c>
      <x:c r="B42" s="47" t="str">
        <x:v>Hunting/security</x:v>
      </x:c>
      <x:c r="C42" s="47" t="str">
        <x:v>v0.4 Tier 2</x:v>
      </x:c>
      <x:c r="D42" s="47" t="str">
        <x:v>Selective checked snare/trap</x:v>
      </x:c>
      <x:c r="E42" s="47" t="str">
        <x:f>IF(COUNTIF('Master Catalogue'!$B$5:$B$226,A42)&gt;0,"Yes","No")</x:f>
        <x:v>No</x:v>
      </x:c>
      <x:c r="F42" s="49"/>
      <x:c r="G42" s="49"/>
      <x:c r="H42" s="49"/>
    </x:row>
    <x:row r="43">
      <x:c r="A43" s="47" t="str">
        <x:v>Wind charger</x:v>
      </x:c>
      <x:c r="B43" s="47" t="str">
        <x:v>Power</x:v>
      </x:c>
      <x:c r="C43" s="47" t="str">
        <x:v>v0.4 Tier 2</x:v>
      </x:c>
      <x:c r="D43" s="47" t="str">
        <x:v>Small generator adaptation</x:v>
      </x:c>
      <x:c r="E43" s="47" t="str">
        <x:f>IF(COUNTIF('Master Catalogue'!$B$5:$B$226,A43)&gt;0,"Yes","No")</x:f>
        <x:v>No</x:v>
      </x:c>
      <x:c r="F43" s="49"/>
      <x:c r="G43" s="49"/>
      <x:c r="H43" s="49"/>
    </x:row>
    <x:row r="44">
      <x:c r="A44" s="47" t="str">
        <x:v>Bicycle generator</x:v>
      </x:c>
      <x:c r="B44" s="47" t="str">
        <x:v>Power</x:v>
      </x:c>
      <x:c r="C44" s="47" t="str">
        <x:v>v0.4 Tier 2</x:v>
      </x:c>
      <x:c r="D44" s="47" t="str">
        <x:v>Small generator adaptation</x:v>
      </x:c>
      <x:c r="E44" s="47" t="str">
        <x:f>IF(COUNTIF('Master Catalogue'!$B$5:$B$226,A44)&gt;0,"Yes","No")</x:f>
        <x:v>No</x:v>
      </x:c>
      <x:c r="F44" s="49"/>
      <x:c r="G44" s="49"/>
      <x:c r="H44" s="49"/>
    </x:row>
    <x:row r="45">
      <x:c r="A45" s="47" t="str">
        <x:v>Perimeter alarm</x:v>
      </x:c>
      <x:c r="B45" s="47" t="str">
        <x:v>Security/electrical</x:v>
      </x:c>
      <x:c r="C45" s="47" t="str">
        <x:v>v0.4 Tier 2</x:v>
      </x:c>
      <x:c r="D45" s="47" t="str">
        <x:v>Camp microgrid</x:v>
      </x:c>
      <x:c r="E45" s="47" t="str">
        <x:f>IF(COUNTIF('Master Catalogue'!$B$5:$B$226,A45)&gt;0,"Yes","No")</x:f>
        <x:v>No</x:v>
      </x:c>
      <x:c r="F45" s="49"/>
      <x:c r="G45" s="49"/>
      <x:c r="H45" s="49"/>
    </x:row>
    <x:row r="46">
      <x:c r="A46" s="47" t="str">
        <x:v>Radio receiver</x:v>
      </x:c>
      <x:c r="B46" s="47" t="str">
        <x:v>Signal</x:v>
      </x:c>
      <x:c r="C46" s="47" t="str">
        <x:v>v0.4 Tier 2</x:v>
      </x:c>
      <x:c r="D46" s="47" t="str">
        <x:v>Radio listening post</x:v>
      </x:c>
      <x:c r="E46" s="47" t="str">
        <x:f>IF(COUNTIF('Master Catalogue'!$B$5:$B$226,A46)&gt;0,"Yes","No")</x:f>
        <x:v>No</x:v>
      </x:c>
      <x:c r="F46" s="49"/>
      <x:c r="G46" s="49"/>
      <x:c r="H46" s="49"/>
    </x:row>
    <x:row r="47">
      <x:c r="A47" s="47" t="str">
        <x:v>Arc/resistance welder</x:v>
      </x:c>
      <x:c r="B47" s="47" t="str">
        <x:v>Machine tool</x:v>
      </x:c>
      <x:c r="C47" s="47" t="str">
        <x:v>v0.4 Tier 3</x:v>
      </x:c>
      <x:c r="D47" s="47" t="str">
        <x:v>No exact node</x:v>
      </x:c>
      <x:c r="E47" s="47" t="str">
        <x:f>IF(COUNTIF('Master Catalogue'!$B$5:$B$226,A47)&gt;0,"Yes","No")</x:f>
        <x:v>No</x:v>
      </x:c>
      <x:c r="F47" s="49"/>
      <x:c r="G47" s="49"/>
      <x:c r="H47" s="49"/>
    </x:row>
    <x:row r="48">
      <x:c r="A48" s="47" t="str">
        <x:v>Casting setup</x:v>
      </x:c>
      <x:c r="B48" s="47" t="str">
        <x:v>Metal/workspace</x:v>
      </x:c>
      <x:c r="C48" s="47" t="str">
        <x:v>v0.4 Tier 3</x:v>
      </x:c>
      <x:c r="D48" s="47" t="str">
        <x:v>Forge/anvil station + metal processes</x:v>
      </x:c>
      <x:c r="E48" s="47" t="str">
        <x:f>IF(COUNTIF('Master Catalogue'!$B$5:$B$226,A48)&gt;0,"Yes","No")</x:f>
        <x:v>No</x:v>
      </x:c>
      <x:c r="F48" s="49"/>
      <x:c r="G48" s="49"/>
      <x:c r="H48" s="49"/>
    </x:row>
    <x:row r="49">
      <x:c r="A49" s="47" t="str">
        <x:v>Powered saw</x:v>
      </x:c>
      <x:c r="B49" s="47" t="str">
        <x:v>Machine tool</x:v>
      </x:c>
      <x:c r="C49" s="47" t="str">
        <x:v>v0.4 Tier 3</x:v>
      </x:c>
      <x:c r="D49" s="47" t="str">
        <x:v>Saw/hacksaw route</x:v>
      </x:c>
      <x:c r="E49" s="47" t="str">
        <x:f>IF(COUNTIF('Master Catalogue'!$B$5:$B$226,A49)&gt;0,"Yes","No")</x:f>
        <x:v>No</x:v>
      </x:c>
      <x:c r="F49" s="49"/>
      <x:c r="G49" s="49"/>
      <x:c r="H49" s="49"/>
    </x:row>
    <x:row r="50">
      <x:c r="A50" s="47" t="str">
        <x:v>Powered drill</x:v>
      </x:c>
      <x:c r="B50" s="47" t="str">
        <x:v>Machine tool</x:v>
      </x:c>
      <x:c r="C50" s="47" t="str">
        <x:v>v0.4 Tier 3</x:v>
      </x:c>
      <x:c r="D50" s="47" t="str">
        <x:v>Brace/drill and bits</x:v>
      </x:c>
      <x:c r="E50" s="47" t="str">
        <x:f>IF(COUNTIF('Master Catalogue'!$B$5:$B$226,A50)&gt;0,"Yes","No")</x:f>
        <x:v>No</x:v>
      </x:c>
      <x:c r="F50" s="49"/>
      <x:c r="G50" s="49"/>
      <x:c r="H50" s="49"/>
    </x:row>
    <x:row r="51">
      <x:c r="A51" s="47" t="str">
        <x:v>Powered grinder</x:v>
      </x:c>
      <x:c r="B51" s="47" t="str">
        <x:v>Machine tool</x:v>
      </x:c>
      <x:c r="C51" s="47" t="str">
        <x:v>v0.4 Tier 3</x:v>
      </x:c>
      <x:c r="D51" s="47" t="str">
        <x:v>File/abrasive tool</x:v>
      </x:c>
      <x:c r="E51" s="47" t="str">
        <x:f>IF(COUNTIF('Master Catalogue'!$B$5:$B$226,A51)&gt;0,"Yes","No")</x:f>
        <x:v>No</x:v>
      </x:c>
      <x:c r="F51" s="49"/>
      <x:c r="G51" s="49"/>
      <x:c r="H51" s="49"/>
    </x:row>
    <x:row r="52">
      <x:c r="A52" s="47" t="str">
        <x:v>High-quality filtration plant</x:v>
      </x:c>
      <x:c r="B52" s="47" t="str">
        <x:v>Water</x:v>
      </x:c>
      <x:c r="C52" s="47" t="str">
        <x:v>v0.4 Tier 3</x:v>
      </x:c>
      <x:c r="D52" s="47" t="str">
        <x:v>Qualified treatment train</x:v>
      </x:c>
      <x:c r="E52" s="47" t="str">
        <x:f>IF(COUNTIF('Master Catalogue'!$B$5:$B$226,A52)&gt;0,"Yes","No")</x:f>
        <x:v>No</x:v>
      </x:c>
      <x:c r="F52" s="49"/>
      <x:c r="G52" s="49"/>
      <x:c r="H52" s="49"/>
    </x:row>
    <x:row r="53">
      <x:c r="A53" s="47" t="str">
        <x:v>Refrigerated food store</x:v>
      </x:c>
      <x:c r="B53" s="47" t="str">
        <x:v>Food/power</x:v>
      </x:c>
      <x:c r="C53" s="47" t="str">
        <x:v>v0.4 Tier 3</x:v>
      </x:c>
      <x:c r="D53" s="47" t="str">
        <x:v>Food continuity store</x:v>
      </x:c>
      <x:c r="E53" s="47" t="str">
        <x:f>IF(COUNTIF('Master Catalogue'!$B$5:$B$226,A53)&gt;0,"Yes","No")</x:f>
        <x:v>No</x:v>
      </x:c>
      <x:c r="F53" s="49"/>
      <x:c r="G53" s="49"/>
      <x:c r="H53" s="49"/>
    </x:row>
    <x:row r="54">
      <x:c r="A54" s="47" t="str">
        <x:v>Radio transmitter</x:v>
      </x:c>
      <x:c r="B54" s="47" t="str">
        <x:v>Signal</x:v>
      </x:c>
      <x:c r="C54" s="47" t="str">
        <x:v>v0.4 Tier 3</x:v>
      </x:c>
      <x:c r="D54" s="47" t="str">
        <x:v>Authenticated transmitter</x:v>
      </x:c>
      <x:c r="E54" s="47" t="str">
        <x:f>IF(COUNTIF('Master Catalogue'!$B$5:$B$226,A54)&gt;0,"Yes","No")</x:f>
        <x:v>No</x:v>
      </x:c>
      <x:c r="F54" s="49"/>
      <x:c r="G54" s="49"/>
      <x:c r="H54" s="49"/>
    </x:row>
    <x:row r="55">
      <x:c r="A55" s="47" t="str">
        <x:v>Radio repeater</x:v>
      </x:c>
      <x:c r="B55" s="47" t="str">
        <x:v>Signal</x:v>
      </x:c>
      <x:c r="C55" s="47" t="str">
        <x:v>v0.4 Tier 3</x:v>
      </x:c>
      <x:c r="D55" s="47" t="str">
        <x:v>No exact node</x:v>
      </x:c>
      <x:c r="E55" s="47" t="str">
        <x:f>IF(COUNTIF('Master Catalogue'!$B$5:$B$226,A55)&gt;0,"Yes","No")</x:f>
        <x:v>No</x:v>
      </x:c>
      <x:c r="F55" s="49"/>
      <x:c r="G55" s="49"/>
      <x:c r="H55" s="49"/>
    </x:row>
    <x:row r="56">
      <x:c r="A56" s="47" t="str">
        <x:v>Weather station</x:v>
      </x:c>
      <x:c r="B56" s="47" t="str">
        <x:v>Weather/instrument</x:v>
      </x:c>
      <x:c r="C56" s="47" t="str">
        <x:v>v0.4 Tier 3</x:v>
      </x:c>
      <x:c r="D56" s="47" t="str">
        <x:v>No exact node</x:v>
      </x:c>
      <x:c r="E56" s="47" t="str">
        <x:f>IF(COUNTIF('Master Catalogue'!$B$5:$B$226,A56)&gt;0,"Yes","No")</x:f>
        <x:v>No</x:v>
      </x:c>
      <x:c r="F56" s="49"/>
      <x:c r="G56" s="49"/>
      <x:c r="H56" s="49"/>
    </x:row>
    <x:row r="57">
      <x:c r="A57" s="47" t="str">
        <x:v>Electric fence</x:v>
      </x:c>
      <x:c r="B57" s="47" t="str">
        <x:v>Security/power</x:v>
      </x:c>
      <x:c r="C57" s="47" t="str">
        <x:v>v0.4 Tier 3</x:v>
      </x:c>
      <x:c r="D57" s="47" t="str">
        <x:v>No exact node</x:v>
      </x:c>
      <x:c r="E57" s="47" t="str">
        <x:f>IF(COUNTIF('Master Catalogue'!$B$5:$B$226,A57)&gt;0,"Yes","No")</x:f>
        <x:v>No</x:v>
      </x:c>
      <x:c r="F57" s="49"/>
      <x:c r="G57" s="49"/>
      <x:c r="H57" s="49"/>
    </x:row>
    <x:row r="58">
      <x:c r="A58" s="47" t="str">
        <x:v>Powered gate</x:v>
      </x:c>
      <x:c r="B58" s="47" t="str">
        <x:v>Security/power</x:v>
      </x:c>
      <x:c r="C58" s="47" t="str">
        <x:v>v0.4 Tier 3</x:v>
      </x:c>
      <x:c r="D58" s="47" t="str">
        <x:v>No exact node</x:v>
      </x:c>
      <x:c r="E58" s="47" t="str">
        <x:f>IF(COUNTIF('Master Catalogue'!$B$5:$B$226,A58)&gt;0,"Yes","No")</x:f>
        <x:v>No</x:v>
      </x:c>
      <x:c r="F58" s="49"/>
      <x:c r="G58" s="49"/>
      <x:c r="H58" s="49"/>
    </x:row>
    <x:row r="59">
      <x:c r="A59" s="47" t="str">
        <x:v>Dive compressor</x:v>
      </x:c>
      <x:c r="B59" s="47" t="str">
        <x:v>Diving/machine</x:v>
      </x:c>
      <x:c r="C59" s="47" t="str">
        <x:v>v0.4 Tier 3</x:v>
      </x:c>
      <x:c r="D59" s="47" t="str">
        <x:v>No exact node</x:v>
      </x:c>
      <x:c r="E59" s="47" t="str">
        <x:f>IF(COUNTIF('Master Catalogue'!$B$5:$B$226,A59)&gt;0,"Yes","No")</x:f>
        <x:v>No</x:v>
      </x:c>
      <x:c r="F59" s="49"/>
      <x:c r="G59" s="49"/>
      <x:c r="H59" s="49"/>
    </x:row>
    <x:row r="60">
      <x:c r="A60" s="47" t="str">
        <x:v>Underwater salvage tool set</x:v>
      </x:c>
      <x:c r="B60" s="47" t="str">
        <x:v>Diving/salvage</x:v>
      </x:c>
      <x:c r="C60" s="47" t="str">
        <x:v>v0.4 Tier 3</x:v>
      </x:c>
      <x:c r="D60" s="47" t="str">
        <x:v>Shore-dive station / lift system</x:v>
      </x:c>
      <x:c r="E60" s="47" t="str">
        <x:f>IF(COUNTIF('Master Catalogue'!$B$5:$B$226,A60)&gt;0,"Yes","No")</x:f>
        <x:v>No</x:v>
      </x:c>
      <x:c r="F60" s="49"/>
      <x:c r="G60" s="49"/>
      <x:c r="H60" s="49"/>
    </x:row>
    <x:row r="61">
      <x:c r="A61" s="47" t="str">
        <x:v>Motorized winch</x:v>
      </x:c>
      <x:c r="B61" s="47" t="str">
        <x:v>Logistics/power</x:v>
      </x:c>
      <x:c r="C61" s="47" t="str">
        <x:v>v0.4 Tier 3</x:v>
      </x:c>
      <x:c r="D61" s="47" t="str">
        <x:v>Braked winch/capstan</x:v>
      </x:c>
      <x:c r="E61" s="47" t="str">
        <x:f>IF(COUNTIF('Master Catalogue'!$B$5:$B$226,A61)&gt;0,"Yes","No")</x:f>
        <x:v>No</x:v>
      </x:c>
      <x:c r="F61" s="49"/>
      <x:c r="G61" s="49"/>
      <x:c r="H61" s="49"/>
    </x:row>
    <x:row r="62">
      <x:c r="A62" s="47" t="str">
        <x:v>Outboard motor</x:v>
      </x:c>
      <x:c r="B62" s="47" t="str">
        <x:v>Maritime</x:v>
      </x:c>
      <x:c r="C62" s="47" t="str">
        <x:v>v0.4 Tier 3</x:v>
      </x:c>
      <x:c r="D62" s="47" t="str">
        <x:v>Repairable engine/motor</x:v>
      </x:c>
      <x:c r="E62" s="47" t="str">
        <x:f>IF(COUNTIF('Master Catalogue'!$B$5:$B$226,A62)&gt;0,"Yes","No")</x:f>
        <x:v>No</x:v>
      </x:c>
      <x:c r="F62" s="49"/>
      <x:c r="G62" s="49"/>
      <x:c r="H62" s="49"/>
    </x:row>
    <x:row r="63">
      <x:c r="A63" s="47" t="str">
        <x:v>Beacon triangulation network</x:v>
      </x:c>
      <x:c r="B63" s="47" t="str">
        <x:v>Signal</x:v>
      </x:c>
      <x:c r="C63" s="47" t="str">
        <x:v>v0.4 Tier 3</x:v>
      </x:c>
      <x:c r="D63" s="47" t="str">
        <x:v>Directional antenna + transmitter</x:v>
      </x:c>
      <x:c r="E63" s="47" t="str">
        <x:f>IF(COUNTIF('Master Catalogue'!$B$5:$B$226,A63)&gt;0,"Yes","No")</x:f>
        <x:v>No</x:v>
      </x:c>
      <x:c r="F63" s="49"/>
      <x:c r="G63" s="49"/>
      <x:c r="H63" s="49"/>
    </x:row>
    <x:row r="64">
      <x:c r="A64" s="47" t="str">
        <x:v>Electromagnetic storm predictor</x:v>
      </x:c>
      <x:c r="B64" s="47" t="str">
        <x:v>Triangle technology</x:v>
      </x:c>
      <x:c r="C64" s="47" t="str">
        <x:v>v0.4 Tier 4</x:v>
      </x:c>
      <x:c r="D64" s="47" t="str">
        <x:v>Triangle investigation apparatus</x:v>
      </x:c>
      <x:c r="E64" s="47" t="str">
        <x:f>IF(COUNTIF('Master Catalogue'!$B$5:$B$226,A64)&gt;0,"Yes","No")</x:f>
        <x:v>No</x:v>
      </x:c>
      <x:c r="F64" s="49"/>
      <x:c r="G64" s="49"/>
      <x:c r="H64" s="49"/>
    </x:row>
    <x:row r="65">
      <x:c r="A65" s="47" t="str">
        <x:v>Short-range phase locker</x:v>
      </x:c>
      <x:c r="B65" s="47" t="str">
        <x:v>Triangle technology</x:v>
      </x:c>
      <x:c r="C65" s="47" t="str">
        <x:v>v0.4 Tier 4</x:v>
      </x:c>
      <x:c r="D65" s="47" t="str">
        <x:v>Triangle investigation apparatus</x:v>
      </x:c>
      <x:c r="E65" s="47" t="str">
        <x:f>IF(COUNTIF('Master Catalogue'!$B$5:$B$226,A65)&gt;0,"Yes","No")</x:f>
        <x:v>No</x:v>
      </x:c>
      <x:c r="F65" s="49"/>
      <x:c r="G65" s="49"/>
      <x:c r="H65" s="49"/>
    </x:row>
    <x:row r="66">
      <x:c r="A66" s="47" t="str">
        <x:v>Anomaly compass</x:v>
      </x:c>
      <x:c r="B66" s="47" t="str">
        <x:v>Triangle technology</x:v>
      </x:c>
      <x:c r="C66" s="47" t="str">
        <x:v>v0.4 Tier 4</x:v>
      </x:c>
      <x:c r="D66" s="47" t="str">
        <x:v>Triangle investigation apparatus</x:v>
      </x:c>
      <x:c r="E66" s="47" t="str">
        <x:f>IF(COUNTIF('Master Catalogue'!$B$5:$B$226,A66)&gt;0,"Yes","No")</x:f>
        <x:v>No</x:v>
      </x:c>
      <x:c r="F66" s="49"/>
      <x:c r="G66" s="49"/>
      <x:c r="H66" s="49"/>
    </x:row>
    <x:row r="67">
      <x:c r="A67" s="47" t="str">
        <x:v>Temporal beacon</x:v>
      </x:c>
      <x:c r="B67" s="47" t="str">
        <x:v>Triangle technology</x:v>
      </x:c>
      <x:c r="C67" s="47" t="str">
        <x:v>v0.4 Tier 4</x:v>
      </x:c>
      <x:c r="D67" s="47" t="str">
        <x:v>Triangle investigation apparatus</x:v>
      </x:c>
      <x:c r="E67" s="47" t="str">
        <x:f>IF(COUNTIF('Master Catalogue'!$B$5:$B$226,A67)&gt;0,"Yes","No")</x:f>
        <x:v>No</x:v>
      </x:c>
      <x:c r="F67" s="49"/>
      <x:c r="G67" s="49"/>
      <x:c r="H67" s="49"/>
    </x:row>
    <x:row r="68">
      <x:c r="A68" s="47" t="str">
        <x:v>Storm shield</x:v>
      </x:c>
      <x:c r="B68" s="47" t="str">
        <x:v>Triangle technology</x:v>
      </x:c>
      <x:c r="C68" s="47" t="str">
        <x:v>v0.4 Tier 4</x:v>
      </x:c>
      <x:c r="D68" s="47" t="str">
        <x:v>Triangle investigation apparatus</x:v>
      </x:c>
      <x:c r="E68" s="47" t="str">
        <x:f>IF(COUNTIF('Master Catalogue'!$B$5:$B$226,A68)&gt;0,"Yes","No")</x:f>
        <x:v>No</x:v>
      </x:c>
      <x:c r="F68" s="49"/>
      <x:c r="G68" s="49"/>
      <x:c r="H68" s="49"/>
    </x:row>
    <x:row r="69">
      <x:c r="A69" s="47" t="str">
        <x:v>Escape-craft navigation stabilizer</x:v>
      </x:c>
      <x:c r="B69" s="47" t="str">
        <x:v>Triangle technology</x:v>
      </x:c>
      <x:c r="C69" s="47" t="str">
        <x:v>v0.4 Tier 4</x:v>
      </x:c>
      <x:c r="D69" s="47" t="str">
        <x:v>Direct-return vessel / Triangle apparatus</x:v>
      </x:c>
      <x:c r="E69" s="47" t="str">
        <x:f>IF(COUNTIF('Master Catalogue'!$B$5:$B$226,A69)&gt;0,"Yes","No")</x:f>
        <x:v>No</x:v>
      </x:c>
      <x:c r="F69" s="49"/>
      <x:c r="G69" s="49"/>
      <x:c r="H69" s="49"/>
    </x:row>
    <x:row r="70">
      <x:c r="A70" s="47" t="str">
        <x:v>Field notebook</x:v>
      </x:c>
      <x:c r="B70" s="47" t="str">
        <x:v>Knowledge tool</x:v>
      </x:c>
      <x:c r="C70" s="47" t="str">
        <x:v>v0.12 §8.1</x:v>
      </x:c>
      <x:c r="D70" s="47" t="str">
        <x:v>Continuity archive / forage map</x:v>
      </x:c>
      <x:c r="E70" s="47" t="str">
        <x:f>IF(COUNTIF('Master Catalogue'!$B$5:$B$226,A70)&gt;0,"Yes","No")</x:f>
        <x:v>No</x:v>
      </x:c>
      <x:c r="F70" s="49"/>
      <x:c r="G70" s="49"/>
      <x:c r="H70" s="49"/>
    </x:row>
    <x:row r="71">
      <x:c r="A71" s="47" t="str">
        <x:v>Charcoal pencil</x:v>
      </x:c>
      <x:c r="B71" s="47" t="str">
        <x:v>Knowledge tool</x:v>
      </x:c>
      <x:c r="C71" s="47" t="str">
        <x:v>v0.12 §8.1</x:v>
      </x:c>
      <x:c r="D71" s="47" t="str">
        <x:v>Charcoal + archive</x:v>
      </x:c>
      <x:c r="E71" s="47" t="str">
        <x:f>IF(COUNTIF('Master Catalogue'!$B$5:$B$226,A71)&gt;0,"Yes","No")</x:f>
        <x:v>No</x:v>
      </x:c>
      <x:c r="F71" s="49"/>
      <x:c r="G71" s="49"/>
      <x:c r="H71" s="49"/>
    </x:row>
    <x:row r="72">
      <x:c r="A72" s="47" t="str">
        <x:v>Specimen labels</x:v>
      </x:c>
      <x:c r="B72" s="47" t="str">
        <x:v>Knowledge tool</x:v>
      </x:c>
      <x:c r="C72" s="47" t="str">
        <x:v>v0.12 §8.1</x:v>
      </x:c>
      <x:c r="D72" s="47" t="str">
        <x:v>Archive</x:v>
      </x:c>
      <x:c r="E72" s="47" t="str">
        <x:f>IF(COUNTIF('Master Catalogue'!$B$5:$B$226,A72)&gt;0,"Yes","No")</x:f>
        <x:v>No</x:v>
      </x:c>
      <x:c r="F72" s="49"/>
      <x:c r="G72" s="49"/>
      <x:c r="H72" s="49"/>
    </x:row>
    <x:row r="73">
      <x:c r="A73" s="47" t="str">
        <x:v>Ruler / scale</x:v>
      </x:c>
      <x:c r="B73" s="47" t="str">
        <x:v>Measurement tool</x:v>
      </x:c>
      <x:c r="C73" s="47" t="str">
        <x:v>v0.12 §8.1</x:v>
      </x:c>
      <x:c r="D73" s="47" t="str">
        <x:v>Marked cord/gauge/level</x:v>
      </x:c>
      <x:c r="E73" s="47" t="str">
        <x:f>IF(COUNTIF('Master Catalogue'!$B$5:$B$226,A73)&gt;0,"Yes","No")</x:f>
        <x:v>No</x:v>
      </x:c>
      <x:c r="F73" s="49"/>
      <x:c r="G73" s="49"/>
      <x:c r="H73" s="49"/>
    </x:row>
    <x:row r="74">
      <x:c r="A74" s="47" t="str">
        <x:v>Trail markers</x:v>
      </x:c>
      <x:c r="B74" s="47" t="str">
        <x:v>Field tool</x:v>
      </x:c>
      <x:c r="C74" s="47" t="str">
        <x:v>v0.12 §8.1</x:v>
      </x:c>
      <x:c r="D74" s="47" t="str">
        <x:v>No exact node</x:v>
      </x:c>
      <x:c r="E74" s="47" t="str">
        <x:f>IF(COUNTIF('Master Catalogue'!$B$5:$B$226,A74)&gt;0,"Yes","No")</x:f>
        <x:v>No</x:v>
      </x:c>
      <x:c r="F74" s="49"/>
      <x:c r="G74" s="49"/>
      <x:c r="H74" s="49"/>
    </x:row>
    <x:row r="75">
      <x:c r="A75" s="47" t="str">
        <x:v>Binoculars / monocular</x:v>
      </x:c>
      <x:c r="B75" s="47" t="str">
        <x:v>Observation tool</x:v>
      </x:c>
      <x:c r="C75" s="47" t="str">
        <x:v>v0.12 §8.1</x:v>
      </x:c>
      <x:c r="D75" s="47" t="str">
        <x:v>Glass/optics</x:v>
      </x:c>
      <x:c r="E75" s="47" t="str">
        <x:f>IF(COUNTIF('Master Catalogue'!$B$5:$B$226,A75)&gt;0,"Yes","No")</x:f>
        <x:v>No</x:v>
      </x:c>
      <x:c r="F75" s="49"/>
      <x:c r="G75" s="49"/>
      <x:c r="H75" s="49"/>
    </x:row>
    <x:row r="76">
      <x:c r="A76" s="47" t="str">
        <x:v>Wind indicator</x:v>
      </x:c>
      <x:c r="B76" s="47" t="str">
        <x:v>Weather tool</x:v>
      </x:c>
      <x:c r="C76" s="47" t="str">
        <x:v>v0.12 §8.1</x:v>
      </x:c>
      <x:c r="D76" s="47" t="str">
        <x:v>No exact node</x:v>
      </x:c>
      <x:c r="E76" s="47" t="str">
        <x:f>IF(COUNTIF('Master Catalogue'!$B$5:$B$226,A76)&gt;0,"Yes","No")</x:f>
        <x:v>No</x:v>
      </x:c>
      <x:c r="F76" s="49"/>
      <x:c r="G76" s="49"/>
      <x:c r="H76" s="49"/>
    </x:row>
    <x:row r="77">
      <x:c r="A77" s="47" t="str">
        <x:v>Protective gloves</x:v>
      </x:c>
      <x:c r="B77" s="47" t="str">
        <x:v>Clothing/PPE</x:v>
      </x:c>
      <x:c r="C77" s="47" t="str">
        <x:v>v0.12 §8.1</x:v>
      </x:c>
      <x:c r="D77" s="47" t="str">
        <x:v>No exact node</x:v>
      </x:c>
      <x:c r="E77" s="47" t="str">
        <x:f>IF(COUNTIF('Master Catalogue'!$B$5:$B$226,A77)&gt;0,"Yes","No")</x:f>
        <x:v>No</x:v>
      </x:c>
      <x:c r="F77" s="49"/>
      <x:c r="G77" s="49"/>
      <x:c r="H77" s="49"/>
    </x:row>
    <x:row r="78">
      <x:c r="A78" s="47" t="str">
        <x:v>Eye protection</x:v>
      </x:c>
      <x:c r="B78" s="47" t="str">
        <x:v>PPE</x:v>
      </x:c>
      <x:c r="C78" s="47" t="str">
        <x:v>v0.12 §8.1</x:v>
      </x:c>
      <x:c r="D78" s="47" t="str">
        <x:v>Glass/optics</x:v>
      </x:c>
      <x:c r="E78" s="47" t="str">
        <x:f>IF(COUNTIF('Master Catalogue'!$B$5:$B$226,A78)&gt;0,"Yes","No")</x:f>
        <x:v>No</x:v>
      </x:c>
      <x:c r="F78" s="49"/>
      <x:c r="G78" s="49"/>
      <x:c r="H78" s="49"/>
    </x:row>
    <x:row r="79">
      <x:c r="A79" s="47" t="str">
        <x:v>Whistle</x:v>
      </x:c>
      <x:c r="B79" s="47" t="str">
        <x:v>Signal/safety</x:v>
      </x:c>
      <x:c r="C79" s="47" t="str">
        <x:v>v0.12 §8.1</x:v>
      </x:c>
      <x:c r="D79" s="47" t="str">
        <x:v>No exact node</x:v>
      </x:c>
      <x:c r="E79" s="47" t="str">
        <x:f>IF(COUNTIF('Master Catalogue'!$B$5:$B$226,A79)&gt;0,"Yes","No")</x:f>
        <x:v>No</x:v>
      </x:c>
      <x:c r="F79" s="49"/>
      <x:c r="G79" s="49"/>
      <x:c r="H79" s="49"/>
    </x:row>
    <x:row r="80">
      <x:c r="A80" s="47" t="str">
        <x:v>Game sling</x:v>
      </x:c>
      <x:c r="B80" s="47" t="str">
        <x:v>Logistics</x:v>
      </x:c>
      <x:c r="C80" s="47" t="str">
        <x:v>v0.12 §8.1</x:v>
      </x:c>
      <x:c r="D80" s="47" t="str">
        <x:v>Pack frame/harness</x:v>
      </x:c>
      <x:c r="E80" s="47" t="str">
        <x:f>IF(COUNTIF('Master Catalogue'!$B$5:$B$226,A80)&gt;0,"Yes","No")</x:f>
        <x:v>No</x:v>
      </x:c>
      <x:c r="F80" s="49"/>
      <x:c r="G80" s="49"/>
      <x:c r="H80" s="49"/>
    </x:row>
    <x:row r="81">
      <x:c r="A81" s="47" t="str">
        <x:v>Cold container / cool box</x:v>
      </x:c>
      <x:c r="B81" s="47" t="str">
        <x:v>Food/storage</x:v>
      </x:c>
      <x:c r="C81" s="47" t="str">
        <x:v>v0.12 §8.1 / §8.6</x:v>
      </x:c>
      <x:c r="D81" s="47" t="str">
        <x:v>Food continuity store</x:v>
      </x:c>
      <x:c r="E81" s="47" t="str">
        <x:f>IF(COUNTIF('Master Catalogue'!$B$5:$B$226,A81)&gt;0,"Yes","No")</x:f>
        <x:v>No</x:v>
      </x:c>
      <x:c r="F81" s="49"/>
      <x:c r="G81" s="49"/>
      <x:c r="H81" s="49"/>
    </x:row>
    <x:row r="82">
      <x:c r="A82" s="47" t="str">
        <x:v>Hide/blind</x:v>
      </x:c>
      <x:c r="B82" s="47" t="str">
        <x:v>Hunting/shelter</x:v>
      </x:c>
      <x:c r="C82" s="47" t="str">
        <x:v>v0.12 §8.1</x:v>
      </x:c>
      <x:c r="D82" s="47" t="str">
        <x:v>No exact node</x:v>
      </x:c>
      <x:c r="E82" s="47" t="str">
        <x:f>IF(COUNTIF('Master Catalogue'!$B$5:$B$226,A82)&gt;0,"Yes","No")</x:f>
        <x:v>No</x:v>
      </x:c>
      <x:c r="F82" s="49"/>
      <x:c r="G82" s="49"/>
      <x:c r="H82" s="49"/>
    </x:row>
    <x:row r="83">
      <x:c r="A83" s="47" t="str">
        <x:v>Field dressing sheet</x:v>
      </x:c>
      <x:c r="B83" s="47" t="str">
        <x:v>Food/medicine</x:v>
      </x:c>
      <x:c r="C83" s="47" t="str">
        <x:v>v0.12 §8.6</x:v>
      </x:c>
      <x:c r="D83" s="47" t="str">
        <x:v>Clean food-processing cell</x:v>
      </x:c>
      <x:c r="E83" s="47" t="str">
        <x:f>IF(COUNTIF('Master Catalogue'!$B$5:$B$226,A83)&gt;0,"Yes","No")</x:f>
        <x:v>No</x:v>
      </x:c>
      <x:c r="F83" s="49"/>
      <x:c r="G83" s="49"/>
      <x:c r="H83" s="49"/>
    </x:row>
    <x:row r="84">
      <x:c r="A84" s="47" t="str">
        <x:v>Carcass saw / joint tool</x:v>
      </x:c>
      <x:c r="B84" s="47" t="str">
        <x:v>Food/tool</x:v>
      </x:c>
      <x:c r="C84" s="47" t="str">
        <x:v>v0.12 §8.6</x:v>
      </x:c>
      <x:c r="D84" s="47" t="str">
        <x:v>Saw/hacksaw route</x:v>
      </x:c>
      <x:c r="E84" s="47" t="str">
        <x:f>IF(COUNTIF('Master Catalogue'!$B$5:$B$226,A84)&gt;0,"Yes","No")</x:f>
        <x:v>No</x:v>
      </x:c>
      <x:c r="F84" s="49"/>
      <x:c r="G84" s="49"/>
      <x:c r="H84" s="49"/>
    </x:row>
    <x:row r="85">
      <x:c r="A85" s="47" t="str">
        <x:v>Gambrel / carcass spreader</x:v>
      </x:c>
      <x:c r="B85" s="47" t="str">
        <x:v>Food/logistics</x:v>
      </x:c>
      <x:c r="C85" s="47" t="str">
        <x:v>v0.12 §8.6</x:v>
      </x:c>
      <x:c r="D85" s="47" t="str">
        <x:v>Tripod/A-frame lift</x:v>
      </x:c>
      <x:c r="E85" s="47" t="str">
        <x:f>IF(COUNTIF('Master Catalogue'!$B$5:$B$226,A85)&gt;0,"Yes","No")</x:f>
        <x:v>No</x:v>
      </x:c>
      <x:c r="F85" s="49"/>
      <x:c r="G85" s="49"/>
      <x:c r="H85" s="49"/>
    </x:row>
    <x:row r="86">
      <x:c r="A86" s="47" t="str">
        <x:v>Thermometer</x:v>
      </x:c>
      <x:c r="B86" s="47" t="str">
        <x:v>Instrument</x:v>
      </x:c>
      <x:c r="C86" s="47" t="str">
        <x:v>v0.12 §8.6</x:v>
      </x:c>
      <x:c r="D86" s="47" t="str">
        <x:v>No exact node</x:v>
      </x:c>
      <x:c r="E86" s="47" t="str">
        <x:f>IF(COUNTIF('Master Catalogue'!$B$5:$B$226,A86)&gt;0,"Yes","No")</x:f>
        <x:v>No</x:v>
      </x:c>
      <x:c r="F86" s="49"/>
      <x:c r="G86" s="49"/>
      <x:c r="H86" s="49"/>
    </x:row>
  </x:sheetData>
  <x:mergeCells>
    <x:mergeCell ref="A1:H1"/>
    <x:mergeCell ref="A2:H2"/>
  </x:mergeCells>
  <x:conditionalFormatting sqref="E5:E86">
    <x:cfRule type="containsText" dxfId="2" priority="1" operator="containsText" text="No"/>
  </x:conditionalFormatting>
  <x:dataValidations count="2">
    <x:dataValidation type="list" sqref="F5:F86">
      <x:formula1>"Add,Merge,Reject,Needs review"</x:formula1>
    </x:dataValidation>
    <x:dataValidation type="list" sqref="H5:H86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81fe932b9946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3" hidden="0" customWidth="1"/>
    <x:col min="14" max="14" width="13" hidden="0" customWidth="1"/>
    <x:col min="15" max="15" width="38" hidden="0" customWidth="1"/>
    <x:col min="16" max="16" width="38" hidden="0" customWidth="1"/>
    <x:col min="17" max="17" width="18" hidden="0" customWidth="1"/>
  </x:cols>
  <x:sheetData>
    <x:row r="1" ht="28" customHeight="1">
      <x:c r="A1" s="3" t="str">
        <x:v>Director Additions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2" customHeight="1">
      <x:c r="A2" s="7" t="str">
        <x:v>Add any missing object here. Found, repaired, and made variants should be split when their materials, condition, tools, knowledge, time, risks, or performance differ meaningfully.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0" customHeight="1">
      <x:c r="A4" s="16" t="str">
        <x:v>Draft ID</x:v>
      </x:c>
      <x:c r="B4" s="17" t="str">
        <x:v>Item / object name</x:v>
      </x:c>
      <x:c r="C4" s="17" t="str">
        <x:v>Category</x:v>
      </x:c>
      <x:c r="D4" s="17" t="str">
        <x:v>Found ready?</x:v>
      </x:c>
      <x:c r="E4" s="17" t="str">
        <x:v>Repairable?</x:v>
      </x:c>
      <x:c r="F4" s="17" t="str">
        <x:v>Craftable?</x:v>
      </x:c>
      <x:c r="G4" s="17" t="str">
        <x:v>Earliest horizon</x:v>
      </x:c>
      <x:c r="H4" s="17" t="str">
        <x:v>Inputs / donor parts</x:v>
      </x:c>
      <x:c r="I4" s="17" t="str">
        <x:v>Required tools</x:v>
      </x:c>
      <x:c r="J4" s="17" t="str">
        <x:v>Workspace</x:v>
      </x:c>
      <x:c r="K4" s="17" t="str">
        <x:v>Knowledge</x:v>
      </x:c>
      <x:c r="L4" s="17" t="str">
        <x:v>Practical skill</x:v>
      </x:c>
      <x:c r="M4" s="17" t="str">
        <x:v>Active min</x:v>
      </x:c>
      <x:c r="N4" s="17" t="str">
        <x:v>Passive min</x:v>
      </x:c>
      <x:c r="O4" s="17" t="str">
        <x:v>Qualification / proof</x:v>
      </x:c>
      <x:c r="P4" s="17" t="str">
        <x:v>Director notes</x:v>
      </x:c>
      <x:c r="Q4" s="18" t="str">
        <x:v>Status</x:v>
      </x:c>
    </x:row>
    <x:row r="5">
      <x:c r="A5" s="46" t="str">
        <x:v>NEW-001</x:v>
      </x:c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52"/>
      <x:c r="N5" s="52"/>
      <x:c r="O5" s="48"/>
      <x:c r="P5" s="48"/>
      <x:c r="Q5" s="48" t="str">
        <x:v>Proposed</x:v>
      </x:c>
    </x:row>
    <x:row r="6">
      <x:c r="A6" s="47" t="str">
        <x:v>NEW-002</x:v>
      </x:c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53"/>
      <x:c r="N6" s="53"/>
      <x:c r="O6" s="49"/>
      <x:c r="P6" s="49"/>
      <x:c r="Q6" s="49" t="str">
        <x:v>Proposed</x:v>
      </x:c>
    </x:row>
    <x:row r="7">
      <x:c r="A7" s="47" t="str">
        <x:v>NEW-003</x:v>
      </x:c>
      <x:c r="B7" s="49"/>
      <x:c r="C7" s="49"/>
      <x:c r="D7" s="49"/>
      <x:c r="E7" s="49"/>
      <x:c r="F7" s="49"/>
      <x:c r="G7" s="49"/>
      <x:c r="H7" s="49"/>
      <x:c r="I7" s="49"/>
      <x:c r="J7" s="49"/>
      <x:c r="K7" s="49"/>
      <x:c r="L7" s="49"/>
      <x:c r="M7" s="53"/>
      <x:c r="N7" s="53"/>
      <x:c r="O7" s="49"/>
      <x:c r="P7" s="49"/>
      <x:c r="Q7" s="49" t="str">
        <x:v>Proposed</x:v>
      </x:c>
    </x:row>
    <x:row r="8">
      <x:c r="A8" s="47" t="str">
        <x:v>NEW-004</x:v>
      </x:c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53"/>
      <x:c r="N8" s="53"/>
      <x:c r="O8" s="49"/>
      <x:c r="P8" s="49"/>
      <x:c r="Q8" s="49" t="str">
        <x:v>Proposed</x:v>
      </x:c>
    </x:row>
    <x:row r="9">
      <x:c r="A9" s="47" t="str">
        <x:v>NEW-005</x:v>
      </x:c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53"/>
      <x:c r="N9" s="53"/>
      <x:c r="O9" s="49"/>
      <x:c r="P9" s="49"/>
      <x:c r="Q9" s="49" t="str">
        <x:v>Proposed</x:v>
      </x:c>
    </x:row>
    <x:row r="10">
      <x:c r="A10" s="47" t="str">
        <x:v>NEW-006</x:v>
      </x:c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53"/>
      <x:c r="N10" s="53"/>
      <x:c r="O10" s="49"/>
      <x:c r="P10" s="49"/>
      <x:c r="Q10" s="49" t="str">
        <x:v>Proposed</x:v>
      </x:c>
    </x:row>
    <x:row r="11">
      <x:c r="A11" s="47" t="str">
        <x:v>NEW-007</x:v>
      </x:c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53"/>
      <x:c r="N11" s="53"/>
      <x:c r="O11" s="49"/>
      <x:c r="P11" s="49"/>
      <x:c r="Q11" s="49" t="str">
        <x:v>Proposed</x:v>
      </x:c>
    </x:row>
    <x:row r="12">
      <x:c r="A12" s="47" t="str">
        <x:v>NEW-008</x:v>
      </x:c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53"/>
      <x:c r="N12" s="53"/>
      <x:c r="O12" s="49"/>
      <x:c r="P12" s="49"/>
      <x:c r="Q12" s="49" t="str">
        <x:v>Proposed</x:v>
      </x:c>
    </x:row>
    <x:row r="13">
      <x:c r="A13" s="47" t="str">
        <x:v>NEW-009</x:v>
      </x:c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53"/>
      <x:c r="N13" s="53"/>
      <x:c r="O13" s="49"/>
      <x:c r="P13" s="49"/>
      <x:c r="Q13" s="49" t="str">
        <x:v>Proposed</x:v>
      </x:c>
    </x:row>
    <x:row r="14">
      <x:c r="A14" s="47" t="str">
        <x:v>NEW-010</x:v>
      </x:c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53"/>
      <x:c r="N14" s="53"/>
      <x:c r="O14" s="49"/>
      <x:c r="P14" s="49"/>
      <x:c r="Q14" s="49" t="str">
        <x:v>Proposed</x:v>
      </x:c>
    </x:row>
    <x:row r="15">
      <x:c r="A15" s="47" t="str">
        <x:v>NEW-011</x:v>
      </x:c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53"/>
      <x:c r="N15" s="53"/>
      <x:c r="O15" s="49"/>
      <x:c r="P15" s="49"/>
      <x:c r="Q15" s="49" t="str">
        <x:v>Proposed</x:v>
      </x:c>
    </x:row>
    <x:row r="16">
      <x:c r="A16" s="47" t="str">
        <x:v>NEW-012</x:v>
      </x:c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53"/>
      <x:c r="N16" s="53"/>
      <x:c r="O16" s="49"/>
      <x:c r="P16" s="49"/>
      <x:c r="Q16" s="49" t="str">
        <x:v>Proposed</x:v>
      </x:c>
    </x:row>
    <x:row r="17">
      <x:c r="A17" s="47" t="str">
        <x:v>NEW-013</x:v>
      </x:c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53"/>
      <x:c r="N17" s="53"/>
      <x:c r="O17" s="49"/>
      <x:c r="P17" s="49"/>
      <x:c r="Q17" s="49" t="str">
        <x:v>Proposed</x:v>
      </x:c>
    </x:row>
    <x:row r="18">
      <x:c r="A18" s="47" t="str">
        <x:v>NEW-014</x:v>
      </x:c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53"/>
      <x:c r="N18" s="53"/>
      <x:c r="O18" s="49"/>
      <x:c r="P18" s="49"/>
      <x:c r="Q18" s="49" t="str">
        <x:v>Proposed</x:v>
      </x:c>
    </x:row>
    <x:row r="19">
      <x:c r="A19" s="47" t="str">
        <x:v>NEW-015</x:v>
      </x:c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53"/>
      <x:c r="N19" s="53"/>
      <x:c r="O19" s="49"/>
      <x:c r="P19" s="49"/>
      <x:c r="Q19" s="49" t="str">
        <x:v>Proposed</x:v>
      </x:c>
    </x:row>
    <x:row r="20">
      <x:c r="A20" s="47" t="str">
        <x:v>NEW-016</x:v>
      </x:c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53"/>
      <x:c r="N20" s="53"/>
      <x:c r="O20" s="49"/>
      <x:c r="P20" s="49"/>
      <x:c r="Q20" s="49" t="str">
        <x:v>Proposed</x:v>
      </x:c>
    </x:row>
    <x:row r="21">
      <x:c r="A21" s="47" t="str">
        <x:v>NEW-017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53"/>
      <x:c r="N21" s="53"/>
      <x:c r="O21" s="49"/>
      <x:c r="P21" s="49"/>
      <x:c r="Q21" s="49" t="str">
        <x:v>Proposed</x:v>
      </x:c>
    </x:row>
    <x:row r="22">
      <x:c r="A22" s="47" t="str">
        <x:v>NEW-018</x:v>
      </x:c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53"/>
      <x:c r="N22" s="53"/>
      <x:c r="O22" s="49"/>
      <x:c r="P22" s="49"/>
      <x:c r="Q22" s="49" t="str">
        <x:v>Proposed</x:v>
      </x:c>
    </x:row>
    <x:row r="23">
      <x:c r="A23" s="47" t="str">
        <x:v>NEW-019</x:v>
      </x:c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53"/>
      <x:c r="N23" s="53"/>
      <x:c r="O23" s="49"/>
      <x:c r="P23" s="49"/>
      <x:c r="Q23" s="49" t="str">
        <x:v>Proposed</x:v>
      </x:c>
    </x:row>
    <x:row r="24">
      <x:c r="A24" s="47" t="str">
        <x:v>NEW-020</x:v>
      </x:c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53"/>
      <x:c r="N24" s="53"/>
      <x:c r="O24" s="49"/>
      <x:c r="P24" s="49"/>
      <x:c r="Q24" s="49" t="str">
        <x:v>Proposed</x:v>
      </x:c>
    </x:row>
    <x:row r="25">
      <x:c r="A25" s="47" t="str">
        <x:v>NEW-021</x:v>
      </x:c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53"/>
      <x:c r="N25" s="53"/>
      <x:c r="O25" s="49"/>
      <x:c r="P25" s="49"/>
      <x:c r="Q25" s="49" t="str">
        <x:v>Proposed</x:v>
      </x:c>
    </x:row>
    <x:row r="26">
      <x:c r="A26" s="47" t="str">
        <x:v>NEW-022</x:v>
      </x:c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53"/>
      <x:c r="N26" s="53"/>
      <x:c r="O26" s="49"/>
      <x:c r="P26" s="49"/>
      <x:c r="Q26" s="49" t="str">
        <x:v>Proposed</x:v>
      </x:c>
    </x:row>
    <x:row r="27">
      <x:c r="A27" s="47" t="str">
        <x:v>NEW-023</x:v>
      </x:c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53"/>
      <x:c r="N27" s="53"/>
      <x:c r="O27" s="49"/>
      <x:c r="P27" s="49"/>
      <x:c r="Q27" s="49" t="str">
        <x:v>Proposed</x:v>
      </x:c>
    </x:row>
    <x:row r="28">
      <x:c r="A28" s="47" t="str">
        <x:v>NEW-024</x:v>
      </x:c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53"/>
      <x:c r="N28" s="53"/>
      <x:c r="O28" s="49"/>
      <x:c r="P28" s="49"/>
      <x:c r="Q28" s="49" t="str">
        <x:v>Proposed</x:v>
      </x:c>
    </x:row>
    <x:row r="29">
      <x:c r="A29" s="47" t="str">
        <x:v>NEW-025</x:v>
      </x:c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53"/>
      <x:c r="N29" s="53"/>
      <x:c r="O29" s="49"/>
      <x:c r="P29" s="49"/>
      <x:c r="Q29" s="49" t="str">
        <x:v>Proposed</x:v>
      </x:c>
    </x:row>
    <x:row r="30">
      <x:c r="A30" s="47" t="str">
        <x:v>NEW-026</x:v>
      </x:c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53"/>
      <x:c r="N30" s="53"/>
      <x:c r="O30" s="49"/>
      <x:c r="P30" s="49"/>
      <x:c r="Q30" s="49" t="str">
        <x:v>Proposed</x:v>
      </x:c>
    </x:row>
    <x:row r="31">
      <x:c r="A31" s="47" t="str">
        <x:v>NEW-027</x:v>
      </x:c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53"/>
      <x:c r="N31" s="53"/>
      <x:c r="O31" s="49"/>
      <x:c r="P31" s="49"/>
      <x:c r="Q31" s="49" t="str">
        <x:v>Proposed</x:v>
      </x:c>
    </x:row>
    <x:row r="32">
      <x:c r="A32" s="47" t="str">
        <x:v>NEW-028</x:v>
      </x:c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53"/>
      <x:c r="N32" s="53"/>
      <x:c r="O32" s="49"/>
      <x:c r="P32" s="49"/>
      <x:c r="Q32" s="49" t="str">
        <x:v>Proposed</x:v>
      </x:c>
    </x:row>
    <x:row r="33">
      <x:c r="A33" s="47" t="str">
        <x:v>NEW-029</x:v>
      </x:c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53"/>
      <x:c r="N33" s="53"/>
      <x:c r="O33" s="49"/>
      <x:c r="P33" s="49"/>
      <x:c r="Q33" s="49" t="str">
        <x:v>Proposed</x:v>
      </x:c>
    </x:row>
    <x:row r="34">
      <x:c r="A34" s="47" t="str">
        <x:v>NEW-030</x:v>
      </x:c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53"/>
      <x:c r="N34" s="53"/>
      <x:c r="O34" s="49"/>
      <x:c r="P34" s="49"/>
      <x:c r="Q34" s="49" t="str">
        <x:v>Proposed</x:v>
      </x:c>
    </x:row>
    <x:row r="35">
      <x:c r="A35" s="47" t="str">
        <x:v>NEW-031</x:v>
      </x:c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53"/>
      <x:c r="N35" s="53"/>
      <x:c r="O35" s="49"/>
      <x:c r="P35" s="49"/>
      <x:c r="Q35" s="49" t="str">
        <x:v>Proposed</x:v>
      </x:c>
    </x:row>
    <x:row r="36">
      <x:c r="A36" s="47" t="str">
        <x:v>NEW-032</x:v>
      </x:c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53"/>
      <x:c r="N36" s="53"/>
      <x:c r="O36" s="49"/>
      <x:c r="P36" s="49"/>
      <x:c r="Q36" s="49" t="str">
        <x:v>Proposed</x:v>
      </x:c>
    </x:row>
    <x:row r="37">
      <x:c r="A37" s="47" t="str">
        <x:v>NEW-033</x:v>
      </x:c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53"/>
      <x:c r="N37" s="53"/>
      <x:c r="O37" s="49"/>
      <x:c r="P37" s="49"/>
      <x:c r="Q37" s="49" t="str">
        <x:v>Proposed</x:v>
      </x:c>
    </x:row>
    <x:row r="38">
      <x:c r="A38" s="47" t="str">
        <x:v>NEW-034</x:v>
      </x:c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53"/>
      <x:c r="N38" s="53"/>
      <x:c r="O38" s="49"/>
      <x:c r="P38" s="49"/>
      <x:c r="Q38" s="49" t="str">
        <x:v>Proposed</x:v>
      </x:c>
    </x:row>
    <x:row r="39">
      <x:c r="A39" s="47" t="str">
        <x:v>NEW-035</x:v>
      </x:c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53"/>
      <x:c r="N39" s="53"/>
      <x:c r="O39" s="49"/>
      <x:c r="P39" s="49"/>
      <x:c r="Q39" s="49" t="str">
        <x:v>Proposed</x:v>
      </x:c>
    </x:row>
    <x:row r="40">
      <x:c r="A40" s="47" t="str">
        <x:v>NEW-036</x:v>
      </x:c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53"/>
      <x:c r="N40" s="53"/>
      <x:c r="O40" s="49"/>
      <x:c r="P40" s="49"/>
      <x:c r="Q40" s="49" t="str">
        <x:v>Proposed</x:v>
      </x:c>
    </x:row>
    <x:row r="41">
      <x:c r="A41" s="47" t="str">
        <x:v>NEW-037</x:v>
      </x:c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53"/>
      <x:c r="N41" s="53"/>
      <x:c r="O41" s="49"/>
      <x:c r="P41" s="49"/>
      <x:c r="Q41" s="49" t="str">
        <x:v>Proposed</x:v>
      </x:c>
    </x:row>
    <x:row r="42">
      <x:c r="A42" s="47" t="str">
        <x:v>NEW-038</x:v>
      </x:c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53"/>
      <x:c r="N42" s="53"/>
      <x:c r="O42" s="49"/>
      <x:c r="P42" s="49"/>
      <x:c r="Q42" s="49" t="str">
        <x:v>Proposed</x:v>
      </x:c>
    </x:row>
    <x:row r="43">
      <x:c r="A43" s="47" t="str">
        <x:v>NEW-039</x:v>
      </x:c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53"/>
      <x:c r="N43" s="53"/>
      <x:c r="O43" s="49"/>
      <x:c r="P43" s="49"/>
      <x:c r="Q43" s="49" t="str">
        <x:v>Proposed</x:v>
      </x:c>
    </x:row>
    <x:row r="44">
      <x:c r="A44" s="47" t="str">
        <x:v>NEW-040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53"/>
      <x:c r="N44" s="53"/>
      <x:c r="O44" s="49"/>
      <x:c r="P44" s="49"/>
      <x:c r="Q44" s="49" t="str">
        <x:v>Proposed</x:v>
      </x:c>
    </x:row>
    <x:row r="45">
      <x:c r="A45" s="47" t="str">
        <x:v>NEW-041</x:v>
      </x:c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53"/>
      <x:c r="N45" s="53"/>
      <x:c r="O45" s="49"/>
      <x:c r="P45" s="49"/>
      <x:c r="Q45" s="49" t="str">
        <x:v>Proposed</x:v>
      </x:c>
    </x:row>
    <x:row r="46">
      <x:c r="A46" s="47" t="str">
        <x:v>NEW-042</x:v>
      </x:c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53"/>
      <x:c r="N46" s="53"/>
      <x:c r="O46" s="49"/>
      <x:c r="P46" s="49"/>
      <x:c r="Q46" s="49" t="str">
        <x:v>Proposed</x:v>
      </x:c>
    </x:row>
    <x:row r="47">
      <x:c r="A47" s="47" t="str">
        <x:v>NEW-043</x:v>
      </x:c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53"/>
      <x:c r="N47" s="53"/>
      <x:c r="O47" s="49"/>
      <x:c r="P47" s="49"/>
      <x:c r="Q47" s="49" t="str">
        <x:v>Proposed</x:v>
      </x:c>
    </x:row>
    <x:row r="48">
      <x:c r="A48" s="47" t="str">
        <x:v>NEW-044</x:v>
      </x:c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53"/>
      <x:c r="N48" s="53"/>
      <x:c r="O48" s="49"/>
      <x:c r="P48" s="49"/>
      <x:c r="Q48" s="49" t="str">
        <x:v>Proposed</x:v>
      </x:c>
    </x:row>
    <x:row r="49">
      <x:c r="A49" s="47" t="str">
        <x:v>NEW-045</x:v>
      </x:c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53"/>
      <x:c r="N49" s="53"/>
      <x:c r="O49" s="49"/>
      <x:c r="P49" s="49"/>
      <x:c r="Q49" s="49" t="str">
        <x:v>Proposed</x:v>
      </x:c>
    </x:row>
    <x:row r="50">
      <x:c r="A50" s="47" t="str">
        <x:v>NEW-046</x:v>
      </x:c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53"/>
      <x:c r="N50" s="53"/>
      <x:c r="O50" s="49"/>
      <x:c r="P50" s="49"/>
      <x:c r="Q50" s="49" t="str">
        <x:v>Proposed</x:v>
      </x:c>
    </x:row>
    <x:row r="51">
      <x:c r="A51" s="47" t="str">
        <x:v>NEW-047</x:v>
      </x:c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53"/>
      <x:c r="N51" s="53"/>
      <x:c r="O51" s="49"/>
      <x:c r="P51" s="49"/>
      <x:c r="Q51" s="49" t="str">
        <x:v>Proposed</x:v>
      </x:c>
    </x:row>
    <x:row r="52">
      <x:c r="A52" s="47" t="str">
        <x:v>NEW-048</x:v>
      </x:c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53"/>
      <x:c r="N52" s="53"/>
      <x:c r="O52" s="49"/>
      <x:c r="P52" s="49"/>
      <x:c r="Q52" s="49" t="str">
        <x:v>Proposed</x:v>
      </x:c>
    </x:row>
    <x:row r="53">
      <x:c r="A53" s="47" t="str">
        <x:v>NEW-049</x:v>
      </x:c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53"/>
      <x:c r="N53" s="53"/>
      <x:c r="O53" s="49"/>
      <x:c r="P53" s="49"/>
      <x:c r="Q53" s="49" t="str">
        <x:v>Proposed</x:v>
      </x:c>
    </x:row>
    <x:row r="54">
      <x:c r="A54" s="47" t="str">
        <x:v>NEW-050</x:v>
      </x:c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53"/>
      <x:c r="N54" s="53"/>
      <x:c r="O54" s="49"/>
      <x:c r="P54" s="49"/>
      <x:c r="Q54" s="49" t="str">
        <x:v>Proposed</x:v>
      </x:c>
    </x:row>
    <x:row r="55">
      <x:c r="A55" s="47" t="str">
        <x:v>NEW-051</x:v>
      </x:c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53"/>
      <x:c r="N55" s="53"/>
      <x:c r="O55" s="49"/>
      <x:c r="P55" s="49"/>
      <x:c r="Q55" s="49" t="str">
        <x:v>Proposed</x:v>
      </x:c>
    </x:row>
    <x:row r="56">
      <x:c r="A56" s="47" t="str">
        <x:v>NEW-052</x:v>
      </x:c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53"/>
      <x:c r="N56" s="53"/>
      <x:c r="O56" s="49"/>
      <x:c r="P56" s="49"/>
      <x:c r="Q56" s="49" t="str">
        <x:v>Proposed</x:v>
      </x:c>
    </x:row>
    <x:row r="57">
      <x:c r="A57" s="47" t="str">
        <x:v>NEW-053</x:v>
      </x:c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53"/>
      <x:c r="N57" s="53"/>
      <x:c r="O57" s="49"/>
      <x:c r="P57" s="49"/>
      <x:c r="Q57" s="49" t="str">
        <x:v>Proposed</x:v>
      </x:c>
    </x:row>
    <x:row r="58">
      <x:c r="A58" s="47" t="str">
        <x:v>NEW-054</x:v>
      </x:c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53"/>
      <x:c r="N58" s="53"/>
      <x:c r="O58" s="49"/>
      <x:c r="P58" s="49"/>
      <x:c r="Q58" s="49" t="str">
        <x:v>Proposed</x:v>
      </x:c>
    </x:row>
    <x:row r="59">
      <x:c r="A59" s="47" t="str">
        <x:v>NEW-055</x:v>
      </x:c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53"/>
      <x:c r="N59" s="53"/>
      <x:c r="O59" s="49"/>
      <x:c r="P59" s="49"/>
      <x:c r="Q59" s="49" t="str">
        <x:v>Proposed</x:v>
      </x:c>
    </x:row>
    <x:row r="60">
      <x:c r="A60" s="47" t="str">
        <x:v>NEW-056</x:v>
      </x:c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53"/>
      <x:c r="N60" s="53"/>
      <x:c r="O60" s="49"/>
      <x:c r="P60" s="49"/>
      <x:c r="Q60" s="49" t="str">
        <x:v>Proposed</x:v>
      </x:c>
    </x:row>
    <x:row r="61">
      <x:c r="A61" s="47" t="str">
        <x:v>NEW-057</x:v>
      </x:c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53"/>
      <x:c r="N61" s="53"/>
      <x:c r="O61" s="49"/>
      <x:c r="P61" s="49"/>
      <x:c r="Q61" s="49" t="str">
        <x:v>Proposed</x:v>
      </x:c>
    </x:row>
    <x:row r="62">
      <x:c r="A62" s="47" t="str">
        <x:v>NEW-058</x:v>
      </x:c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53"/>
      <x:c r="N62" s="53"/>
      <x:c r="O62" s="49"/>
      <x:c r="P62" s="49"/>
      <x:c r="Q62" s="49" t="str">
        <x:v>Proposed</x:v>
      </x:c>
    </x:row>
    <x:row r="63">
      <x:c r="A63" s="47" t="str">
        <x:v>NEW-059</x:v>
      </x:c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53"/>
      <x:c r="N63" s="53"/>
      <x:c r="O63" s="49"/>
      <x:c r="P63" s="49"/>
      <x:c r="Q63" s="49" t="str">
        <x:v>Proposed</x:v>
      </x:c>
    </x:row>
    <x:row r="64">
      <x:c r="A64" s="47" t="str">
        <x:v>NEW-060</x:v>
      </x:c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53"/>
      <x:c r="N64" s="53"/>
      <x:c r="O64" s="49"/>
      <x:c r="P64" s="49"/>
      <x:c r="Q64" s="49" t="str">
        <x:v>Proposed</x:v>
      </x:c>
    </x:row>
    <x:row r="65">
      <x:c r="A65" s="47" t="str">
        <x:v>NEW-061</x:v>
      </x:c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53"/>
      <x:c r="N65" s="53"/>
      <x:c r="O65" s="49"/>
      <x:c r="P65" s="49"/>
      <x:c r="Q65" s="49" t="str">
        <x:v>Proposed</x:v>
      </x:c>
    </x:row>
    <x:row r="66">
      <x:c r="A66" s="47" t="str">
        <x:v>NEW-062</x:v>
      </x:c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53"/>
      <x:c r="N66" s="53"/>
      <x:c r="O66" s="49"/>
      <x:c r="P66" s="49"/>
      <x:c r="Q66" s="49" t="str">
        <x:v>Proposed</x:v>
      </x:c>
    </x:row>
    <x:row r="67">
      <x:c r="A67" s="47" t="str">
        <x:v>NEW-063</x:v>
      </x:c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53"/>
      <x:c r="N67" s="53"/>
      <x:c r="O67" s="49"/>
      <x:c r="P67" s="49"/>
      <x:c r="Q67" s="49" t="str">
        <x:v>Proposed</x:v>
      </x:c>
    </x:row>
    <x:row r="68">
      <x:c r="A68" s="47" t="str">
        <x:v>NEW-064</x:v>
      </x:c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53"/>
      <x:c r="N68" s="53"/>
      <x:c r="O68" s="49"/>
      <x:c r="P68" s="49"/>
      <x:c r="Q68" s="49" t="str">
        <x:v>Proposed</x:v>
      </x:c>
    </x:row>
    <x:row r="69">
      <x:c r="A69" s="47" t="str">
        <x:v>NEW-065</x:v>
      </x:c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53"/>
      <x:c r="N69" s="53"/>
      <x:c r="O69" s="49"/>
      <x:c r="P69" s="49"/>
      <x:c r="Q69" s="49" t="str">
        <x:v>Proposed</x:v>
      </x:c>
    </x:row>
    <x:row r="70">
      <x:c r="A70" s="47" t="str">
        <x:v>NEW-066</x:v>
      </x:c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53"/>
      <x:c r="N70" s="53"/>
      <x:c r="O70" s="49"/>
      <x:c r="P70" s="49"/>
      <x:c r="Q70" s="49" t="str">
        <x:v>Proposed</x:v>
      </x:c>
    </x:row>
    <x:row r="71">
      <x:c r="A71" s="47" t="str">
        <x:v>NEW-067</x:v>
      </x:c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53"/>
      <x:c r="N71" s="53"/>
      <x:c r="O71" s="49"/>
      <x:c r="P71" s="49"/>
      <x:c r="Q71" s="49" t="str">
        <x:v>Proposed</x:v>
      </x:c>
    </x:row>
    <x:row r="72">
      <x:c r="A72" s="47" t="str">
        <x:v>NEW-068</x:v>
      </x:c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53"/>
      <x:c r="N72" s="53"/>
      <x:c r="O72" s="49"/>
      <x:c r="P72" s="49"/>
      <x:c r="Q72" s="49" t="str">
        <x:v>Proposed</x:v>
      </x:c>
    </x:row>
    <x:row r="73">
      <x:c r="A73" s="47" t="str">
        <x:v>NEW-069</x:v>
      </x:c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53"/>
      <x:c r="N73" s="53"/>
      <x:c r="O73" s="49"/>
      <x:c r="P73" s="49"/>
      <x:c r="Q73" s="49" t="str">
        <x:v>Proposed</x:v>
      </x:c>
    </x:row>
    <x:row r="74">
      <x:c r="A74" s="47" t="str">
        <x:v>NEW-070</x:v>
      </x:c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53"/>
      <x:c r="N74" s="53"/>
      <x:c r="O74" s="49"/>
      <x:c r="P74" s="49"/>
      <x:c r="Q74" s="49" t="str">
        <x:v>Proposed</x:v>
      </x:c>
    </x:row>
    <x:row r="75">
      <x:c r="A75" s="47" t="str">
        <x:v>NEW-071</x:v>
      </x:c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53"/>
      <x:c r="N75" s="53"/>
      <x:c r="O75" s="49"/>
      <x:c r="P75" s="49"/>
      <x:c r="Q75" s="49" t="str">
        <x:v>Proposed</x:v>
      </x:c>
    </x:row>
    <x:row r="76">
      <x:c r="A76" s="47" t="str">
        <x:v>NEW-072</x:v>
      </x:c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53"/>
      <x:c r="N76" s="53"/>
      <x:c r="O76" s="49"/>
      <x:c r="P76" s="49"/>
      <x:c r="Q76" s="49" t="str">
        <x:v>Proposed</x:v>
      </x:c>
    </x:row>
    <x:row r="77">
      <x:c r="A77" s="47" t="str">
        <x:v>NEW-073</x:v>
      </x:c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53"/>
      <x:c r="N77" s="53"/>
      <x:c r="O77" s="49"/>
      <x:c r="P77" s="49"/>
      <x:c r="Q77" s="49" t="str">
        <x:v>Proposed</x:v>
      </x:c>
    </x:row>
    <x:row r="78">
      <x:c r="A78" s="47" t="str">
        <x:v>NEW-074</x:v>
      </x:c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53"/>
      <x:c r="N78" s="53"/>
      <x:c r="O78" s="49"/>
      <x:c r="P78" s="49"/>
      <x:c r="Q78" s="49" t="str">
        <x:v>Proposed</x:v>
      </x:c>
    </x:row>
    <x:row r="79">
      <x:c r="A79" s="47" t="str">
        <x:v>NEW-075</x:v>
      </x:c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53"/>
      <x:c r="N79" s="53"/>
      <x:c r="O79" s="49"/>
      <x:c r="P79" s="49"/>
      <x:c r="Q79" s="49" t="str">
        <x:v>Proposed</x:v>
      </x:c>
    </x:row>
    <x:row r="80">
      <x:c r="A80" s="47" t="str">
        <x:v>NEW-076</x:v>
      </x:c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53"/>
      <x:c r="N80" s="53"/>
      <x:c r="O80" s="49"/>
      <x:c r="P80" s="49"/>
      <x:c r="Q80" s="49" t="str">
        <x:v>Proposed</x:v>
      </x:c>
    </x:row>
    <x:row r="81">
      <x:c r="A81" s="47" t="str">
        <x:v>NEW-077</x:v>
      </x:c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53"/>
      <x:c r="N81" s="53"/>
      <x:c r="O81" s="49"/>
      <x:c r="P81" s="49"/>
      <x:c r="Q81" s="49" t="str">
        <x:v>Proposed</x:v>
      </x:c>
    </x:row>
    <x:row r="82">
      <x:c r="A82" s="47" t="str">
        <x:v>NEW-078</x:v>
      </x:c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53"/>
      <x:c r="N82" s="53"/>
      <x:c r="O82" s="49"/>
      <x:c r="P82" s="49"/>
      <x:c r="Q82" s="49" t="str">
        <x:v>Proposed</x:v>
      </x:c>
    </x:row>
    <x:row r="83">
      <x:c r="A83" s="47" t="str">
        <x:v>NEW-079</x:v>
      </x:c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53"/>
      <x:c r="N83" s="53"/>
      <x:c r="O83" s="49"/>
      <x:c r="P83" s="49"/>
      <x:c r="Q83" s="49" t="str">
        <x:v>Proposed</x:v>
      </x:c>
    </x:row>
    <x:row r="84">
      <x:c r="A84" s="47" t="str">
        <x:v>NEW-080</x:v>
      </x:c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53"/>
      <x:c r="N84" s="53"/>
      <x:c r="O84" s="49"/>
      <x:c r="P84" s="49"/>
      <x:c r="Q84" s="49" t="str">
        <x:v>Proposed</x:v>
      </x:c>
    </x:row>
    <x:row r="85">
      <x:c r="A85" s="47" t="str">
        <x:v>NEW-081</x:v>
      </x:c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53"/>
      <x:c r="N85" s="53"/>
      <x:c r="O85" s="49"/>
      <x:c r="P85" s="49"/>
      <x:c r="Q85" s="49" t="str">
        <x:v>Proposed</x:v>
      </x:c>
    </x:row>
    <x:row r="86">
      <x:c r="A86" s="47" t="str">
        <x:v>NEW-082</x:v>
      </x:c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53"/>
      <x:c r="N86" s="53"/>
      <x:c r="O86" s="49"/>
      <x:c r="P86" s="49"/>
      <x:c r="Q86" s="49" t="str">
        <x:v>Proposed</x:v>
      </x:c>
    </x:row>
    <x:row r="87">
      <x:c r="A87" s="47" t="str">
        <x:v>NEW-083</x:v>
      </x:c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53"/>
      <x:c r="N87" s="53"/>
      <x:c r="O87" s="49"/>
      <x:c r="P87" s="49"/>
      <x:c r="Q87" s="49" t="str">
        <x:v>Proposed</x:v>
      </x:c>
    </x:row>
    <x:row r="88">
      <x:c r="A88" s="47" t="str">
        <x:v>NEW-084</x:v>
      </x:c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53"/>
      <x:c r="N88" s="53"/>
      <x:c r="O88" s="49"/>
      <x:c r="P88" s="49"/>
      <x:c r="Q88" s="49" t="str">
        <x:v>Proposed</x:v>
      </x:c>
    </x:row>
    <x:row r="89">
      <x:c r="A89" s="47" t="str">
        <x:v>NEW-085</x:v>
      </x:c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53"/>
      <x:c r="N89" s="53"/>
      <x:c r="O89" s="49"/>
      <x:c r="P89" s="49"/>
      <x:c r="Q89" s="49" t="str">
        <x:v>Proposed</x:v>
      </x:c>
    </x:row>
    <x:row r="90">
      <x:c r="A90" s="47" t="str">
        <x:v>NEW-086</x:v>
      </x:c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53"/>
      <x:c r="N90" s="53"/>
      <x:c r="O90" s="49"/>
      <x:c r="P90" s="49"/>
      <x:c r="Q90" s="49" t="str">
        <x:v>Proposed</x:v>
      </x:c>
    </x:row>
    <x:row r="91">
      <x:c r="A91" s="47" t="str">
        <x:v>NEW-087</x:v>
      </x:c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53"/>
      <x:c r="N91" s="53"/>
      <x:c r="O91" s="49"/>
      <x:c r="P91" s="49"/>
      <x:c r="Q91" s="49" t="str">
        <x:v>Proposed</x:v>
      </x:c>
    </x:row>
    <x:row r="92">
      <x:c r="A92" s="47" t="str">
        <x:v>NEW-088</x:v>
      </x:c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53"/>
      <x:c r="N92" s="53"/>
      <x:c r="O92" s="49"/>
      <x:c r="P92" s="49"/>
      <x:c r="Q92" s="49" t="str">
        <x:v>Proposed</x:v>
      </x:c>
    </x:row>
    <x:row r="93">
      <x:c r="A93" s="47" t="str">
        <x:v>NEW-089</x:v>
      </x:c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53"/>
      <x:c r="N93" s="53"/>
      <x:c r="O93" s="49"/>
      <x:c r="P93" s="49"/>
      <x:c r="Q93" s="49" t="str">
        <x:v>Proposed</x:v>
      </x:c>
    </x:row>
    <x:row r="94">
      <x:c r="A94" s="47" t="str">
        <x:v>NEW-090</x:v>
      </x:c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53"/>
      <x:c r="N94" s="53"/>
      <x:c r="O94" s="49"/>
      <x:c r="P94" s="49"/>
      <x:c r="Q94" s="49" t="str">
        <x:v>Proposed</x:v>
      </x:c>
    </x:row>
    <x:row r="95">
      <x:c r="A95" s="47" t="str">
        <x:v>NEW-091</x:v>
      </x:c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53"/>
      <x:c r="N95" s="53"/>
      <x:c r="O95" s="49"/>
      <x:c r="P95" s="49"/>
      <x:c r="Q95" s="49" t="str">
        <x:v>Proposed</x:v>
      </x:c>
    </x:row>
    <x:row r="96">
      <x:c r="A96" s="47" t="str">
        <x:v>NEW-092</x:v>
      </x:c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53"/>
      <x:c r="N96" s="53"/>
      <x:c r="O96" s="49"/>
      <x:c r="P96" s="49"/>
      <x:c r="Q96" s="49" t="str">
        <x:v>Proposed</x:v>
      </x:c>
    </x:row>
    <x:row r="97">
      <x:c r="A97" s="47" t="str">
        <x:v>NEW-093</x:v>
      </x:c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53"/>
      <x:c r="N97" s="53"/>
      <x:c r="O97" s="49"/>
      <x:c r="P97" s="49"/>
      <x:c r="Q97" s="49" t="str">
        <x:v>Proposed</x:v>
      </x:c>
    </x:row>
    <x:row r="98">
      <x:c r="A98" s="47" t="str">
        <x:v>NEW-094</x:v>
      </x:c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53"/>
      <x:c r="N98" s="53"/>
      <x:c r="O98" s="49"/>
      <x:c r="P98" s="49"/>
      <x:c r="Q98" s="49" t="str">
        <x:v>Proposed</x:v>
      </x:c>
    </x:row>
    <x:row r="99">
      <x:c r="A99" s="47" t="str">
        <x:v>NEW-095</x:v>
      </x:c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53"/>
      <x:c r="N99" s="53"/>
      <x:c r="O99" s="49"/>
      <x:c r="P99" s="49"/>
      <x:c r="Q99" s="49" t="str">
        <x:v>Proposed</x:v>
      </x:c>
    </x:row>
    <x:row r="100">
      <x:c r="A100" s="47" t="str">
        <x:v>NEW-096</x:v>
      </x:c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53"/>
      <x:c r="N100" s="53"/>
      <x:c r="O100" s="49"/>
      <x:c r="P100" s="49"/>
      <x:c r="Q100" s="49" t="str">
        <x:v>Proposed</x:v>
      </x:c>
    </x:row>
    <x:row r="101">
      <x:c r="A101" s="47" t="str">
        <x:v>NEW-097</x:v>
      </x:c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53"/>
      <x:c r="N101" s="53"/>
      <x:c r="O101" s="49"/>
      <x:c r="P101" s="49"/>
      <x:c r="Q101" s="49" t="str">
        <x:v>Proposed</x:v>
      </x:c>
    </x:row>
    <x:row r="102">
      <x:c r="A102" s="47" t="str">
        <x:v>NEW-098</x:v>
      </x:c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53"/>
      <x:c r="N102" s="53"/>
      <x:c r="O102" s="49"/>
      <x:c r="P102" s="49"/>
      <x:c r="Q102" s="49" t="str">
        <x:v>Proposed</x:v>
      </x:c>
    </x:row>
    <x:row r="103">
      <x:c r="A103" s="47" t="str">
        <x:v>NEW-099</x:v>
      </x:c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53"/>
      <x:c r="N103" s="53"/>
      <x:c r="O103" s="49"/>
      <x:c r="P103" s="49"/>
      <x:c r="Q103" s="49" t="str">
        <x:v>Proposed</x:v>
      </x:c>
    </x:row>
    <x:row r="104">
      <x:c r="A104" s="47" t="str">
        <x:v>NEW-100</x:v>
      </x:c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53"/>
      <x:c r="N104" s="53"/>
      <x:c r="O104" s="49"/>
      <x:c r="P104" s="49"/>
      <x:c r="Q104" s="49" t="str">
        <x:v>Proposed</x:v>
      </x:c>
    </x:row>
  </x:sheetData>
  <x:mergeCells>
    <x:mergeCell ref="A1:Q1"/>
    <x:mergeCell ref="A2:Q2"/>
  </x:mergeCells>
  <x:dataValidations count="5">
    <x:dataValidation type="list" sqref="D5:D104">
      <x:formula1>"Yes,No,Conditional,Unknown"</x:formula1>
    </x:dataValidation>
    <x:dataValidation type="list" sqref="E5:E104">
      <x:formula1>"Yes,No,Conditional,Unknown"</x:formula1>
    </x:dataValidation>
    <x:dataValidation type="list" sqref="F5:F104">
      <x:formula1>"Yes,No,Conditional,Unknown"</x:formula1>
    </x:dataValidation>
    <x:dataValidation type="list" sqref="G5:G104">
      <x:formula1>"H0,H1,H2,H3,H4,H5,H6,H7"</x:formula1>
    </x:dataValidation>
    <x:dataValidation type="list" sqref="Q5:Q104">
      <x:formula1>"Proposed,Approved,Merged,Rejected,Needs research"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ed0b4963234041"/>
  </x:tableParts>
</x:worksheet>
</file>