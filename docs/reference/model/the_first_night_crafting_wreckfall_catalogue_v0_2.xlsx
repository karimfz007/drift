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7168b106c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4266e0ffbb47d1"/>
    <x:sheet xmlns:r="http://schemas.openxmlformats.org/officeDocument/2006/relationships" name="All Current Names" sheetId="2" r:id="Rb7c5867ffe454ddc"/>
    <x:sheet xmlns:r="http://schemas.openxmlformats.org/officeDocument/2006/relationships" name="Master Catalogue" sheetId="3" r:id="R645c28611c8d401b"/>
    <x:sheet xmlns:r="http://schemas.openxmlformats.org/officeDocument/2006/relationships" name="Tools" sheetId="4" r:id="R511da856f2ae41e4"/>
    <x:sheet xmlns:r="http://schemas.openxmlformats.org/officeDocument/2006/relationships" name="Weapons Audit" sheetId="5" r:id="R0a7e312105234ed2"/>
    <x:sheet xmlns:r="http://schemas.openxmlformats.org/officeDocument/2006/relationships" name="Steam-Electric" sheetId="6" r:id="Re467f4400be04040"/>
    <x:sheet xmlns:r="http://schemas.openxmlformats.org/officeDocument/2006/relationships" name="Canon Gaps" sheetId="7" r:id="Rf1a4a5bfed0b4af2"/>
    <x:sheet xmlns:r="http://schemas.openxmlformats.org/officeDocument/2006/relationships" name="Director Additions" sheetId="8" r:id="R7030e8d2cf8744f1"/>
    <x:sheet xmlns:r="http://schemas.openxmlformats.org/officeDocument/2006/relationships" name="Natural Tools v0.2" sheetId="9" r:id="Rf22b9c8deb9f4a9e"/>
    <x:sheet xmlns:r="http://schemas.openxmlformats.org/officeDocument/2006/relationships" name="Salvage Manifest v0.2" sheetId="10" r:id="Raff3846bd0304a3d"/>
    <x:sheet xmlns:r="http://schemas.openxmlformats.org/officeDocument/2006/relationships" name="Disassembly v0.2" sheetId="11" r:id="R7817831478204d58"/>
    <x:sheet xmlns:r="http://schemas.openxmlformats.org/officeDocument/2006/relationships" name="Material Routes v0.2" sheetId="12" r:id="R6b36d85db21b45ed"/>
    <x:sheet xmlns:r="http://schemas.openxmlformats.org/officeDocument/2006/relationships" name="Beach Ecology v0.2" sheetId="13" r:id="R74bdb8174da84166"/>
    <x:sheet xmlns:r="http://schemas.openxmlformats.org/officeDocument/2006/relationships" name="Power Roadmap v0.2" sheetId="14" r:id="R07b8184cf7364601"/>
    <x:sheet xmlns:r="http://schemas.openxmlformats.org/officeDocument/2006/relationships" name="Research Sources v0.2" sheetId="15" r:id="R8443677e2044494c"/>
    <x:sheet xmlns:r="http://schemas.openxmlformats.org/officeDocument/2006/relationships" name="Expansion Index v0.2" sheetId="16" r:id="R76df8f5065034ec8"/>
    <x:sheet xmlns:r="http://schemas.openxmlformats.org/officeDocument/2006/relationships" name="Expansion Summary v0.2" sheetId="17" r:id="R454f15981cd6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03247"/>
      <x:name val="Carlito"/>
    </x:font>
    <x:font>
      <x:b/>
      <x:sz val="10"/>
      <x:color rgb="FFFFFFFF"/>
      <x:name val="Carlito"/>
    </x:font>
    <x:font>
      <x:sz val="10"/>
      <x:color rgb="FF182230"/>
      <x:name val="Carlito"/>
    </x:font>
    <x:font>
      <x:b/>
      <x:sz val="11"/>
      <x:color rgb="FFFFFFFF"/>
      <x:name val="Carlito"/>
    </x:font>
    <x:font>
      <x:b/>
      <x:sz val="10"/>
      <x:color rgb="FFD96632"/>
      <x:name val="Carlito"/>
    </x:font>
    <x:font>
      <x:b/>
      <x:sz val="17"/>
      <x:color rgb="FFFFFFFF"/>
      <x:name val="Aptos Display"/>
    </x:font>
    <x:font>
      <x:i/>
      <x:sz val="10"/>
      <x:color rgb="FF243142"/>
      <x:name val="Aptos"/>
    </x:font>
    <x:font>
      <x:b/>
      <x:sz val="10"/>
      <x:color rgb="FFFFFFFF"/>
      <x:name val="Aptos"/>
    </x:font>
    <x:font>
      <x:sz val="9"/>
      <x:color rgb="FF243142"/>
      <x:name val="Aptos"/>
    </x:font>
    <x:font>
      <x:sz val="8"/>
      <x:color rgb="FF315A7D"/>
      <x:name val="Aptos"/>
    </x:font>
    <x:font>
      <x:sz val="9"/>
      <x:color rgb="FF315A7D"/>
      <x:name val="Aptos"/>
    </x:font>
    <x:font>
      <x:b/>
      <x:sz val="18"/>
      <x:color rgb="FFFFFFFF"/>
      <x:name val="Aptos Display"/>
    </x:font>
    <x:font>
      <x:sz val="10"/>
      <x:color rgb="FF243142"/>
      <x:name val="Aptos"/>
    </x:font>
    <x:font>
      <x:b/>
      <x:sz val="11"/>
      <x:color rgb="FFFFFFFF"/>
      <x:name val="Aptos"/>
    </x:font>
    <x:font>
      <x:b/>
      <x:sz val="12"/>
      <x:color rgb="FFFFFFFF"/>
      <x:name val="Aptos"/>
    </x:font>
    <x:font>
      <x:b/>
      <x:sz val="10"/>
      <x:color rgb="FF1D5133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1B2638"/>
      </x:patternFill>
    </x:fill>
    <x:fill>
      <x:patternFill patternType="solid">
        <x:fgColor rgb="FFF6F0E6"/>
      </x:patternFill>
    </x:fill>
    <x:fill>
      <x:patternFill patternType="solid">
        <x:fgColor rgb="FF203247"/>
      </x:patternFill>
    </x:fill>
    <x:fill>
      <x:patternFill patternType="solid">
        <x:fgColor rgb="FFEEF2F5"/>
      </x:patternFill>
    </x:fill>
    <x:fill>
      <x:patternFill patternType="solid">
        <x:fgColor rgb="FFD96632"/>
      </x:patternFill>
    </x:fill>
    <x:fill>
      <x:patternFill patternType="solid">
        <x:fgColor rgb="FFFBFAF7"/>
      </x:patternFill>
    </x:fill>
    <x:fill>
      <x:patternFill patternType="solid">
        <x:fgColor rgb="FFFFF0CF"/>
      </x:patternFill>
    </x:fill>
    <x:fill>
      <x:patternFill patternType="solid">
        <x:fgColor rgb="FF1C2B3F"/>
      </x:patternFill>
    </x:fill>
    <x:fill>
      <x:patternFill patternType="solid">
        <x:fgColor rgb="FFF4EFE5"/>
      </x:patternFill>
    </x:fill>
    <x:fill>
      <x:patternFill patternType="solid">
        <x:fgColor rgb="FF263B55"/>
      </x:patternFill>
    </x:fill>
    <x:fill>
      <x:patternFill patternType="solid">
        <x:fgColor rgb="FFFCE8DC"/>
      </x:patternFill>
    </x:fill>
    <x:fill>
      <x:patternFill patternType="solid">
        <x:fgColor rgb="FFFFF3CD"/>
      </x:patternFill>
    </x:fill>
    <x:fill>
      <x:patternFill patternType="solid">
        <x:fgColor rgb="FFEAF1F6"/>
      </x:patternFill>
    </x:fill>
    <x:fill>
      <x:patternFill patternType="solid">
        <x:fgColor rgb="FFE7652A"/>
      </x:patternFill>
    </x:fill>
    <x:fill>
      <x:patternFill patternType="solid">
        <x:fgColor rgb="FFFBF8F2"/>
      </x:patternFill>
    </x:fill>
    <x:fill>
      <x:patternFill patternType="solid">
        <x:fgColor rgb="FFDDF3E4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CCD4DC"/>
      </x:left>
      <x:top style="thin">
        <x:color rgb="FFCCD4DC"/>
      </x:top>
      <x:bottom style="thin">
        <x:color rgb="FFCCD4DC"/>
      </x:bottom>
    </x:border>
    <x:border>
      <x:top style="thin">
        <x:color rgb="FFCCD4DC"/>
      </x:top>
      <x:bottom style="thin">
        <x:color rgb="FFCCD4DC"/>
      </x:bottom>
    </x:border>
    <x:border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left style="thin">
        <x:color rgb="FFCCD4DC"/>
      </x:left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bottom style="thin">
        <x:color rgb="FFCCD4DC"/>
      </x:bottom>
    </x:border>
    <x:border>
      <x:top style="thin">
        <x:color rgb="FFCCD4DC"/>
      </x:top>
    </x:border>
    <x:border>
      <x:bottom style="thin">
        <x:color rgb="FFE1E6EA"/>
      </x:bottom>
    </x:border>
    <x:border>
      <x:top style="thin">
        <x:color rgb="FFE1E6EA"/>
      </x:top>
      <x:bottom style="thin">
        <x:color rgb="FFE1E6EA"/>
      </x:bottom>
    </x:border>
    <x:border>
      <x:bottom style="medium">
        <x:color rgb="FFE7652A"/>
      </x:bottom>
    </x:border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  <x:border>
      <x:bottom style="thin">
        <x:color rgb="FFE2D7C7"/>
      </x:bottom>
    </x:border>
    <x:border>
      <x:top style="thin">
        <x:color rgb="FFE2D7C7"/>
      </x:top>
      <x:bottom style="thin">
        <x:color rgb="FFE2D7C7"/>
      </x:bottom>
    </x:border>
    <x:border>
      <x:top style="thin">
        <x:color rgb="FFE2D7C7"/>
      </x:top>
    </x:border>
  </x:borders>
  <x:cellStyleXfs count="1">
    <x:xf numFmtId="0" fontId="0" fillId="0" borderId="0"/>
  </x:cellStyleXfs>
  <x:cellXfs count="1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200" fontId="4" fillId="5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5" xfId="0" applyNumberFormat="1" applyFont="1" applyFill="1" applyBorder="1"/>
    <x:xf numFmtId="0" fontId="4" fillId="7" borderId="2" xfId="0" applyNumberFormat="1" applyFont="1" applyFill="1" applyBorder="1"/>
    <x:xf numFmtId="0" fontId="4" fillId="7" borderId="6" xfId="0" applyNumberFormat="1" applyFont="1" applyFill="1" applyBorder="1"/>
    <x:xf numFmtId="0" fontId="4" fillId="7" borderId="5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8" borderId="7" xfId="0" applyNumberFormat="1" applyFont="1" applyFill="1" applyBorder="1" applyAlignment="1">
      <x:alignment vertical="top" wrapText="1"/>
    </x:xf>
    <x:xf numFmtId="200" fontId="4" fillId="8" borderId="8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9" xfId="0" applyNumberFormat="1" applyFont="1" applyFill="1" applyBorder="1"/>
    <x:xf numFmtId="0" fontId="9" fillId="11" borderId="9" xfId="0" applyNumberFormat="1" applyFont="1" applyFill="1" applyBorder="1" applyAlignment="1">
      <x:alignment wrapText="1"/>
    </x:xf>
    <x:xf numFmtId="0" fontId="9" fillId="11" borderId="9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1" xfId="0" applyNumberFormat="1" applyFont="1" applyFill="1" applyBorder="1"/>
    <x:xf numFmtId="0" fontId="10" fillId="0" borderId="12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1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10" fillId="0" borderId="12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2" fillId="0" borderId="10" xfId="0" applyNumberFormat="1" applyFont="1" applyFill="1" applyBorder="1" applyAlignment="1">
      <x:alignment vertical="top" wrapText="1"/>
    </x:xf>
    <x:xf numFmtId="0" fontId="12" fillId="0" borderId="11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1" xfId="0" applyNumberFormat="1" applyFont="1" applyFill="1" applyBorder="1" applyAlignment="1">
      <x:alignment vertical="top" wrapText="1"/>
    </x:xf>
    <x:xf numFmtId="0" fontId="10" fillId="12" borderId="12" xfId="0" applyNumberFormat="1" applyFont="1" applyFill="1" applyBorder="1" applyAlignment="1">
      <x:alignment vertical="top" wrapText="1"/>
    </x:xf>
    <x:xf numFmtId="0" fontId="10" fillId="13" borderId="10" xfId="0" applyNumberFormat="1" applyFont="1" applyFill="1" applyBorder="1" applyAlignment="1">
      <x:alignment vertical="top" wrapText="1"/>
    </x:xf>
    <x:xf numFmtId="0" fontId="10" fillId="13" borderId="11" xfId="0" applyNumberFormat="1" applyFont="1" applyFill="1" applyBorder="1" applyAlignment="1">
      <x:alignment vertical="top" wrapText="1"/>
    </x:xf>
    <x:xf numFmtId="0" fontId="10" fillId="13" borderId="12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10" xfId="0" applyNumberFormat="1" applyFont="1" applyFill="1" applyBorder="1"/>
    <x:xf numFmtId="0" fontId="14" fillId="14" borderId="11" xfId="0" applyNumberFormat="1" applyFont="1" applyFill="1" applyBorder="1"/>
    <x:xf numFmtId="0" fontId="14" fillId="14" borderId="12" xfId="0" applyNumberFormat="1" applyFont="1" applyFill="1" applyBorder="1"/>
    <x:xf numFmtId="0" fontId="14" fillId="14" borderId="10" xfId="0" applyNumberFormat="1" applyFont="1" applyFill="1" applyBorder="1" applyAlignment="1">
      <x:alignment wrapText="1"/>
    </x:xf>
    <x:xf numFmtId="0" fontId="14" fillId="14" borderId="11" xfId="0" applyNumberFormat="1" applyFont="1" applyFill="1" applyBorder="1" applyAlignment="1">
      <x:alignment wrapText="1"/>
    </x:xf>
    <x:xf numFmtId="0" fontId="14" fillId="14" borderId="12" xfId="0" applyNumberFormat="1" applyFont="1" applyFill="1" applyBorder="1" applyAlignment="1">
      <x:alignment wrapText="1"/>
    </x:xf>
    <x:xf numFmtId="0" fontId="14" fillId="14" borderId="10" xfId="0" applyNumberFormat="1" applyFont="1" applyFill="1" applyBorder="1" applyAlignment="1">
      <x:alignment vertical="center" wrapText="1"/>
    </x:xf>
    <x:xf numFmtId="0" fontId="14" fillId="14" borderId="11" xfId="0" applyNumberFormat="1" applyFont="1" applyFill="1" applyBorder="1" applyAlignment="1">
      <x:alignment vertical="center" wrapText="1"/>
    </x:xf>
    <x:xf numFmtId="0" fontId="14" fillId="14" borderId="12" xfId="0" applyNumberFormat="1" applyFont="1" applyFill="1" applyBorder="1" applyAlignment="1">
      <x:alignment vertical="center" wrapText="1"/>
    </x:xf>
    <x:xf numFmtId="200" fontId="14" fillId="14" borderId="10" xfId="0" applyNumberFormat="1" applyFont="1" applyFill="1" applyBorder="1" applyAlignment="1">
      <x:alignment vertical="center" wrapText="1"/>
    </x:xf>
    <x:xf numFmtId="200" fontId="14" fillId="14" borderId="11" xfId="0" applyNumberFormat="1" applyFont="1" applyFill="1" applyBorder="1" applyAlignment="1">
      <x:alignment vertical="center" wrapText="1"/>
    </x:xf>
    <x:xf numFmtId="200" fontId="14" fillId="14" borderId="1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13" xfId="0" applyNumberFormat="1" applyFont="1" applyFill="1" applyBorder="1"/>
    <x:xf numFmtId="0" fontId="14" fillId="0" borderId="14" xfId="0" applyNumberFormat="1" applyFont="1" applyFill="1" applyBorder="1"/>
    <x:xf numFmtId="0" fontId="14" fillId="0" borderId="15" xfId="0" applyNumberFormat="1" applyFont="1" applyFill="1" applyBorder="1"/>
    <x:xf numFmtId="0" fontId="14" fillId="0" borderId="13" xfId="0" applyNumberFormat="1" applyFont="1" applyFill="1" applyBorder="1" applyAlignment="1">
      <x:alignment wrapText="1"/>
    </x:xf>
    <x:xf numFmtId="0" fontId="14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 applyAlignment="1">
      <x:alignment wrapText="1"/>
    </x:xf>
    <x:xf numFmtId="0" fontId="14" fillId="0" borderId="13" xfId="0" applyNumberFormat="1" applyFont="1" applyFill="1" applyBorder="1" applyAlignment="1">
      <x:alignment vertical="center" wrapText="1"/>
    </x:xf>
    <x:xf numFmtId="0" fontId="14" fillId="0" borderId="14" xfId="0" applyNumberFormat="1" applyFont="1" applyFill="1" applyBorder="1" applyAlignment="1">
      <x:alignment vertical="center" wrapText="1"/>
    </x:xf>
    <x:xf numFmtId="0" fontId="14" fillId="0" borderId="15" xfId="0" applyNumberFormat="1" applyFont="1" applyFill="1" applyBorder="1" applyAlignment="1">
      <x:alignment vertical="center" wrapText="1"/>
    </x:xf>
    <x:xf numFmtId="0" fontId="14" fillId="10" borderId="13" xfId="0" applyNumberFormat="1" applyFont="1" applyFill="1" applyBorder="1" applyAlignment="1">
      <x:alignment vertical="center" wrapText="1"/>
    </x:xf>
    <x:xf numFmtId="0" fontId="14" fillId="10" borderId="14" xfId="0" applyNumberFormat="1" applyFont="1" applyFill="1" applyBorder="1" applyAlignment="1">
      <x:alignment vertical="center" wrapText="1"/>
    </x:xf>
    <x:xf numFmtId="0" fontId="14" fillId="10" borderId="15" xfId="0" applyNumberFormat="1" applyFont="1" applyFill="1" applyBorder="1" applyAlignment="1">
      <x:alignment vertical="center" wrapText="1"/>
    </x:xf>
    <x:xf numFmtId="0" fontId="14" fillId="16" borderId="13" xfId="0" applyNumberFormat="1" applyFont="1" applyFill="1" applyBorder="1" applyAlignment="1">
      <x:alignment vertical="center" wrapText="1"/>
    </x:xf>
    <x:xf numFmtId="0" fontId="14" fillId="16" borderId="14" xfId="0" applyNumberFormat="1" applyFont="1" applyFill="1" applyBorder="1" applyAlignment="1">
      <x:alignment vertical="center" wrapText="1"/>
    </x:xf>
    <x:xf numFmtId="0" fontId="14" fillId="16" borderId="15" xfId="0" applyNumberFormat="1" applyFont="1" applyFill="1" applyBorder="1" applyAlignment="1">
      <x:alignment vertical="center" wrapText="1"/>
    </x:xf>
    <x:xf numFmtId="0" fontId="14" fillId="15" borderId="13" xfId="0" applyNumberFormat="1" applyFont="1" applyFill="1" applyBorder="1" applyAlignment="1">
      <x:alignment vertical="center" wrapText="1"/>
    </x:xf>
    <x:xf numFmtId="0" fontId="14" fillId="15" borderId="14" xfId="0" applyNumberFormat="1" applyFont="1" applyFill="1" applyBorder="1" applyAlignment="1">
      <x:alignment vertical="center" wrapText="1"/>
    </x:xf>
    <x:xf numFmtId="0" fontId="14" fillId="15" borderId="15" xfId="0" applyNumberFormat="1" applyFont="1" applyFill="1" applyBorder="1" applyAlignment="1">
      <x:alignment vertical="center" wrapText="1"/>
    </x:xf>
    <x:xf numFmtId="0" fontId="16" fillId="15" borderId="13" xfId="0" applyNumberFormat="1" applyFont="1" applyFill="1" applyBorder="1" applyAlignment="1">
      <x:alignment vertical="center" wrapText="1"/>
    </x:xf>
    <x:xf numFmtId="0" fontId="16" fillId="15" borderId="14" xfId="0" applyNumberFormat="1" applyFont="1" applyFill="1" applyBorder="1" applyAlignment="1">
      <x:alignment vertical="center" wrapText="1"/>
    </x:xf>
    <x:xf numFmtId="0" fontId="16" fillId="15" borderId="15" xfId="0" applyNumberFormat="1" applyFont="1" applyFill="1" applyBorder="1" applyAlignment="1">
      <x:alignment vertical="center" wrapText="1"/>
    </x:xf>
    <x:xf numFmtId="0" fontId="16" fillId="15" borderId="13" xfId="0" applyNumberFormat="1" applyFont="1" applyFill="1" applyBorder="1" applyAlignment="1">
      <x:alignment horizontal="center" vertical="center" wrapText="1"/>
    </x:xf>
    <x:xf numFmtId="0" fontId="16" fillId="15" borderId="14" xfId="0" applyNumberFormat="1" applyFont="1" applyFill="1" applyBorder="1" applyAlignment="1">
      <x:alignment horizontal="center" vertical="center" wrapText="1"/>
    </x:xf>
    <x:xf numFmtId="0" fontId="16" fillId="15" borderId="15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/>
    <x:xf numFmtId="0" fontId="14" fillId="0" borderId="10" xfId="0" applyNumberFormat="1" applyFont="1" applyFill="1" applyBorder="1"/>
    <x:xf numFmtId="0" fontId="14" fillId="0" borderId="11" xfId="0" applyNumberFormat="1" applyFont="1" applyFill="1" applyBorder="1"/>
    <x:xf numFmtId="0" fontId="14" fillId="0" borderId="12" xfId="0" applyNumberFormat="1" applyFont="1" applyFill="1" applyBorder="1"/>
    <x:xf numFmtId="0" fontId="14" fillId="0" borderId="10" xfId="0" applyNumberFormat="1" applyFont="1" applyFill="1" applyBorder="1" applyAlignment="1">
      <x:alignment wrapText="1"/>
    </x:xf>
    <x:xf numFmtId="0" fontId="14" fillId="0" borderId="11" xfId="0" applyNumberFormat="1" applyFont="1" applyFill="1" applyBorder="1" applyAlignment="1">
      <x:alignment wrapText="1"/>
    </x:xf>
    <x:xf numFmtId="0" fontId="14" fillId="0" borderId="12" xfId="0" applyNumberFormat="1" applyFont="1" applyFill="1" applyBorder="1" applyAlignment="1">
      <x:alignment wrapText="1"/>
    </x:xf>
    <x:xf numFmtId="0" fontId="14" fillId="0" borderId="10" xfId="0" applyNumberFormat="1" applyFont="1" applyFill="1" applyBorder="1" applyAlignment="1">
      <x:alignment vertical="center" wrapText="1"/>
    </x:xf>
    <x:xf numFmtId="0" fontId="14" fillId="0" borderId="11" xfId="0" applyNumberFormat="1" applyFont="1" applyFill="1" applyBorder="1" applyAlignment="1">
      <x:alignment vertical="center" wrapText="1"/>
    </x:xf>
    <x:xf numFmtId="0" fontId="14" fillId="0" borderId="12" xfId="0" applyNumberFormat="1" applyFont="1" applyFill="1" applyBorder="1" applyAlignment="1">
      <x:alignment vertical="center" wrapText="1"/>
    </x:xf>
    <x:xf numFmtId="0" fontId="14" fillId="17" borderId="10" xfId="0" applyNumberFormat="1" applyFont="1" applyFill="1" applyBorder="1" applyAlignment="1">
      <x:alignment vertical="center" wrapText="1"/>
    </x:xf>
    <x:xf numFmtId="0" fontId="14" fillId="17" borderId="11" xfId="0" applyNumberFormat="1" applyFont="1" applyFill="1" applyBorder="1" applyAlignment="1">
      <x:alignment vertical="center" wrapText="1"/>
    </x:xf>
    <x:xf numFmtId="0" fontId="14" fillId="17" borderId="12" xfId="0" applyNumberFormat="1" applyFont="1" applyFill="1" applyBorder="1" applyAlignment="1">
      <x:alignment vertical="center" wrapText="1"/>
    </x:xf>
    <x:xf numFmtId="0" fontId="17" fillId="17" borderId="10" xfId="0" applyNumberFormat="1" applyFont="1" applyFill="1" applyBorder="1" applyAlignment="1">
      <x:alignment vertical="center" wrapText="1"/>
    </x:xf>
    <x:xf numFmtId="0" fontId="17" fillId="17" borderId="11" xfId="0" applyNumberFormat="1" applyFont="1" applyFill="1" applyBorder="1" applyAlignment="1">
      <x:alignment vertical="center" wrapText="1"/>
    </x:xf>
    <x:xf numFmtId="0" fontId="17" fillId="17" borderId="12" xfId="0" applyNumberFormat="1" applyFont="1" applyFill="1" applyBorder="1" applyAlignment="1">
      <x:alignment vertical="center" wrapText="1"/>
    </x:xf>
    <x:xf numFmtId="0" fontId="14" fillId="18" borderId="10" xfId="0" applyNumberFormat="1" applyFont="1" applyFill="1" applyBorder="1" applyAlignment="1">
      <x:alignment vertical="center" wrapText="1"/>
    </x:xf>
    <x:xf numFmtId="0" fontId="14" fillId="18" borderId="11" xfId="0" applyNumberFormat="1" applyFont="1" applyFill="1" applyBorder="1" applyAlignment="1">
      <x:alignment vertical="center" wrapText="1"/>
    </x:xf>
    <x:xf numFmtId="0" fontId="14" fillId="18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8B1E17"/>
      </x:font>
      <x:fill>
        <x:patternFill>
          <x:bgColor rgb="FFF7D9D5"/>
        </x:patternFill>
      </x:fill>
    </x:dxf>
    <x:dxf>
      <x:font>
        <x:color rgb="FF155C45"/>
      </x:font>
      <x:fill>
        <x:patternFill>
          <x:bgColor rgb="FFDDEFE8"/>
        </x:patternFill>
      </x:fill>
    </x:dxf>
    <x:dxf>
      <x:font>
        <x:b/>
        <x:color rgb="FF8B1E17"/>
      </x:font>
      <x:fill>
        <x:patternFill>
          <x:bgColor rgb="FFF7D9D5"/>
        </x:patternFill>
      </x:fill>
    </x:dxf>
    <x:dxf>
      <x:font>
        <x:color rgb="FF155724"/>
      </x:font>
      <x:fill>
        <x:patternFill patternType="solid">
          <x:bgColor rgb="FFDDF3E4"/>
        </x:patternFill>
      </x:fill>
    </x:dxf>
    <x:dxf>
      <x:font>
        <x:color rgb="FF721C24"/>
      </x:font>
      <x:fill>
        <x:patternFill patternType="solid">
          <x:bgColor rgb="FFF8D7DA"/>
        </x:patternFill>
      </x:fill>
    </x:dxf>
    <x:dxf>
      <x:font>
        <x:b/>
        <x:color rgb="FF721C24"/>
      </x:font>
      <x:fill>
        <x:patternFill patternType="solid">
          <x:bgColor rgb="FFF8D7DA"/>
        </x:patternFill>
      </x:fill>
    </x:dxf>
    <x:dxf>
      <x:font>
        <x:b/>
        <x:color rgb="FF721C24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4f9edf1634581" /><Relationship Type="http://schemas.openxmlformats.org/officeDocument/2006/relationships/theme" Target="/xl/theme/theme1.xml" Id="R1953e69936cb4fa3" /><Relationship Type="http://schemas.openxmlformats.org/officeDocument/2006/relationships/sharedStrings" Target="/xl/sharedStrings.xml" Id="R3ef3f22d7c2a4551" /><Relationship Type="http://schemas.openxmlformats.org/officeDocument/2006/relationships/worksheet" Target="/xl/worksheets/sheet1.xml" Id="R314266e0ffbb47d1" /><Relationship Type="http://schemas.openxmlformats.org/officeDocument/2006/relationships/worksheet" Target="/xl/worksheets/sheet2.xml" Id="Rb7c5867ffe454ddc" /><Relationship Type="http://schemas.openxmlformats.org/officeDocument/2006/relationships/worksheet" Target="/xl/worksheets/sheet3.xml" Id="R645c28611c8d401b" /><Relationship Type="http://schemas.openxmlformats.org/officeDocument/2006/relationships/worksheet" Target="/xl/worksheets/sheet4.xml" Id="R511da856f2ae41e4" /><Relationship Type="http://schemas.openxmlformats.org/officeDocument/2006/relationships/worksheet" Target="/xl/worksheets/sheet5.xml" Id="R0a7e312105234ed2" /><Relationship Type="http://schemas.openxmlformats.org/officeDocument/2006/relationships/worksheet" Target="/xl/worksheets/sheet6.xml" Id="Re467f4400be04040" /><Relationship Type="http://schemas.openxmlformats.org/officeDocument/2006/relationships/worksheet" Target="/xl/worksheets/sheet7.xml" Id="Rf1a4a5bfed0b4af2" /><Relationship Type="http://schemas.openxmlformats.org/officeDocument/2006/relationships/worksheet" Target="/xl/worksheets/sheet8.xml" Id="R7030e8d2cf8744f1" /><Relationship Type="http://schemas.openxmlformats.org/officeDocument/2006/relationships/worksheet" Target="/xl/worksheets/sheet9.xml" Id="Rf22b9c8deb9f4a9e" /><Relationship Type="http://schemas.openxmlformats.org/officeDocument/2006/relationships/worksheet" Target="/xl/worksheets/sheet10.xml" Id="Raff3846bd0304a3d" /><Relationship Type="http://schemas.openxmlformats.org/officeDocument/2006/relationships/worksheet" Target="/xl/worksheets/sheet11.xml" Id="R7817831478204d58" /><Relationship Type="http://schemas.openxmlformats.org/officeDocument/2006/relationships/worksheet" Target="/xl/worksheets/sheet12.xml" Id="R6b36d85db21b45ed" /><Relationship Type="http://schemas.openxmlformats.org/officeDocument/2006/relationships/worksheet" Target="/xl/worksheets/sheet13.xml" Id="R74bdb8174da84166" /><Relationship Type="http://schemas.openxmlformats.org/officeDocument/2006/relationships/worksheet" Target="/xl/worksheets/sheet14.xml" Id="R07b8184cf7364601" /><Relationship Type="http://schemas.openxmlformats.org/officeDocument/2006/relationships/worksheet" Target="/xl/worksheets/sheet15.xml" Id="R8443677e2044494c" /><Relationship Type="http://schemas.openxmlformats.org/officeDocument/2006/relationships/worksheet" Target="/xl/worksheets/sheet16.xml" Id="R76df8f5065034ec8" /><Relationship Type="http://schemas.openxmlformats.org/officeDocument/2006/relationships/worksheet" Target="/xl/worksheets/sheet17.xml" Id="R454f15981cd648b2" /></Relationships>
</file>

<file path=xl/tables/table1.xml><?xml version="1.0" encoding="utf-8"?>
<x:table xmlns:x="http://schemas.openxmlformats.org/spreadsheetml/2006/main" id="1" name="AllCurrentNamesTable" displayName="AllCurrentNamesTable" ref="A4:I226" headerRowCount="1" totalsRowCount="0" totalsRowShown="0">
  <x:autoFilter ref="A4:I226"/>
  <x:tableColumns count="9">
    <x:tableColumn id="1" name="#"/>
    <x:tableColumn id="2" name="Name"/>
    <x:tableColumn id="3" name="Domain"/>
    <x:tableColumn id="4" name="Class"/>
    <x:tableColumn id="5" name="Threshold"/>
    <x:tableColumn id="6" name="Player-facing form"/>
    <x:tableColumn id="7" name="Catalogue status"/>
    <x:tableColumn id="8" name="Director action"/>
    <x:tableColumn id="9" name="Director notes / missing varia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CatalogueTable" displayName="MasterCatalogueTable" ref="A4:W226" headerRowCount="1" totalsRowCount="0" totalsRowShown="0">
  <x:autoFilter ref="A4:W226"/>
  <x:tableColumns count="23">
    <x:tableColumn id="1" name="Node ID"/>
    <x:tableColumn id="2" name="Name"/>
    <x:tableColumn id="3" name="Domain"/>
    <x:tableColumn id="4" name="Class"/>
    <x:tableColumn id="5" name="Threshold"/>
    <x:tableColumn id="6" name="Player-facing form"/>
    <x:tableColumn id="7" name="Carryable?"/>
    <x:tableColumn id="8" name="Current pathway"/>
    <x:tableColumn id="9" name="Inputs"/>
    <x:tableColumn id="10" name="Operations"/>
    <x:tableColumn id="11" name="Required tools"/>
    <x:tableColumn id="12" name="Workspace"/>
    <x:tableColumn id="13" name="Skills / knowledge"/>
    <x:tableColumn id="14" name="Body demand"/>
    <x:tableColumn id="15" name="Active min"/>
    <x:tableColumn id="16" name="Passive min"/>
    <x:tableColumn id="17" name="Qualification test"/>
    <x:tableColumn id="18" name="Failure"/>
    <x:tableColumn id="19" name="Weapon relation"/>
    <x:tableColumn id="20" name="Steam/electric relation"/>
    <x:tableColumn id="21" name="Catalogue status"/>
    <x:tableColumn id="22" name="Director action"/>
    <x:tableColumn id="23" name="Directo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ToolsTable" displayName="CurrentToolsTable" ref="A4:L36" headerRowCount="1" totalsRowCount="0" totalsRowShown="0">
  <x:autoFilter ref="A4:L36"/>
  <x:tableColumns count="12">
    <x:tableColumn id="1" name="#"/>
    <x:tableColumn id="2" name="Node ID"/>
    <x:tableColumn id="3" name="Name"/>
    <x:tableColumn id="4" name="Domain"/>
    <x:tableColumn id="5" name="Threshold"/>
    <x:tableColumn id="6" name="Inputs"/>
    <x:tableColumn id="7" name="Required tools"/>
    <x:tableColumn id="8" name="Workspace"/>
    <x:tableColumn id="9" name="Skills / knowledge"/>
    <x:tableColumn id="10" name="Active min"/>
    <x:tableColumn id="11" name="Qualification"/>
    <x:tableColumn id="12" name="Audit no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urrentWeaponsTable" displayName="CurrentWeaponsTable" ref="A4:H11" headerRowCount="1" totalsRowCount="0" totalsRowShown="0">
  <x:autoFilter ref="A4:H11"/>
  <x:tableColumns count="8">
    <x:tableColumn id="1" name="Node ID"/>
    <x:tableColumn id="2" name="Current name"/>
    <x:tableColumn id="3" name="Domain"/>
    <x:tableColumn id="4" name="Class"/>
    <x:tableColumn id="5" name="Threshold"/>
    <x:tableColumn id="6" name="Combat relation"/>
    <x:tableColumn id="7" name="Inputs"/>
    <x:tableColumn id="8" name="Qualification"/>
  </x:tableColumns>
  <x:tableStyleInfo name="TableStyleMedium3" showFirstColumn="0" showLastColumn="0" showRowStripes="1" showColumnStripes="0"/>
</x:table>
</file>

<file path=xl/tables/table5.xml><?xml version="1.0" encoding="utf-8"?>
<x:table xmlns:x="http://schemas.openxmlformats.org/spreadsheetml/2006/main" id="5" name="MissingWeaponsTable" displayName="MissingWeaponsTable" ref="A15:G41" headerRowCount="1" totalsRowCount="0" totalsRowShown="0">
  <x:autoFilter ref="A15:G41"/>
  <x:tableColumns count="7">
    <x:tableColumn id="1" name="Earlier-canon name"/>
    <x:tableColumn id="2" name="Family"/>
    <x:tableColumn id="3" name="Source"/>
    <x:tableColumn id="4" name="v2.8 status"/>
    <x:tableColumn id="5" name="Closest node"/>
    <x:tableColumn id="6" name="Director action"/>
    <x:tableColumn id="7" name="Director notes"/>
  </x:tableColumns>
  <x:tableStyleInfo name="TableStyleMedium6" showFirstColumn="0" showLastColumn="0" showRowStripes="1" showColumnStripes="0"/>
</x:table>
</file>

<file path=xl/tables/table6.xml><?xml version="1.0" encoding="utf-8"?>
<x:table xmlns:x="http://schemas.openxmlformats.org/spreadsheetml/2006/main" id="6" name="CurrentSteamPowerTable" displayName="CurrentSteamPowerTable" ref="A4:K15" headerRowCount="1" totalsRowCount="0" totalsRowShown="0">
  <x:autoFilter ref="A4:K15"/>
  <x:tableColumns count="11">
    <x:tableColumn id="1" name="Node ID"/>
    <x:tableColumn id="2" name="Current name"/>
    <x:tableColumn id="3" name="Class"/>
    <x:tableColumn id="4" name="Threshold"/>
    <x:tableColumn id="5" name="Inputs"/>
    <x:tableColumn id="6" name="Required tools"/>
    <x:tableColumn id="7" name="Workspace"/>
    <x:tableColumn id="8" name="Skills / knowledge"/>
    <x:tableColumn id="9" name="Active min"/>
    <x:tableColumn id="10" name="Qualification"/>
    <x:tableColumn id="11" name="Audi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SteamDecompositionTable" displayName="SteamDecompositionTable" ref="A19:G57" headerRowCount="1" totalsRowCount="0" totalsRowShown="0">
  <x:autoFilter ref="A19:G57"/>
  <x:tableColumns count="7">
    <x:tableColumn id="1" name="Proposed ID"/>
    <x:tableColumn id="2" name="Required subassembly"/>
    <x:tableColumn id="3" name="System"/>
    <x:tableColumn id="4" name="Knowledge / skill"/>
    <x:tableColumn id="5" name="Qualification role"/>
    <x:tableColumn id="6" name="Director action"/>
    <x:tableColumn id="7" name="Director notes"/>
  </x:tableColumns>
  <x:tableStyleInfo name="TableStyleMedium6" showFirstColumn="0" showLastColumn="0" showRowStripes="1" showColumnStripes="0"/>
</x:table>
</file>

<file path=xl/tables/table8.xml><?xml version="1.0" encoding="utf-8"?>
<x:table xmlns:x="http://schemas.openxmlformats.org/spreadsheetml/2006/main" id="8" name="CanonGapTable" displayName="CanonGapTable" ref="A4:H86" headerRowCount="1" totalsRowCount="0" totalsRowShown="0">
  <x:autoFilter ref="A4:H86"/>
  <x:tableColumns count="8">
    <x:tableColumn id="1" name="Earlier-canon name"/>
    <x:tableColumn id="2" name="Category"/>
    <x:tableColumn id="3" name="Source"/>
    <x:tableColumn id="4" name="Closest current node / treatment"/>
    <x:tableColumn id="5" name="Exact v2.8 name?"/>
    <x:tableColumn id="6" name="Director action"/>
    <x:tableColumn id="7" name="Director notes"/>
    <x:tableColumn id="8" name="Priority"/>
  </x:tableColumns>
  <x:tableStyleInfo name="TableStyleMedium5" showFirstColumn="0" showLastColumn="0" showRowStripes="1" showColumnStripes="0"/>
</x:table>
</file>

<file path=xl/tables/table9.xml><?xml version="1.0" encoding="utf-8"?>
<x:table xmlns:x="http://schemas.openxmlformats.org/spreadsheetml/2006/main" id="9" name="DirectorAdditionsTable" displayName="DirectorAdditionsTable" ref="A4:Q104" headerRowCount="1" totalsRowCount="0" totalsRowShown="0">
  <x:autoFilter ref="A4:Q104"/>
  <x:tableColumns count="17">
    <x:tableColumn id="1" name="Draft ID"/>
    <x:tableColumn id="2" name="Item / object name"/>
    <x:tableColumn id="3" name="Category"/>
    <x:tableColumn id="4" name="Found ready?"/>
    <x:tableColumn id="5" name="Repairable?"/>
    <x:tableColumn id="6" name="Craftable?"/>
    <x:tableColumn id="7" name="Earliest horizon"/>
    <x:tableColumn id="8" name="Inputs / donor parts"/>
    <x:tableColumn id="9" name="Required tools"/>
    <x:tableColumn id="10" name="Workspace"/>
    <x:tableColumn id="11" name="Knowledge"/>
    <x:tableColumn id="12" name="Practical skill"/>
    <x:tableColumn id="13" name="Active min"/>
    <x:tableColumn id="14" name="Passive min"/>
    <x:tableColumn id="15" name="Qualification / proof"/>
    <x:tableColumn id="16" name="Director notes"/>
    <x:tableColumn id="17" name="Status"/>
  </x:tableColumns>
  <x:tableStyleInfo name="TableStyleMedium7" showFirstColumn="0" showLastColumn="0" showRowStripes="1" showColumnStripes="0"/>
</x:table>
</file>

<file path=xl/tables/table10.xml><?xml version="1.0" encoding="utf-8"?>
<x:table xmlns:x="http://schemas.openxmlformats.org/spreadsheetml/2006/main" id="10" name="NaturalToolsV02" displayName="NaturalToolsV02" ref="A4:J92" headerRowCount="1" totalsRowCount="0" totalsRowShown="0">
  <x:tableColumns count="10">
    <x:tableColumn id="1" name="ID"/>
    <x:tableColumn id="2" name="Item name"/>
    <x:tableColumn id="3" name="Recipe basis"/>
    <x:tableColumn id="4" name="Primary uses"/>
    <x:tableColumn id="5" name="Capability opened"/>
    <x:tableColumn id="6" name="Wear / failure"/>
    <x:tableColumn id="7" name="Tier"/>
    <x:tableColumn id="8" name="Family"/>
    <x:tableColumn id="9" name="Weapon governance"/>
    <x:tableColumn id="10" name="Research basi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alvageManifestV02" displayName="SalvageManifestV02" ref="A4:J230" headerRowCount="1" totalsRowCount="0" totalsRowShown="0">
  <x:tableColumns count="10">
    <x:tableColumn id="1" name="ID"/>
    <x:tableColumn id="2" name="Item name"/>
    <x:tableColumn id="3" name="Source family"/>
    <x:tableColumn id="4" name="Arrival channel"/>
    <x:tableColumn id="5" name="Material"/>
    <x:tableColumn id="6" name="Intact reuse"/>
    <x:tableColumn id="7" name="Dismantle outputs"/>
    <x:tableColumn id="8" name="Required action / tool"/>
    <x:tableColumn id="9" name="Hazard / constraint"/>
    <x:tableColumn id="10" name="Ti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sassemblyGrammarV02" displayName="DisassemblyGrammarV02" ref="A4:I40" headerRowCount="1" totalsRowCount="0" totalsRowShown="0">
  <x:tableColumns count="9">
    <x:tableColumn id="1" name="ID"/>
    <x:tableColumn id="2" name="Joint / closure"/>
    <x:tableColumn id="3" name="Non-destructive action"/>
    <x:tableColumn id="4" name="Required tool"/>
    <x:tableColumn id="5" name="Intact outputs"/>
    <x:tableColumn id="6" name="Destructive fallback"/>
    <x:tableColumn id="7" name="Common failure"/>
    <x:tableColumn id="8" name="Knowledge evidence"/>
    <x:tableColumn id="9" name="Ti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aterialRoutesV02" displayName="MaterialRoutesV02" ref="A4:I70" headerRowCount="1" totalsRowCount="0" totalsRowShown="0">
  <x:tableColumns count="9">
    <x:tableColumn id="1" name="ID"/>
    <x:tableColumn id="2" name="Source material"/>
    <x:tableColumn id="3" name="Recovered form"/>
    <x:tableColumn id="4" name="First use"/>
    <x:tableColumn id="5" name="Second use"/>
    <x:tableColumn id="6" name="Processing"/>
    <x:tableColumn id="7" name="Terminal route"/>
    <x:tableColumn id="8" name="Constraint"/>
    <x:tableColumn id="9" name="Ti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eachEcologyV02" displayName="BeachEcologyV02" ref="A4:L19" headerRowCount="1" totalsRowCount="0" totalsRowShown="0">
  <x:tableColumns count="12">
    <x:tableColumn id="1" name="ID"/>
    <x:tableColumn id="2" name="Event"/>
    <x:tableColumn id="3" name="Cadence"/>
    <x:tableColumn id="4" name="Trigger"/>
    <x:tableColumn id="5" name="Item classes"/>
    <x:tableColumn id="6" name="Quantity"/>
    <x:tableColumn id="7" name="Condition"/>
    <x:tableColumn id="8" name="Spatial logic"/>
    <x:tableColumn id="9" name="Player signal"/>
    <x:tableColumn id="10" name="Persistence rule"/>
    <x:tableColumn id="11" name="Ecological consequence"/>
    <x:tableColumn id="12" name="Narrative us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owerRoadmapV02" displayName="PowerRoadmapV02" ref="A4:K55" headerRowCount="1" totalsRowCount="0" totalsRowShown="0">
  <x:tableColumns count="11">
    <x:tableColumn id="1" name="ID"/>
    <x:tableColumn id="2" name="Component"/>
    <x:tableColumn id="3" name="Route"/>
    <x:tableColumn id="4" name="Inputs"/>
    <x:tableColumn id="5" name="Workspace"/>
    <x:tableColumn id="6" name="Qualification test"/>
    <x:tableColumn id="7" name="Role"/>
    <x:tableColumn id="8" name="Failure"/>
    <x:tableColumn id="9" name="Hazard"/>
    <x:tableColumn id="10" name="Tier"/>
    <x:tableColumn id="11" name="Dependenc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SourcesV02" displayName="ResearchSourcesV02" ref="A4:D21" headerRowCount="1" totalsRowCount="0" totalsRowShown="0">
  <x:tableColumns count="4">
    <x:tableColumn id="1" name="ID"/>
    <x:tableColumn id="2" name="Source"/>
    <x:tableColumn id="3" name="Design implication"/>
    <x:tableColumn id="4" name="UR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xpansionIndexV02" displayName="ExpansionIndexV02" ref="A4:J426" headerRowCount="1" totalsRowCount="0" totalsRowShown="0">
  <x:tableColumns count="10">
    <x:tableColumn id="1" name="#"/>
    <x:tableColumn id="2" name="Proposal ID"/>
    <x:tableColumn id="3" name="Item name"/>
    <x:tableColumn id="4" name="Family"/>
    <x:tableColumn id="5" name="Origin sheet"/>
    <x:tableColumn id="6" name="Tier"/>
    <x:tableColumn id="7" name="Primary use"/>
    <x:tableColumn id="8" name="Catalogue status"/>
    <x:tableColumn id="9" name="Director decision"/>
    <x:tableColumn id="10" name="Director notes / missing it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1ffb2a04cd43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a1ee856ce74f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1d7dc796c8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99410bf6b24189" /><Relationship Type="http://schemas.openxmlformats.org/officeDocument/2006/relationships/table" Target="/xl/tables/table5.xml" Id="Re0e8c4608b61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0f673d685a24f7b" /><Relationship Type="http://schemas.openxmlformats.org/officeDocument/2006/relationships/table" Target="/xl/tables/table7.xml" Id="R87e0d1088a1e45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d874d76e2c44f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e1d5a8284414a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cc021acc846646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246483dfdebf42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51e83046e54546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52403adfefbe41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ddeeee76fc33471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99516d9d404745c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1c18afdfbd714ec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22f51a5a78e046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3" t="str">
        <x:v>THE FIRST NIGHT — Item Master Catalogue v0.2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7" t="str">
        <x:v>v0.1 exact extraction preserved. v0.2 adds a researched natural-tool, recurring wreckfall, disassembly, material-route and electricity/steam proposal layer for Director review; proposals do not silently alter the v2.8 capability graph.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6" t="str">
        <x:v>Current graph</x:v>
      </x:c>
      <x:c r="B4" s="17" t="str">
        <x:v>Count</x:v>
      </x:c>
      <x:c r="C4" s="17" t="str">
        <x:v>Classification</x:v>
      </x:c>
      <x:c r="D4" s="17" t="str">
        <x:v>Count</x:v>
      </x:c>
      <x:c r="E4" s="17" t="str">
        <x:v>Combat</x:v>
      </x:c>
      <x:c r="F4" s="17" t="str">
        <x:v>Count</x:v>
      </x:c>
      <x:c r="G4" s="17" t="str">
        <x:v>Industrial</x:v>
      </x:c>
      <x:c r="H4" s="17" t="str">
        <x:v>Count</x:v>
      </x:c>
      <x:c r="I4" s="17" t="str">
        <x:v>Review</x:v>
      </x:c>
      <x:c r="J4" s="18" t="str">
        <x:v>Count</x:v>
      </x:c>
    </x:row>
    <x:row r="5">
      <x:c r="A5" s="22" t="str">
        <x:v>All named nodes</x:v>
      </x:c>
      <x:c r="B5" s="23" t="n">
        <x:f>COUNTA('Master Catalogue'!$A$5:$A$304)</x:f>
        <x:v>222</x:v>
      </x:c>
      <x:c r="C5" s="22" t="str">
        <x:v>Tool-class nodes</x:v>
      </x:c>
      <x:c r="D5" s="23" t="n">
        <x:f>COUNTIF('Master Catalogue'!$D$5:$D$304,"Tool")</x:f>
        <x:v>32</x:v>
      </x:c>
      <x:c r="E5" s="22" t="str">
        <x:v>Formal Weapons-domain nodes</x:v>
      </x:c>
      <x:c r="F5" s="23" t="n">
        <x:f>COUNTIF('Master Catalogue'!$C$5:$C$304,"Weapons")</x:f>
        <x:v>3</x:v>
      </x:c>
      <x:c r="G5" s="22" t="str">
        <x:v>Current power-chain nodes</x:v>
      </x:c>
      <x:c r="H5" s="23" t="n">
        <x:f>COUNTA('Steam-Electric'!$A$5:$A$15)</x:f>
        <x:v>11</x:v>
      </x:c>
      <x:c r="I5" s="22" t="str">
        <x:v>Director decisions entered</x:v>
      </x:c>
      <x:c r="J5" s="23" t="n">
        <x:f>COUNTIF('All Current Names'!$H$5:$H$304,"?*")</x:f>
        <x:v>0</x:v>
      </x:c>
    </x:row>
    <x:row r="6">
      <x:c r="A6" s="22" t="str">
        <x:v>Sources</x:v>
      </x:c>
      <x:c r="B6" s="23" t="n">
        <x:f>COUNTIF('Master Catalogue'!$D$5:$D$304,"Source")</x:f>
        <x:v>48</x:v>
      </x:c>
      <x:c r="C6" s="22" t="str">
        <x:v>General Tools-domain tools</x:v>
      </x:c>
      <x:c r="D6" s="23" t="n">
        <x:f>COUNTIFS('Master Catalogue'!$C$5:$C$304,"Tools",'Master Catalogue'!$D$5:$D$304,"Tool")</x:f>
        <x:v>23</x:v>
      </x:c>
      <x:c r="E6" s="22" t="str">
        <x:v>True weapon families</x:v>
      </x:c>
      <x:c r="F6" s="23" t="n">
        <x:v>2</x:v>
      </x:c>
      <x:c r="G6" s="22" t="str">
        <x:v>Core steam nodes</x:v>
      </x:c>
      <x:c r="H6" s="23" t="n">
        <x:v>6</x:v>
      </x:c>
      <x:c r="I6" s="22" t="str">
        <x:v>Recovered exact-name gaps</x:v>
      </x:c>
      <x:c r="J6" s="23" t="n">
        <x:f>COUNTIF('Canon Gaps'!$E$5:$E$160,"No")</x:f>
        <x:v>82</x:v>
      </x:c>
    </x:row>
    <x:row r="7">
      <x:c r="A7" s="22" t="str">
        <x:v>Production outputs</x:v>
      </x:c>
      <x:c r="B7" s="23" t="n">
        <x:f>COUNTIF('Master Catalogue'!$D$5:$D$304,"&lt;&gt;Source")-COUNTBLANK('Master Catalogue'!$D$5:$D$304)-COUNTIF('Master Catalogue'!$D$5:$D$304,"Process")-COUNTIF('Master Catalogue'!$D$5:$D$304,"Capability")</x:f>
        <x:v>167</x:v>
      </x:c>
      <x:c r="C7" s="22" t="str">
        <x:v>Workspaces</x:v>
      </x:c>
      <x:c r="D7" s="23" t="n">
        <x:f>COUNTIF('Master Catalogue'!$D$5:$D$304,"Workspace")</x:f>
        <x:v>14</x:v>
      </x:c>
      <x:c r="E7" s="22" t="str">
        <x:v>Ammunition families</x:v>
      </x:c>
      <x:c r="F7" s="23" t="n">
        <x:v>1</x:v>
      </x:c>
      <x:c r="G7" s="22" t="str">
        <x:v>Proposed steam/electric subassemblies</x:v>
      </x:c>
      <x:c r="H7" s="23" t="n">
        <x:f>COUNTA('Steam-Electric'!$A$20:$A$60)</x:f>
        <x:v>38</x:v>
      </x:c>
      <x:c r="I7" s="22" t="str">
        <x:v>Director additions entered</x:v>
      </x:c>
      <x:c r="J7" s="23" t="n">
        <x:f>COUNTIF('Director Additions'!$B$5:$B$104,"?*")</x:f>
        <x:v>0</x:v>
      </x:c>
    </x:row>
    <x:row r="9">
      <x:c r="A9" s="26" t="str">
        <x:v>Decisive audit</x:v>
      </x:c>
      <x:c r="B9" s="26"/>
      <x:c r="C9" s="26"/>
      <x:c r="D9" s="26"/>
      <x:c r="E9" s="26"/>
      <x:c r="F9" s="26"/>
      <x:c r="G9" s="26"/>
      <x:c r="H9" s="26"/>
      <x:c r="I9" s="26"/>
      <x:c r="J9" s="26"/>
    </x:row>
    <x:row r="10">
      <x:c r="A10" s="38" t="str">
        <x:v>Tool count</x:v>
      </x:c>
      <x:c r="B10" s="35" t="str">
        <x:v>32 is correct only as a graph class. It combines 23 general work tools with nine specialist/equipment nodes.</x:v>
      </x:c>
      <x:c r="C10" s="35"/>
      <x:c r="D10" s="35"/>
      <x:c r="E10" s="35"/>
      <x:c r="F10" s="35"/>
      <x:c r="G10" s="35"/>
      <x:c r="H10" s="35"/>
      <x:c r="I10" s="35"/>
      <x:c r="J10" s="35"/>
    </x:row>
    <x:row r="11">
      <x:c r="A11" s="39" t="str">
        <x:v>Weapons</x:v>
      </x:c>
      <x:c r="B11" s="36" t="str">
        <x:v>Only bow and spear/harpoon are governed weapon families. Arrows, bowstring and one snare add support, but the earlier weapon roster was not carried into v2.8.</x:v>
      </x:c>
      <x:c r="C11" s="36"/>
      <x:c r="D11" s="36"/>
      <x:c r="E11" s="36"/>
      <x:c r="F11" s="36"/>
      <x:c r="G11" s="36"/>
      <x:c r="H11" s="36"/>
      <x:c r="I11" s="36"/>
      <x:c r="J11" s="36"/>
    </x:row>
    <x:row r="12">
      <x:c r="A12" s="39" t="str">
        <x:v>Steam engine</x:v>
      </x:c>
      <x:c r="B12" s="36" t="str">
        <x:v>The endpoint exists, but the engine is too compressed to be honestly craftable. The Steam-Electric sheet supplies the missing decomposition for Director review.</x:v>
      </x:c>
      <x:c r="C12" s="36"/>
      <x:c r="D12" s="36"/>
      <x:c r="E12" s="36"/>
      <x:c r="F12" s="36"/>
      <x:c r="G12" s="36"/>
      <x:c r="H12" s="36"/>
      <x:c r="I12" s="36"/>
      <x:c r="J12" s="36"/>
    </x:row>
    <x:row r="13">
      <x:c r="A13" s="39" t="str">
        <x:v>Item count</x:v>
      </x:c>
      <x:c r="B13" s="36" t="str">
        <x:v>The 222 names include sources, processes, workspaces, projects and abstract capabilities. Use All Current Names for rapid markup and Master Catalogue for the governing details.</x:v>
      </x:c>
      <x:c r="C13" s="36"/>
      <x:c r="D13" s="36"/>
      <x:c r="E13" s="36"/>
      <x:c r="F13" s="36"/>
      <x:c r="G13" s="36"/>
      <x:c r="H13" s="36"/>
      <x:c r="I13" s="36"/>
      <x:c r="J13" s="36"/>
    </x:row>
    <x:row r="14">
      <x:c r="A14" s="40" t="str">
        <x:v>Director workflow</x:v>
      </x:c>
      <x:c r="B14" s="37" t="str">
        <x:v>Mark Keep / Rename / Expand family / Split variants / Remove / Needs review in All Current Names. Add absent objects in Director Additions.</x:v>
      </x:c>
      <x:c r="C14" s="37"/>
      <x:c r="D14" s="37"/>
      <x:c r="E14" s="37"/>
      <x:c r="F14" s="37"/>
      <x:c r="G14" s="37"/>
      <x:c r="H14" s="37"/>
      <x:c r="I14" s="37"/>
      <x:c r="J14" s="37"/>
    </x:row>
  </x:sheetData>
  <x:mergeCells>
    <x:mergeCell ref="A1:J1"/>
    <x:mergeCell ref="A2:J2"/>
    <x:mergeCell ref="A9:J9"/>
    <x:mergeCell ref="B10:J10"/>
    <x:mergeCell ref="B11:J11"/>
    <x:mergeCell ref="B12:J12"/>
    <x:mergeCell ref="B13:J13"/>
    <x:mergeCell ref="B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8" hidden="0" customWidth="1"/>
    <x:col min="8" max="8" width="18" hidden="0" customWidth="1"/>
    <x:col min="9" max="9" width="42" hidden="0" customWidth="1"/>
  </x:cols>
  <x:sheetData>
    <x:row r="1" ht="28" customHeight="1">
      <x:c r="A1" s="3" t="str">
        <x:v>All 222 Current Names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Every exact v2.8 node name in one filterable list. The orange columns are intended for Director markup; blank notes do not alter canon until reconciled.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6" t="str">
        <x:v>#</x:v>
      </x:c>
      <x:c r="B4" s="17" t="str">
        <x:v>Name</x:v>
      </x:c>
      <x:c r="C4" s="17" t="str">
        <x:v>Domain</x:v>
      </x:c>
      <x:c r="D4" s="17" t="str">
        <x:v>Class</x:v>
      </x:c>
      <x:c r="E4" s="17" t="str">
        <x:v>Threshold</x:v>
      </x:c>
      <x:c r="F4" s="17" t="str">
        <x:v>Player-facing form</x:v>
      </x:c>
      <x:c r="G4" s="17" t="str">
        <x:v>Catalogue status</x:v>
      </x:c>
      <x:c r="H4" s="17" t="str">
        <x:v>Director action</x:v>
      </x:c>
      <x:c r="I4" s="18" t="str">
        <x:v>Director notes / missing variant</x:v>
      </x:c>
    </x:row>
    <x:row r="5">
      <x:c r="A5" s="46" t="n">
        <x:v>1</x:v>
      </x:c>
      <x:c r="B5" s="46" t="str">
        <x:v>Triangle investigation apparatus</x:v>
      </x:c>
      <x:c r="C5" s="46" t="str">
        <x:v>Anomaly</x:v>
      </x:c>
      <x:c r="D5" s="46" t="str">
        <x:v>Endpoint</x:v>
      </x:c>
      <x:c r="E5" s="46" t="str">
        <x:v>H7</x:v>
      </x:c>
      <x:c r="F5" s="46" t="str">
        <x:v>Major end capability</x:v>
      </x:c>
      <x:c r="G5" s="46" t="str">
        <x:v>Governed node; variants not separated</x:v>
      </x:c>
      <x:c r="H5" s="48"/>
      <x:c r="I5" s="48"/>
    </x:row>
    <x:row r="6">
      <x:c r="A6" s="47" t="n">
        <x:v>2</x:v>
      </x:c>
      <x:c r="B6" s="47" t="str">
        <x:v>Anomaly matter/evidence</x:v>
      </x:c>
      <x:c r="C6" s="47" t="str">
        <x:v>Anomaly</x:v>
      </x:c>
      <x:c r="D6" s="47" t="str">
        <x:v>Source</x:v>
      </x:c>
      <x:c r="E6" s="47" t="str">
        <x:v>H0</x:v>
      </x:c>
      <x:c r="F6" s="47" t="str">
        <x:v>Recoverable/harvested resource</x:v>
      </x:c>
      <x:c r="G6" s="47" t="str">
        <x:v>Compressed family/assembly</x:v>
      </x:c>
      <x:c r="H6" s="49"/>
      <x:c r="I6" s="49"/>
    </x:row>
    <x:row r="7">
      <x:c r="A7" s="47" t="n">
        <x:v>3</x:v>
      </x:c>
      <x:c r="B7" s="47" t="str">
        <x:v>Bone/shell</x:v>
      </x:c>
      <x:c r="C7" s="47" t="str">
        <x:v>Biological</x:v>
      </x:c>
      <x:c r="D7" s="47" t="str">
        <x:v>Source</x:v>
      </x:c>
      <x:c r="E7" s="47" t="str">
        <x:v>H0</x:v>
      </x:c>
      <x:c r="F7" s="47" t="str">
        <x:v>Recoverable/harvested resource</x:v>
      </x:c>
      <x:c r="G7" s="47" t="str">
        <x:v>Compressed family/assembly</x:v>
      </x:c>
      <x:c r="H7" s="49"/>
      <x:c r="I7" s="49"/>
    </x:row>
    <x:row r="8">
      <x:c r="A8" s="47" t="n">
        <x:v>4</x:v>
      </x:c>
      <x:c r="B8" s="47" t="str">
        <x:v>Coconut</x:v>
      </x:c>
      <x:c r="C8" s="47" t="str">
        <x:v>Biological</x:v>
      </x:c>
      <x:c r="D8" s="47" t="str">
        <x:v>Source</x:v>
      </x:c>
      <x:c r="E8" s="47" t="str">
        <x:v>H0</x:v>
      </x:c>
      <x:c r="F8" s="47" t="str">
        <x:v>Recoverable/harvested resource</x:v>
      </x:c>
      <x:c r="G8" s="47" t="str">
        <x:v>Governed node; variants not separated</x:v>
      </x:c>
      <x:c r="H8" s="49"/>
      <x:c r="I8" s="49"/>
    </x:row>
    <x:row r="9">
      <x:c r="A9" s="47" t="n">
        <x:v>5</x:v>
      </x:c>
      <x:c r="B9" s="47" t="str">
        <x:v>Hide/skin</x:v>
      </x:c>
      <x:c r="C9" s="47" t="str">
        <x:v>Biological</x:v>
      </x:c>
      <x:c r="D9" s="47" t="str">
        <x:v>Source</x:v>
      </x:c>
      <x:c r="E9" s="47" t="str">
        <x:v>H0</x:v>
      </x:c>
      <x:c r="F9" s="47" t="str">
        <x:v>Recoverable/harvested resource</x:v>
      </x:c>
      <x:c r="G9" s="47" t="str">
        <x:v>Compressed family/assembly</x:v>
      </x:c>
      <x:c r="H9" s="49"/>
      <x:c r="I9" s="49"/>
    </x:row>
    <x:row r="10">
      <x:c r="A10" s="47" t="n">
        <x:v>6</x:v>
      </x:c>
      <x:c r="B10" s="47" t="str">
        <x:v>Resin/pitch source</x:v>
      </x:c>
      <x:c r="C10" s="47" t="str">
        <x:v>Biological</x:v>
      </x:c>
      <x:c r="D10" s="47" t="str">
        <x:v>Source</x:v>
      </x:c>
      <x:c r="E10" s="47" t="str">
        <x:v>H0</x:v>
      </x:c>
      <x:c r="F10" s="47" t="str">
        <x:v>Recoverable/harvested resource</x:v>
      </x:c>
      <x:c r="G10" s="47" t="str">
        <x:v>Compressed family/assembly</x:v>
      </x:c>
      <x:c r="H10" s="49"/>
      <x:c r="I10" s="49"/>
    </x:row>
    <x:row r="11">
      <x:c r="A11" s="47" t="n">
        <x:v>7</x:v>
      </x:c>
      <x:c r="B11" s="47" t="str">
        <x:v>Fired ceramic/refractory</x:v>
      </x:c>
      <x:c r="C11" s="47" t="str">
        <x:v>Ceramic</x:v>
      </x:c>
      <x:c r="D11" s="47" t="str">
        <x:v>Processed</x:v>
      </x:c>
      <x:c r="E11" s="47" t="str">
        <x:v>H4</x:v>
      </x:c>
      <x:c r="F11" s="47" t="str">
        <x:v>Processed material/consumable</x:v>
      </x:c>
      <x:c r="G11" s="47" t="str">
        <x:v>Compressed family/assembly</x:v>
      </x:c>
      <x:c r="H11" s="49"/>
      <x:c r="I11" s="49"/>
    </x:row>
    <x:row r="12">
      <x:c r="A12" s="47" t="n">
        <x:v>8</x:v>
      </x:c>
      <x:c r="B12" s="47" t="str">
        <x:v>Prepared clay body</x:v>
      </x:c>
      <x:c r="C12" s="47" t="str">
        <x:v>Ceramic</x:v>
      </x:c>
      <x:c r="D12" s="47" t="str">
        <x:v>Processed</x:v>
      </x:c>
      <x:c r="E12" s="47" t="str">
        <x:v>H2</x:v>
      </x:c>
      <x:c r="F12" s="47" t="str">
        <x:v>Processed material/consumable</x:v>
      </x:c>
      <x:c r="G12" s="47" t="str">
        <x:v>Governed node; variants not separated</x:v>
      </x:c>
      <x:c r="H12" s="49"/>
      <x:c r="I12" s="49"/>
    </x:row>
    <x:row r="13">
      <x:c r="A13" s="47" t="n">
        <x:v>9</x:v>
      </x:c>
      <x:c r="B13" s="47" t="str">
        <x:v>Kiln/firing hearth</x:v>
      </x:c>
      <x:c r="C13" s="47" t="str">
        <x:v>Ceramic</x:v>
      </x:c>
      <x:c r="D13" s="47" t="str">
        <x:v>Workspace</x:v>
      </x:c>
      <x:c r="E13" s="47" t="str">
        <x:v>H4</x:v>
      </x:c>
      <x:c r="F13" s="47" t="str">
        <x:v>Placeable workspace</x:v>
      </x:c>
      <x:c r="G13" s="47" t="str">
        <x:v>Compressed family/assembly</x:v>
      </x:c>
      <x:c r="H13" s="49"/>
      <x:c r="I13" s="49"/>
    </x:row>
    <x:row r="14">
      <x:c r="A14" s="47" t="n">
        <x:v>10</x:v>
      </x:c>
      <x:c r="B14" s="47" t="str">
        <x:v>Pump/drain/reposition marine operation</x:v>
      </x:c>
      <x:c r="C14" s="47" t="str">
        <x:v>Diving</x:v>
      </x:c>
      <x:c r="D14" s="47" t="str">
        <x:v>Endpoint</x:v>
      </x:c>
      <x:c r="E14" s="47" t="str">
        <x:v>H4</x:v>
      </x:c>
      <x:c r="F14" s="47" t="str">
        <x:v>Placeable system/capability</x:v>
      </x:c>
      <x:c r="G14" s="47" t="str">
        <x:v>Compressed family/assembly</x:v>
      </x:c>
      <x:c r="H14" s="49"/>
      <x:c r="I14" s="49"/>
    </x:row>
    <x:row r="15">
      <x:c r="A15" s="47" t="n">
        <x:v>11</x:v>
      </x:c>
      <x:c r="B15" s="47" t="str">
        <x:v>Remote camera/sonar survey</x:v>
      </x:c>
      <x:c r="C15" s="47" t="str">
        <x:v>Diving</x:v>
      </x:c>
      <x:c r="D15" s="47" t="str">
        <x:v>Endpoint</x:v>
      </x:c>
      <x:c r="E15" s="47" t="str">
        <x:v>H5</x:v>
      </x:c>
      <x:c r="F15" s="47" t="str">
        <x:v>Placeable system/capability</x:v>
      </x:c>
      <x:c r="G15" s="47" t="str">
        <x:v>Compressed family/assembly</x:v>
      </x:c>
      <x:c r="H15" s="49"/>
      <x:c r="I15" s="49"/>
    </x:row>
    <x:row r="16">
      <x:c r="A16" s="47" t="n">
        <x:v>12</x:v>
      </x:c>
      <x:c r="B16" s="47" t="str">
        <x:v>Snorkel survey capability</x:v>
      </x:c>
      <x:c r="C16" s="47" t="str">
        <x:v>Diving</x:v>
      </x:c>
      <x:c r="D16" s="47" t="str">
        <x:v>Endpoint</x:v>
      </x:c>
      <x:c r="E16" s="47" t="str">
        <x:v>H2</x:v>
      </x:c>
      <x:c r="F16" s="47" t="str">
        <x:v>Placeable system/capability</x:v>
      </x:c>
      <x:c r="G16" s="47" t="str">
        <x:v>Compressed family/assembly</x:v>
      </x:c>
      <x:c r="H16" s="49"/>
      <x:c r="I16" s="49"/>
    </x:row>
    <x:row r="17">
      <x:c r="A17" s="47" t="n">
        <x:v>13</x:v>
      </x:c>
      <x:c r="B17" s="47" t="str">
        <x:v>Tended shallow-dive line system</x:v>
      </x:c>
      <x:c r="C17" s="47" t="str">
        <x:v>Diving</x:v>
      </x:c>
      <x:c r="D17" s="47" t="str">
        <x:v>Endpoint</x:v>
      </x:c>
      <x:c r="E17" s="47" t="str">
        <x:v>H3</x:v>
      </x:c>
      <x:c r="F17" s="47" t="str">
        <x:v>Placeable system/capability</x:v>
      </x:c>
      <x:c r="G17" s="47" t="str">
        <x:v>Compressed family/assembly</x:v>
      </x:c>
      <x:c r="H17" s="49"/>
      <x:c r="I17" s="49"/>
    </x:row>
    <x:row r="18">
      <x:c r="A18" s="47" t="n">
        <x:v>14</x:v>
      </x:c>
      <x:c r="B18" s="47" t="str">
        <x:v>Qualified mask/snorkel/fin kit</x:v>
      </x:c>
      <x:c r="C18" s="47" t="str">
        <x:v>Diving</x:v>
      </x:c>
      <x:c r="D18" s="47" t="str">
        <x:v>Tool</x:v>
      </x:c>
      <x:c r="E18" s="47" t="str">
        <x:v>H2</x:v>
      </x:c>
      <x:c r="F18" s="47" t="str">
        <x:v>Carryable tool/equipment</x:v>
      </x:c>
      <x:c r="G18" s="47" t="str">
        <x:v>Compressed family/assembly</x:v>
      </x:c>
      <x:c r="H18" s="49"/>
      <x:c r="I18" s="49"/>
    </x:row>
    <x:row r="19">
      <x:c r="A19" s="47" t="n">
        <x:v>15</x:v>
      </x:c>
      <x:c r="B19" s="47" t="str">
        <x:v>Protected conductor/terminal</x:v>
      </x:c>
      <x:c r="C19" s="47" t="str">
        <x:v>Electrical</x:v>
      </x:c>
      <x:c r="D19" s="47" t="str">
        <x:v>Processed</x:v>
      </x:c>
      <x:c r="E19" s="47" t="str">
        <x:v>H4</x:v>
      </x:c>
      <x:c r="F19" s="47" t="str">
        <x:v>Processed material/consumable</x:v>
      </x:c>
      <x:c r="G19" s="47" t="str">
        <x:v>Compressed family/assembly</x:v>
      </x:c>
      <x:c r="H19" s="49"/>
      <x:c r="I19" s="49"/>
    </x:row>
    <x:row r="20">
      <x:c r="A20" s="47" t="n">
        <x:v>16</x:v>
      </x:c>
      <x:c r="B20" s="47" t="str">
        <x:v>Battery/cell</x:v>
      </x:c>
      <x:c r="C20" s="47" t="str">
        <x:v>Electrical</x:v>
      </x:c>
      <x:c r="D20" s="47" t="str">
        <x:v>Source</x:v>
      </x:c>
      <x:c r="E20" s="47" t="str">
        <x:v>H0</x:v>
      </x:c>
      <x:c r="F20" s="47" t="str">
        <x:v>Recoverable/harvested resource</x:v>
      </x:c>
      <x:c r="G20" s="47" t="str">
        <x:v>Compressed family/assembly</x:v>
      </x:c>
      <x:c r="H20" s="49"/>
      <x:c r="I20" s="49"/>
    </x:row>
    <x:row r="21">
      <x:c r="A21" s="47" t="n">
        <x:v>17</x:v>
      </x:c>
      <x:c r="B21" s="47" t="str">
        <x:v>Radio/electronic core</x:v>
      </x:c>
      <x:c r="C21" s="47" t="str">
        <x:v>Electrical</x:v>
      </x:c>
      <x:c r="D21" s="47" t="str">
        <x:v>Source</x:v>
      </x:c>
      <x:c r="E21" s="47" t="str">
        <x:v>H0</x:v>
      </x:c>
      <x:c r="F21" s="47" t="str">
        <x:v>Recoverable/harvested resource</x:v>
      </x:c>
      <x:c r="G21" s="47" t="str">
        <x:v>Compressed family/assembly</x:v>
      </x:c>
      <x:c r="H21" s="49"/>
      <x:c r="I21" s="49"/>
    </x:row>
    <x:row r="22">
      <x:c r="A22" s="47" t="n">
        <x:v>18</x:v>
      </x:c>
      <x:c r="B22" s="47" t="str">
        <x:v>Wire/switch/fuse</x:v>
      </x:c>
      <x:c r="C22" s="47" t="str">
        <x:v>Electrical</x:v>
      </x:c>
      <x:c r="D22" s="47" t="str">
        <x:v>Source</x:v>
      </x:c>
      <x:c r="E22" s="47" t="str">
        <x:v>H0</x:v>
      </x:c>
      <x:c r="F22" s="47" t="str">
        <x:v>Recoverable/harvested resource</x:v>
      </x:c>
      <x:c r="G22" s="47" t="str">
        <x:v>Compressed family/assembly</x:v>
      </x:c>
      <x:c r="H22" s="49"/>
      <x:c r="I22" s="49"/>
    </x:row>
    <x:row r="23">
      <x:c r="A23" s="47" t="n">
        <x:v>19</x:v>
      </x:c>
      <x:c r="B23" s="47" t="str">
        <x:v>Protected electrical bench</x:v>
      </x:c>
      <x:c r="C23" s="47" t="str">
        <x:v>Electrical</x:v>
      </x:c>
      <x:c r="D23" s="47" t="str">
        <x:v>Workspace</x:v>
      </x:c>
      <x:c r="E23" s="47" t="str">
        <x:v>H5</x:v>
      </x:c>
      <x:c r="F23" s="47" t="str">
        <x:v>Placeable workspace</x:v>
      </x:c>
      <x:c r="G23" s="47" t="str">
        <x:v>Governed node; variants not separated</x:v>
      </x:c>
      <x:c r="H23" s="49"/>
      <x:c r="I23" s="49"/>
    </x:row>
    <x:row r="24">
      <x:c r="A24" s="47" t="n">
        <x:v>20</x:v>
      </x:c>
      <x:c r="B24" s="47" t="str">
        <x:v>Load-tested net/mesh</x:v>
      </x:c>
      <x:c r="C24" s="47" t="str">
        <x:v>Fiber</x:v>
      </x:c>
      <x:c r="D24" s="47" t="str">
        <x:v>Assembly</x:v>
      </x:c>
      <x:c r="E24" s="47" t="str">
        <x:v>H2</x:v>
      </x:c>
      <x:c r="F24" s="47" t="str">
        <x:v>Deployable/carryable assembly</x:v>
      </x:c>
      <x:c r="G24" s="47" t="str">
        <x:v>Compressed family/assembly</x:v>
      </x:c>
      <x:c r="H24" s="49"/>
      <x:c r="I24" s="49"/>
    </x:row>
    <x:row r="25">
      <x:c r="A25" s="47" t="n">
        <x:v>21</x:v>
      </x:c>
      <x:c r="B25" s="47" t="str">
        <x:v>Clean graded fiber</x:v>
      </x:c>
      <x:c r="C25" s="47" t="str">
        <x:v>Fiber</x:v>
      </x:c>
      <x:c r="D25" s="47" t="str">
        <x:v>Process</x:v>
      </x:c>
      <x:c r="E25" s="47" t="str">
        <x:v>H1</x:v>
      </x:c>
      <x:c r="F25" s="47" t="str">
        <x:v>Process output (family)</x:v>
      </x:c>
      <x:c r="G25" s="47" t="str">
        <x:v>Abstract; not a discrete item</x:v>
      </x:c>
      <x:c r="H25" s="49"/>
      <x:c r="I25" s="49"/>
    </x:row>
    <x:row r="26">
      <x:c r="A26" s="47" t="n">
        <x:v>22</x:v>
      </x:c>
      <x:c r="B26" s="47" t="str">
        <x:v>Consistent yarn/strand</x:v>
      </x:c>
      <x:c r="C26" s="47" t="str">
        <x:v>Fiber</x:v>
      </x:c>
      <x:c r="D26" s="47" t="str">
        <x:v>Process</x:v>
      </x:c>
      <x:c r="E26" s="47" t="str">
        <x:v>H1</x:v>
      </x:c>
      <x:c r="F26" s="47" t="str">
        <x:v>Process output (family)</x:v>
      </x:c>
      <x:c r="G26" s="47" t="str">
        <x:v>Abstract; not a discrete item</x:v>
      </x:c>
      <x:c r="H26" s="49"/>
      <x:c r="I26" s="49"/>
    </x:row>
    <x:row r="27">
      <x:c r="A27" s="47" t="n">
        <x:v>23</x:v>
      </x:c>
      <x:c r="B27" s="47" t="str">
        <x:v>Woven textile panel</x:v>
      </x:c>
      <x:c r="C27" s="47" t="str">
        <x:v>Fiber</x:v>
      </x:c>
      <x:c r="D27" s="47" t="str">
        <x:v>Process</x:v>
      </x:c>
      <x:c r="E27" s="47" t="str">
        <x:v>H2</x:v>
      </x:c>
      <x:c r="F27" s="47" t="str">
        <x:v>Process output (family)</x:v>
      </x:c>
      <x:c r="G27" s="47" t="str">
        <x:v>Abstract; not a discrete item</x:v>
      </x:c>
      <x:c r="H27" s="49"/>
      <x:c r="I27" s="49"/>
    </x:row>
    <x:row r="28">
      <x:c r="A28" s="47" t="n">
        <x:v>24</x:v>
      </x:c>
      <x:c r="B28" s="47" t="str">
        <x:v>Bast/stem-fiber plant</x:v>
      </x:c>
      <x:c r="C28" s="47" t="str">
        <x:v>Fiber</x:v>
      </x:c>
      <x:c r="D28" s="47" t="str">
        <x:v>Source</x:v>
      </x:c>
      <x:c r="E28" s="47" t="str">
        <x:v>H1</x:v>
      </x:c>
      <x:c r="F28" s="47" t="str">
        <x:v>Recoverable/harvested resource</x:v>
      </x:c>
      <x:c r="G28" s="47" t="str">
        <x:v>Compressed family/assembly</x:v>
      </x:c>
      <x:c r="H28" s="49"/>
      <x:c r="I28" s="49"/>
    </x:row>
    <x:row r="29">
      <x:c r="A29" s="47" t="n">
        <x:v>25</x:v>
      </x:c>
      <x:c r="B29" s="47" t="str">
        <x:v>Coir/coconut husk fiber</x:v>
      </x:c>
      <x:c r="C29" s="47" t="str">
        <x:v>Fiber</x:v>
      </x:c>
      <x:c r="D29" s="47" t="str">
        <x:v>Source</x:v>
      </x:c>
      <x:c r="E29" s="47" t="str">
        <x:v>H0</x:v>
      </x:c>
      <x:c r="F29" s="47" t="str">
        <x:v>Recoverable/harvested resource</x:v>
      </x:c>
      <x:c r="G29" s="47" t="str">
        <x:v>Compressed family/assembly</x:v>
      </x:c>
      <x:c r="H29" s="49"/>
      <x:c r="I29" s="49"/>
    </x:row>
    <x:row r="30">
      <x:c r="A30" s="47" t="n">
        <x:v>26</x:v>
      </x:c>
      <x:c r="B30" s="47" t="str">
        <x:v>Leaf-fiber plant</x:v>
      </x:c>
      <x:c r="C30" s="47" t="str">
        <x:v>Fiber</x:v>
      </x:c>
      <x:c r="D30" s="47" t="str">
        <x:v>Source</x:v>
      </x:c>
      <x:c r="E30" s="47" t="str">
        <x:v>H0</x:v>
      </x:c>
      <x:c r="F30" s="47" t="str">
        <x:v>Recoverable/harvested resource</x:v>
      </x:c>
      <x:c r="G30" s="47" t="str">
        <x:v>Governed node; variants not separated</x:v>
      </x:c>
      <x:c r="H30" s="49"/>
      <x:c r="I30" s="49"/>
    </x:row>
    <x:row r="31">
      <x:c r="A31" s="47" t="n">
        <x:v>27</x:v>
      </x:c>
      <x:c r="B31" s="47" t="str">
        <x:v>Frame loom/net gauge</x:v>
      </x:c>
      <x:c r="C31" s="47" t="str">
        <x:v>Fiber</x:v>
      </x:c>
      <x:c r="D31" s="47" t="str">
        <x:v>Tool</x:v>
      </x:c>
      <x:c r="E31" s="47" t="str">
        <x:v>H2</x:v>
      </x:c>
      <x:c r="F31" s="47" t="str">
        <x:v>Carryable tool/equipment</x:v>
      </x:c>
      <x:c r="G31" s="47" t="str">
        <x:v>Compressed family/assembly</x:v>
      </x:c>
      <x:c r="H31" s="49"/>
      <x:c r="I31" s="49"/>
    </x:row>
    <x:row r="32">
      <x:c r="A32" s="47" t="n">
        <x:v>28</x:v>
      </x:c>
      <x:c r="B32" s="47" t="str">
        <x:v>Spindle/twisting tool</x:v>
      </x:c>
      <x:c r="C32" s="47" t="str">
        <x:v>Fiber</x:v>
      </x:c>
      <x:c r="D32" s="47" t="str">
        <x:v>Tool</x:v>
      </x:c>
      <x:c r="E32" s="47" t="str">
        <x:v>H1</x:v>
      </x:c>
      <x:c r="F32" s="47" t="str">
        <x:v>Carryable tool/equipment</x:v>
      </x:c>
      <x:c r="G32" s="47" t="str">
        <x:v>Compressed family/assembly</x:v>
      </x:c>
      <x:c r="H32" s="49"/>
      <x:c r="I32" s="49"/>
    </x:row>
    <x:row r="33">
      <x:c r="A33" s="47" t="n">
        <x:v>29</x:v>
      </x:c>
      <x:c r="B33" s="47" t="str">
        <x:v>Efficient enclosed stove</x:v>
      </x:c>
      <x:c r="C33" s="47" t="str">
        <x:v>Fire</x:v>
      </x:c>
      <x:c r="D33" s="47" t="str">
        <x:v>Assembly</x:v>
      </x:c>
      <x:c r="E33" s="47" t="str">
        <x:v>H3</x:v>
      </x:c>
      <x:c r="F33" s="47" t="str">
        <x:v>Placeable/deployable assembly</x:v>
      </x:c>
      <x:c r="G33" s="47" t="str">
        <x:v>Governed node; variants not separated</x:v>
      </x:c>
      <x:c r="H33" s="49"/>
      <x:c r="I33" s="49"/>
    </x:row>
    <x:row r="34">
      <x:c r="A34" s="47" t="n">
        <x:v>30</x:v>
      </x:c>
      <x:c r="B34" s="47" t="str">
        <x:v>Open-steam process station</x:v>
      </x:c>
      <x:c r="C34" s="47" t="str">
        <x:v>Fire</x:v>
      </x:c>
      <x:c r="D34" s="47" t="str">
        <x:v>Endpoint</x:v>
      </x:c>
      <x:c r="E34" s="47" t="str">
        <x:v>H4</x:v>
      </x:c>
      <x:c r="F34" s="47" t="str">
        <x:v>Placeable system/capability</x:v>
      </x:c>
      <x:c r="G34" s="47" t="str">
        <x:v>Named; requires component decomposition</x:v>
      </x:c>
      <x:c r="H34" s="49"/>
      <x:c r="I34" s="49"/>
    </x:row>
    <x:row r="35">
      <x:c r="A35" s="47" t="n">
        <x:v>31</x:v>
      </x:c>
      <x:c r="B35" s="47" t="str">
        <x:v>Thermal-mass oven</x:v>
      </x:c>
      <x:c r="C35" s="47" t="str">
        <x:v>Fire</x:v>
      </x:c>
      <x:c r="D35" s="47" t="str">
        <x:v>Endpoint</x:v>
      </x:c>
      <x:c r="E35" s="47" t="str">
        <x:v>H3</x:v>
      </x:c>
      <x:c r="F35" s="47" t="str">
        <x:v>Placeable system/capability</x:v>
      </x:c>
      <x:c r="G35" s="47" t="str">
        <x:v>Governed node; variants not separated</x:v>
      </x:c>
      <x:c r="H35" s="49"/>
      <x:c r="I35" s="49"/>
    </x:row>
    <x:row r="36">
      <x:c r="A36" s="47" t="n">
        <x:v>32</x:v>
      </x:c>
      <x:c r="B36" s="47" t="str">
        <x:v>Controlled cooking system</x:v>
      </x:c>
      <x:c r="C36" s="47" t="str">
        <x:v>Food</x:v>
      </x:c>
      <x:c r="D36" s="47" t="str">
        <x:v>Assembly</x:v>
      </x:c>
      <x:c r="E36" s="47" t="str">
        <x:v>H2</x:v>
      </x:c>
      <x:c r="F36" s="47" t="str">
        <x:v>Placeable/deployable assembly</x:v>
      </x:c>
      <x:c r="G36" s="47" t="str">
        <x:v>Compressed family/assembly</x:v>
      </x:c>
      <x:c r="H36" s="49"/>
      <x:c r="I36" s="49"/>
    </x:row>
    <x:row r="37">
      <x:c r="A37" s="47" t="n">
        <x:v>33</x:v>
      </x:c>
      <x:c r="B37" s="47" t="str">
        <x:v>Garden bed</x:v>
      </x:c>
      <x:c r="C37" s="47" t="str">
        <x:v>Food</x:v>
      </x:c>
      <x:c r="D37" s="47" t="str">
        <x:v>Assembly</x:v>
      </x:c>
      <x:c r="E37" s="47" t="str">
        <x:v>H3</x:v>
      </x:c>
      <x:c r="F37" s="47" t="str">
        <x:v>Placeable/deployable assembly</x:v>
      </x:c>
      <x:c r="G37" s="47" t="str">
        <x:v>Governed node; variants not separated</x:v>
      </x:c>
      <x:c r="H37" s="49"/>
      <x:c r="I37" s="49"/>
    </x:row>
    <x:row r="38">
      <x:c r="A38" s="47" t="n">
        <x:v>34</x:v>
      </x:c>
      <x:c r="B38" s="47" t="str">
        <x:v>Managed compost</x:v>
      </x:c>
      <x:c r="C38" s="47" t="str">
        <x:v>Food</x:v>
      </x:c>
      <x:c r="D38" s="47" t="str">
        <x:v>Assembly</x:v>
      </x:c>
      <x:c r="E38" s="47" t="str">
        <x:v>H3</x:v>
      </x:c>
      <x:c r="F38" s="47" t="str">
        <x:v>Placeable/deployable assembly</x:v>
      </x:c>
      <x:c r="G38" s="47" t="str">
        <x:v>Governed node; variants not separated</x:v>
      </x:c>
      <x:c r="H38" s="49"/>
      <x:c r="I38" s="49"/>
    </x:row>
    <x:row r="39">
      <x:c r="A39" s="47" t="n">
        <x:v>35</x:v>
      </x:c>
      <x:c r="B39" s="47" t="str">
        <x:v>Selective fish/crab trap</x:v>
      </x:c>
      <x:c r="C39" s="47" t="str">
        <x:v>Food</x:v>
      </x:c>
      <x:c r="D39" s="47" t="str">
        <x:v>Assembly</x:v>
      </x:c>
      <x:c r="E39" s="47" t="str">
        <x:v>H3</x:v>
      </x:c>
      <x:c r="F39" s="47" t="str">
        <x:v>Placeable/deployable assembly</x:v>
      </x:c>
      <x:c r="G39" s="47" t="str">
        <x:v>Compressed family/assembly</x:v>
      </x:c>
      <x:c r="H39" s="49"/>
      <x:c r="I39" s="49"/>
    </x:row>
    <x:row r="40">
      <x:c r="A40" s="47" t="n">
        <x:v>36</x:v>
      </x:c>
      <x:c r="B40" s="47" t="str">
        <x:v>Food continuity store</x:v>
      </x:c>
      <x:c r="C40" s="47" t="str">
        <x:v>Food</x:v>
      </x:c>
      <x:c r="D40" s="47" t="str">
        <x:v>Endpoint</x:v>
      </x:c>
      <x:c r="E40" s="47" t="str">
        <x:v>H4</x:v>
      </x:c>
      <x:c r="F40" s="47" t="str">
        <x:v>Placeable system/capability</x:v>
      </x:c>
      <x:c r="G40" s="47" t="str">
        <x:v>Governed node; variants not separated</x:v>
      </x:c>
      <x:c r="H40" s="49"/>
      <x:c r="I40" s="49"/>
    </x:row>
    <x:row r="41">
      <x:c r="A41" s="47" t="n">
        <x:v>37</x:v>
      </x:c>
      <x:c r="B41" s="47" t="str">
        <x:v>Documented seed lot</x:v>
      </x:c>
      <x:c r="C41" s="47" t="str">
        <x:v>Food</x:v>
      </x:c>
      <x:c r="D41" s="47" t="str">
        <x:v>Processed</x:v>
      </x:c>
      <x:c r="E41" s="47" t="str">
        <x:v>H3</x:v>
      </x:c>
      <x:c r="F41" s="47" t="str">
        <x:v>Processed material/consumable</x:v>
      </x:c>
      <x:c r="G41" s="47" t="str">
        <x:v>Governed node; variants not separated</x:v>
      </x:c>
      <x:c r="H41" s="49"/>
      <x:c r="I41" s="49"/>
    </x:row>
    <x:row r="42">
      <x:c r="A42" s="47" t="n">
        <x:v>38</x:v>
      </x:c>
      <x:c r="B42" s="47" t="str">
        <x:v>Preserved food lot</x:v>
      </x:c>
      <x:c r="C42" s="47" t="str">
        <x:v>Food</x:v>
      </x:c>
      <x:c r="D42" s="47" t="str">
        <x:v>Processed</x:v>
      </x:c>
      <x:c r="E42" s="47" t="str">
        <x:v>H3</x:v>
      </x:c>
      <x:c r="F42" s="47" t="str">
        <x:v>Processed material/consumable</x:v>
      </x:c>
      <x:c r="G42" s="47" t="str">
        <x:v>Governed node; variants not separated</x:v>
      </x:c>
      <x:c r="H42" s="49"/>
      <x:c r="I42" s="49"/>
    </x:row>
    <x:row r="43">
      <x:c r="A43" s="47" t="n">
        <x:v>39</x:v>
      </x:c>
      <x:c r="B43" s="47" t="str">
        <x:v>Salt stock/source</x:v>
      </x:c>
      <x:c r="C43" s="47" t="str">
        <x:v>Food</x:v>
      </x:c>
      <x:c r="D43" s="47" t="str">
        <x:v>Source</x:v>
      </x:c>
      <x:c r="E43" s="47" t="str">
        <x:v>H0</x:v>
      </x:c>
      <x:c r="F43" s="47" t="str">
        <x:v>Recoverable/harvested resource</x:v>
      </x:c>
      <x:c r="G43" s="47" t="str">
        <x:v>Compressed family/assembly</x:v>
      </x:c>
      <x:c r="H43" s="49"/>
      <x:c r="I43" s="49"/>
    </x:row>
    <x:row r="44">
      <x:c r="A44" s="47" t="n">
        <x:v>40</x:v>
      </x:c>
      <x:c r="B44" s="47" t="str">
        <x:v>Sugar/carbohydrate stock</x:v>
      </x:c>
      <x:c r="C44" s="47" t="str">
        <x:v>Food</x:v>
      </x:c>
      <x:c r="D44" s="47" t="str">
        <x:v>Source</x:v>
      </x:c>
      <x:c r="E44" s="47" t="str">
        <x:v>H0</x:v>
      </x:c>
      <x:c r="F44" s="47" t="str">
        <x:v>Recoverable/harvested resource</x:v>
      </x:c>
      <x:c r="G44" s="47" t="str">
        <x:v>Compressed family/assembly</x:v>
      </x:c>
      <x:c r="H44" s="49"/>
      <x:c r="I44" s="49"/>
    </x:row>
    <x:row r="45">
      <x:c r="A45" s="47" t="n">
        <x:v>41</x:v>
      </x:c>
      <x:c r="B45" s="47" t="str">
        <x:v>Wild/harvested food</x:v>
      </x:c>
      <x:c r="C45" s="47" t="str">
        <x:v>Food</x:v>
      </x:c>
      <x:c r="D45" s="47" t="str">
        <x:v>Source</x:v>
      </x:c>
      <x:c r="E45" s="47" t="str">
        <x:v>H0</x:v>
      </x:c>
      <x:c r="F45" s="47" t="str">
        <x:v>Recoverable/harvested resource</x:v>
      </x:c>
      <x:c r="G45" s="47" t="str">
        <x:v>Compressed family/assembly</x:v>
      </x:c>
      <x:c r="H45" s="49"/>
      <x:c r="I45" s="49"/>
    </x:row>
    <x:row r="46">
      <x:c r="A46" s="47" t="n">
        <x:v>42</x:v>
      </x:c>
      <x:c r="B46" s="47" t="str">
        <x:v>Fishing line/hook</x:v>
      </x:c>
      <x:c r="C46" s="47" t="str">
        <x:v>Food</x:v>
      </x:c>
      <x:c r="D46" s="47" t="str">
        <x:v>Tool</x:v>
      </x:c>
      <x:c r="E46" s="47" t="str">
        <x:v>H2</x:v>
      </x:c>
      <x:c r="F46" s="47" t="str">
        <x:v>Carryable tool/equipment</x:v>
      </x:c>
      <x:c r="G46" s="47" t="str">
        <x:v>Compressed family/assembly</x:v>
      </x:c>
      <x:c r="H46" s="49"/>
      <x:c r="I46" s="49"/>
    </x:row>
    <x:row r="47">
      <x:c r="A47" s="47" t="n">
        <x:v>43</x:v>
      </x:c>
      <x:c r="B47" s="47" t="str">
        <x:v>Spear/harpoon</x:v>
      </x:c>
      <x:c r="C47" s="47" t="str">
        <x:v>Food</x:v>
      </x:c>
      <x:c r="D47" s="47" t="str">
        <x:v>Tool</x:v>
      </x:c>
      <x:c r="E47" s="47" t="str">
        <x:v>H2</x:v>
      </x:c>
      <x:c r="F47" s="47" t="str">
        <x:v>Carryable weapon/tool</x:v>
      </x:c>
      <x:c r="G47" s="47" t="str">
        <x:v>Compressed family/assembly</x:v>
      </x:c>
      <x:c r="H47" s="49"/>
      <x:c r="I47" s="49"/>
    </x:row>
    <x:row r="48">
      <x:c r="A48" s="47" t="n">
        <x:v>44</x:v>
      </x:c>
      <x:c r="B48" s="47" t="str">
        <x:v>Smoking/drying station</x:v>
      </x:c>
      <x:c r="C48" s="47" t="str">
        <x:v>Food</x:v>
      </x:c>
      <x:c r="D48" s="47" t="str">
        <x:v>Workspace</x:v>
      </x:c>
      <x:c r="E48" s="47" t="str">
        <x:v>H3</x:v>
      </x:c>
      <x:c r="F48" s="47" t="str">
        <x:v>Placeable workspace</x:v>
      </x:c>
      <x:c r="G48" s="47" t="str">
        <x:v>Compressed family/assembly</x:v>
      </x:c>
      <x:c r="H48" s="49"/>
      <x:c r="I48" s="49"/>
    </x:row>
    <x:row r="49">
      <x:c r="A49" s="47" t="n">
        <x:v>45</x:v>
      </x:c>
      <x:c r="B49" s="47" t="str">
        <x:v>Selective checked snare/trap</x:v>
      </x:c>
      <x:c r="C49" s="47" t="str">
        <x:v>Hunting</x:v>
      </x:c>
      <x:c r="D49" s="47" t="str">
        <x:v>Endpoint</x:v>
      </x:c>
      <x:c r="E49" s="47" t="str">
        <x:v>H2</x:v>
      </x:c>
      <x:c r="F49" s="47" t="str">
        <x:v>Deployable hunting device</x:v>
      </x:c>
      <x:c r="G49" s="47" t="str">
        <x:v>Compressed family/assembly</x:v>
      </x:c>
      <x:c r="H49" s="49"/>
      <x:c r="I49" s="49"/>
    </x:row>
    <x:row r="50">
      <x:c r="A50" s="47" t="n">
        <x:v>46</x:v>
      </x:c>
      <x:c r="B50" s="47" t="str">
        <x:v>Peg/wedge/wood fastener</x:v>
      </x:c>
      <x:c r="C50" s="47" t="str">
        <x:v>Joining</x:v>
      </x:c>
      <x:c r="D50" s="47" t="str">
        <x:v>Processed</x:v>
      </x:c>
      <x:c r="E50" s="47" t="str">
        <x:v>H1</x:v>
      </x:c>
      <x:c r="F50" s="47" t="str">
        <x:v>Processed material/consumable</x:v>
      </x:c>
      <x:c r="G50" s="47" t="str">
        <x:v>Compressed family/assembly</x:v>
      </x:c>
      <x:c r="H50" s="49"/>
      <x:c r="I50" s="49"/>
    </x:row>
    <x:row r="51">
      <x:c r="A51" s="47" t="n">
        <x:v>47</x:v>
      </x:c>
      <x:c r="B51" s="47" t="str">
        <x:v>Prepared sealant</x:v>
      </x:c>
      <x:c r="C51" s="47" t="str">
        <x:v>Joining</x:v>
      </x:c>
      <x:c r="D51" s="47" t="str">
        <x:v>Processed</x:v>
      </x:c>
      <x:c r="E51" s="47" t="str">
        <x:v>H2</x:v>
      </x:c>
      <x:c r="F51" s="47" t="str">
        <x:v>Processed material/consumable</x:v>
      </x:c>
      <x:c r="G51" s="47" t="str">
        <x:v>Governed node; variants not separated</x:v>
      </x:c>
      <x:c r="H51" s="49"/>
      <x:c r="I51" s="49"/>
    </x:row>
    <x:row r="52">
      <x:c r="A52" s="47" t="n">
        <x:v>48</x:v>
      </x:c>
      <x:c r="B52" s="47" t="str">
        <x:v>Seal/gasket set</x:v>
      </x:c>
      <x:c r="C52" s="47" t="str">
        <x:v>Joining</x:v>
      </x:c>
      <x:c r="D52" s="47" t="str">
        <x:v>Processed</x:v>
      </x:c>
      <x:c r="E52" s="47" t="str">
        <x:v>H4</x:v>
      </x:c>
      <x:c r="F52" s="47" t="str">
        <x:v>Processed material/consumable</x:v>
      </x:c>
      <x:c r="G52" s="47" t="str">
        <x:v>Compressed family/assembly</x:v>
      </x:c>
      <x:c r="H52" s="49"/>
      <x:c r="I52" s="49"/>
    </x:row>
    <x:row r="53">
      <x:c r="A53" s="47" t="n">
        <x:v>49</x:v>
      </x:c>
      <x:c r="B53" s="47" t="str">
        <x:v>Suitable rivet/fastener</x:v>
      </x:c>
      <x:c r="C53" s="47" t="str">
        <x:v>Joining</x:v>
      </x:c>
      <x:c r="D53" s="47" t="str">
        <x:v>Processed</x:v>
      </x:c>
      <x:c r="E53" s="47" t="str">
        <x:v>H4</x:v>
      </x:c>
      <x:c r="F53" s="47" t="str">
        <x:v>Processed material/consumable</x:v>
      </x:c>
      <x:c r="G53" s="47" t="str">
        <x:v>Compressed family/assembly</x:v>
      </x:c>
      <x:c r="H53" s="49"/>
      <x:c r="I53" s="49"/>
    </x:row>
    <x:row r="54">
      <x:c r="A54" s="47" t="n">
        <x:v>50</x:v>
      </x:c>
      <x:c r="B54" s="47" t="str">
        <x:v>Manual/label/diagram</x:v>
      </x:c>
      <x:c r="C54" s="47" t="str">
        <x:v>Knowledge</x:v>
      </x:c>
      <x:c r="D54" s="47" t="str">
        <x:v>Source</x:v>
      </x:c>
      <x:c r="E54" s="47" t="str">
        <x:v>H0</x:v>
      </x:c>
      <x:c r="F54" s="47" t="str">
        <x:v>Knowledge carrier</x:v>
      </x:c>
      <x:c r="G54" s="47" t="str">
        <x:v>Compressed family/assembly</x:v>
      </x:c>
      <x:c r="H54" s="49"/>
      <x:c r="I54" s="49"/>
    </x:row>
    <x:row r="55">
      <x:c r="A55" s="47" t="n">
        <x:v>51</x:v>
      </x:c>
      <x:c r="B55" s="47" t="str">
        <x:v>Arrival Station</x:v>
      </x:c>
      <x:c r="C55" s="47" t="str">
        <x:v>Legacy</x:v>
      </x:c>
      <x:c r="D55" s="47" t="str">
        <x:v>Endpoint</x:v>
      </x:c>
      <x:c r="E55" s="47" t="str">
        <x:v>H6</x:v>
      </x:c>
      <x:c r="F55" s="47" t="str">
        <x:v>Major end capability</x:v>
      </x:c>
      <x:c r="G55" s="47" t="str">
        <x:v>Compressed family/assembly</x:v>
      </x:c>
      <x:c r="H55" s="49"/>
      <x:c r="I55" s="49"/>
    </x:row>
    <x:row r="56">
      <x:c r="A56" s="47" t="n">
        <x:v>52</x:v>
      </x:c>
      <x:c r="B56" s="47" t="str">
        <x:v>Legacy compound</x:v>
      </x:c>
      <x:c r="C56" s="47" t="str">
        <x:v>Legacy</x:v>
      </x:c>
      <x:c r="D56" s="47" t="str">
        <x:v>Endpoint</x:v>
      </x:c>
      <x:c r="E56" s="47" t="str">
        <x:v>H6</x:v>
      </x:c>
      <x:c r="F56" s="47" t="str">
        <x:v>Major end capability</x:v>
      </x:c>
      <x:c r="G56" s="47" t="str">
        <x:v>Governed node; variants not separated</x:v>
      </x:c>
      <x:c r="H56" s="49"/>
      <x:c r="I56" s="49"/>
    </x:row>
    <x:row r="57">
      <x:c r="A57" s="47" t="n">
        <x:v>53</x:v>
      </x:c>
      <x:c r="B57" s="47" t="str">
        <x:v>Continuity archive</x:v>
      </x:c>
      <x:c r="C57" s="47" t="str">
        <x:v>Legacy</x:v>
      </x:c>
      <x:c r="D57" s="47" t="str">
        <x:v>Workspace</x:v>
      </x:c>
      <x:c r="E57" s="47" t="str">
        <x:v>H6</x:v>
      </x:c>
      <x:c r="F57" s="47" t="str">
        <x:v>Placeable workspace</x:v>
      </x:c>
      <x:c r="G57" s="47" t="str">
        <x:v>Governed node; variants not separated</x:v>
      </x:c>
      <x:c r="H57" s="49"/>
      <x:c r="I57" s="49"/>
    </x:row>
    <x:row r="58">
      <x:c r="A58" s="47" t="n">
        <x:v>54</x:v>
      </x:c>
      <x:c r="B58" s="47" t="str">
        <x:v>Braked winch/capstan</x:v>
      </x:c>
      <x:c r="C58" s="47" t="str">
        <x:v>Logistics</x:v>
      </x:c>
      <x:c r="D58" s="47" t="str">
        <x:v>Assembly</x:v>
      </x:c>
      <x:c r="E58" s="47" t="str">
        <x:v>H5</x:v>
      </x:c>
      <x:c r="F58" s="47" t="str">
        <x:v>Deployable/carryable assembly</x:v>
      </x:c>
      <x:c r="G58" s="47" t="str">
        <x:v>Compressed family/assembly</x:v>
      </x:c>
      <x:c r="H58" s="49"/>
      <x:c r="I58" s="49"/>
    </x:row>
    <x:row r="59">
      <x:c r="A59" s="47" t="n">
        <x:v>55</x:v>
      </x:c>
      <x:c r="B59" s="47" t="str">
        <x:v>Drag sled/travois</x:v>
      </x:c>
      <x:c r="C59" s="47" t="str">
        <x:v>Logistics</x:v>
      </x:c>
      <x:c r="D59" s="47" t="str">
        <x:v>Assembly</x:v>
      </x:c>
      <x:c r="E59" s="47" t="str">
        <x:v>H2</x:v>
      </x:c>
      <x:c r="F59" s="47" t="str">
        <x:v>Deployable/carryable assembly</x:v>
      </x:c>
      <x:c r="G59" s="47" t="str">
        <x:v>Compressed family/assembly</x:v>
      </x:c>
      <x:c r="H59" s="49"/>
      <x:c r="I59" s="49"/>
    </x:row>
    <x:row r="60">
      <x:c r="A60" s="47" t="n">
        <x:v>56</x:v>
      </x:c>
      <x:c r="B60" s="47" t="str">
        <x:v>Handcart</x:v>
      </x:c>
      <x:c r="C60" s="47" t="str">
        <x:v>Logistics</x:v>
      </x:c>
      <x:c r="D60" s="47" t="str">
        <x:v>Assembly</x:v>
      </x:c>
      <x:c r="E60" s="47" t="str">
        <x:v>H4</x:v>
      </x:c>
      <x:c r="F60" s="47" t="str">
        <x:v>Deployable/carryable assembly</x:v>
      </x:c>
      <x:c r="G60" s="47" t="str">
        <x:v>Governed node; variants not separated</x:v>
      </x:c>
      <x:c r="H60" s="49"/>
      <x:c r="I60" s="49"/>
    </x:row>
    <x:row r="61">
      <x:c r="A61" s="47" t="n">
        <x:v>57</x:v>
      </x:c>
      <x:c r="B61" s="47" t="str">
        <x:v>Pulley/tackle</x:v>
      </x:c>
      <x:c r="C61" s="47" t="str">
        <x:v>Logistics</x:v>
      </x:c>
      <x:c r="D61" s="47" t="str">
        <x:v>Assembly</x:v>
      </x:c>
      <x:c r="E61" s="47" t="str">
        <x:v>H4</x:v>
      </x:c>
      <x:c r="F61" s="47" t="str">
        <x:v>Deployable/carryable assembly</x:v>
      </x:c>
      <x:c r="G61" s="47" t="str">
        <x:v>Compressed family/assembly</x:v>
      </x:c>
      <x:c r="H61" s="49"/>
      <x:c r="I61" s="49"/>
    </x:row>
    <x:row r="62">
      <x:c r="A62" s="47" t="n">
        <x:v>58</x:v>
      </x:c>
      <x:c r="B62" s="47" t="str">
        <x:v>Tripod/A-frame lift</x:v>
      </x:c>
      <x:c r="C62" s="47" t="str">
        <x:v>Logistics</x:v>
      </x:c>
      <x:c r="D62" s="47" t="str">
        <x:v>Assembly</x:v>
      </x:c>
      <x:c r="E62" s="47" t="str">
        <x:v>H3</x:v>
      </x:c>
      <x:c r="F62" s="47" t="str">
        <x:v>Deployable/carryable assembly</x:v>
      </x:c>
      <x:c r="G62" s="47" t="str">
        <x:v>Compressed family/assembly</x:v>
      </x:c>
      <x:c r="H62" s="49"/>
      <x:c r="I62" s="49"/>
    </x:row>
    <x:row r="63">
      <x:c r="A63" s="47" t="n">
        <x:v>59</x:v>
      </x:c>
      <x:c r="B63" s="47" t="str">
        <x:v>Carry basket</x:v>
      </x:c>
      <x:c r="C63" s="47" t="str">
        <x:v>Logistics</x:v>
      </x:c>
      <x:c r="D63" s="47" t="str">
        <x:v>Tool</x:v>
      </x:c>
      <x:c r="E63" s="47" t="str">
        <x:v>H1</x:v>
      </x:c>
      <x:c r="F63" s="47" t="str">
        <x:v>Carryable tool/equipment</x:v>
      </x:c>
      <x:c r="G63" s="47" t="str">
        <x:v>Governed node; variants not separated</x:v>
      </x:c>
      <x:c r="H63" s="49"/>
      <x:c r="I63" s="49"/>
    </x:row>
    <x:row r="64">
      <x:c r="A64" s="47" t="n">
        <x:v>60</x:v>
      </x:c>
      <x:c r="B64" s="47" t="str">
        <x:v>Pack frame/harness</x:v>
      </x:c>
      <x:c r="C64" s="47" t="str">
        <x:v>Logistics</x:v>
      </x:c>
      <x:c r="D64" s="47" t="str">
        <x:v>Tool</x:v>
      </x:c>
      <x:c r="E64" s="47" t="str">
        <x:v>H3</x:v>
      </x:c>
      <x:c r="F64" s="47" t="str">
        <x:v>Carryable tool/equipment</x:v>
      </x:c>
      <x:c r="G64" s="47" t="str">
        <x:v>Compressed family/assembly</x:v>
      </x:c>
      <x:c r="H64" s="49"/>
      <x:c r="I64" s="49"/>
    </x:row>
    <x:row r="65">
      <x:c r="A65" s="47" t="n">
        <x:v>61</x:v>
      </x:c>
      <x:c r="B65" s="47" t="str">
        <x:v>Dock/landing</x:v>
      </x:c>
      <x:c r="C65" s="47" t="str">
        <x:v>Maritime</x:v>
      </x:c>
      <x:c r="D65" s="47" t="str">
        <x:v>Assembly</x:v>
      </x:c>
      <x:c r="E65" s="47" t="str">
        <x:v>H4</x:v>
      </x:c>
      <x:c r="F65" s="47" t="str">
        <x:v>Deployable/carryable assembly</x:v>
      </x:c>
      <x:c r="G65" s="47" t="str">
        <x:v>Compressed family/assembly</x:v>
      </x:c>
      <x:c r="H65" s="49"/>
      <x:c r="I65" s="49"/>
    </x:row>
    <x:row r="66">
      <x:c r="A66" s="47" t="n">
        <x:v>62</x:v>
      </x:c>
      <x:c r="B66" s="47" t="str">
        <x:v>Shore-dive station</x:v>
      </x:c>
      <x:c r="C66" s="47" t="str">
        <x:v>Maritime</x:v>
      </x:c>
      <x:c r="D66" s="47" t="str">
        <x:v>Assembly</x:v>
      </x:c>
      <x:c r="E66" s="47" t="str">
        <x:v>H5</x:v>
      </x:c>
      <x:c r="F66" s="47" t="str">
        <x:v>Deployable/carryable assembly</x:v>
      </x:c>
      <x:c r="G66" s="47" t="str">
        <x:v>Compressed family/assembly</x:v>
      </x:c>
      <x:c r="H66" s="49"/>
      <x:c r="I66" s="49"/>
    </x:row>
    <x:row r="67">
      <x:c r="A67" s="47" t="n">
        <x:v>63</x:v>
      </x:c>
      <x:c r="B67" s="47" t="str">
        <x:v>Submerged lift system</x:v>
      </x:c>
      <x:c r="C67" s="47" t="str">
        <x:v>Maritime</x:v>
      </x:c>
      <x:c r="D67" s="47" t="str">
        <x:v>Assembly</x:v>
      </x:c>
      <x:c r="E67" s="47" t="str">
        <x:v>H5</x:v>
      </x:c>
      <x:c r="F67" s="47" t="str">
        <x:v>Deployable/carryable assembly</x:v>
      </x:c>
      <x:c r="G67" s="47" t="str">
        <x:v>Compressed family/assembly</x:v>
      </x:c>
      <x:c r="H67" s="49"/>
      <x:c r="I67" s="49"/>
    </x:row>
    <x:row r="68">
      <x:c r="A68" s="47" t="n">
        <x:v>64</x:v>
      </x:c>
      <x:c r="B68" s="47" t="str">
        <x:v>Surface raft</x:v>
      </x:c>
      <x:c r="C68" s="47" t="str">
        <x:v>Maritime</x:v>
      </x:c>
      <x:c r="D68" s="47" t="str">
        <x:v>Assembly</x:v>
      </x:c>
      <x:c r="E68" s="47" t="str">
        <x:v>H3</x:v>
      </x:c>
      <x:c r="F68" s="47" t="str">
        <x:v>Deployable/carryable assembly</x:v>
      </x:c>
      <x:c r="G68" s="47" t="str">
        <x:v>Governed node; variants not separated</x:v>
      </x:c>
      <x:c r="H68" s="49"/>
      <x:c r="I68" s="49"/>
    </x:row>
    <x:row r="69">
      <x:c r="A69" s="47" t="n">
        <x:v>65</x:v>
      </x:c>
      <x:c r="B69" s="47" t="str">
        <x:v>Floating/paddled workboat</x:v>
      </x:c>
      <x:c r="C69" s="47" t="str">
        <x:v>Maritime</x:v>
      </x:c>
      <x:c r="D69" s="47" t="str">
        <x:v>Endpoint</x:v>
      </x:c>
      <x:c r="E69" s="47" t="str">
        <x:v>H4</x:v>
      </x:c>
      <x:c r="F69" s="47" t="str">
        <x:v>Vehicle/maritime system</x:v>
      </x:c>
      <x:c r="G69" s="47" t="str">
        <x:v>Compressed family/assembly</x:v>
      </x:c>
      <x:c r="H69" s="49"/>
      <x:c r="I69" s="49"/>
    </x:row>
    <x:row r="70">
      <x:c r="A70" s="47" t="n">
        <x:v>66</x:v>
      </x:c>
      <x:c r="B70" s="47" t="str">
        <x:v>Powered expedition boat</x:v>
      </x:c>
      <x:c r="C70" s="47" t="str">
        <x:v>Maritime</x:v>
      </x:c>
      <x:c r="D70" s="47" t="str">
        <x:v>Endpoint</x:v>
      </x:c>
      <x:c r="E70" s="47" t="str">
        <x:v>H5</x:v>
      </x:c>
      <x:c r="F70" s="47" t="str">
        <x:v>Vehicle/maritime system</x:v>
      </x:c>
      <x:c r="G70" s="47" t="str">
        <x:v>Governed node; variants not separated</x:v>
      </x:c>
      <x:c r="H70" s="49"/>
      <x:c r="I70" s="49"/>
    </x:row>
    <x:row r="71">
      <x:c r="A71" s="47" t="n">
        <x:v>67</x:v>
      </x:c>
      <x:c r="B71" s="47" t="str">
        <x:v>Sail-assisted crossing craft</x:v>
      </x:c>
      <x:c r="C71" s="47" t="str">
        <x:v>Maritime</x:v>
      </x:c>
      <x:c r="D71" s="47" t="str">
        <x:v>Endpoint</x:v>
      </x:c>
      <x:c r="E71" s="47" t="str">
        <x:v>H5</x:v>
      </x:c>
      <x:c r="F71" s="47" t="str">
        <x:v>Vehicle/maritime system</x:v>
      </x:c>
      <x:c r="G71" s="47" t="str">
        <x:v>Governed node; variants not separated</x:v>
      </x:c>
      <x:c r="H71" s="49"/>
      <x:c r="I71" s="49"/>
    </x:row>
    <x:row r="72">
      <x:c r="A72" s="47" t="n">
        <x:v>68</x:v>
      </x:c>
      <x:c r="B72" s="47" t="str">
        <x:v>Secured fishing-boat wreck</x:v>
      </x:c>
      <x:c r="C72" s="47" t="str">
        <x:v>Maritime</x:v>
      </x:c>
      <x:c r="D72" s="47" t="str">
        <x:v>Project</x:v>
      </x:c>
      <x:c r="E72" s="47" t="str">
        <x:v>H2</x:v>
      </x:c>
      <x:c r="F72" s="47" t="str">
        <x:v>Persistent world project</x:v>
      </x:c>
      <x:c r="G72" s="47" t="str">
        <x:v>Governed node; variants not separated</x:v>
      </x:c>
      <x:c r="H72" s="49"/>
      <x:c r="I72" s="49"/>
    </x:row>
    <x:row r="73">
      <x:c r="A73" s="47" t="n">
        <x:v>69</x:v>
      </x:c>
      <x:c r="B73" s="47" t="str">
        <x:v>Stabilized boat shell</x:v>
      </x:c>
      <x:c r="C73" s="47" t="str">
        <x:v>Maritime</x:v>
      </x:c>
      <x:c r="D73" s="47" t="str">
        <x:v>Project</x:v>
      </x:c>
      <x:c r="E73" s="47" t="str">
        <x:v>H3</x:v>
      </x:c>
      <x:c r="F73" s="47" t="str">
        <x:v>Persistent world project</x:v>
      </x:c>
      <x:c r="G73" s="47" t="str">
        <x:v>Governed node; variants not separated</x:v>
      </x:c>
      <x:c r="H73" s="49"/>
      <x:c r="I73" s="49"/>
    </x:row>
    <x:row r="74">
      <x:c r="A74" s="47" t="n">
        <x:v>70</x:v>
      </x:c>
      <x:c r="B74" s="47" t="str">
        <x:v>Flotation aid</x:v>
      </x:c>
      <x:c r="C74" s="47" t="str">
        <x:v>Maritime</x:v>
      </x:c>
      <x:c r="D74" s="47" t="str">
        <x:v>Tool</x:v>
      </x:c>
      <x:c r="E74" s="47" t="str">
        <x:v>H1</x:v>
      </x:c>
      <x:c r="F74" s="47" t="str">
        <x:v>Carryable tool/equipment</x:v>
      </x:c>
      <x:c r="G74" s="47" t="str">
        <x:v>Governed node; variants not separated</x:v>
      </x:c>
      <x:c r="H74" s="49"/>
      <x:c r="I74" s="49"/>
    </x:row>
    <x:row r="75">
      <x:c r="A75" s="47" t="n">
        <x:v>71</x:v>
      </x:c>
      <x:c r="B75" s="47" t="str">
        <x:v>Boatyard</x:v>
      </x:c>
      <x:c r="C75" s="47" t="str">
        <x:v>Maritime</x:v>
      </x:c>
      <x:c r="D75" s="47" t="str">
        <x:v>Workspace</x:v>
      </x:c>
      <x:c r="E75" s="47" t="str">
        <x:v>H5</x:v>
      </x:c>
      <x:c r="F75" s="47" t="str">
        <x:v>Placeable workspace</x:v>
      </x:c>
      <x:c r="G75" s="47" t="str">
        <x:v>Governed node; variants not separated</x:v>
      </x:c>
      <x:c r="H75" s="49"/>
      <x:c r="I75" s="49"/>
    </x:row>
    <x:row r="76">
      <x:c r="A76" s="47" t="n">
        <x:v>72</x:v>
      </x:c>
      <x:c r="B76" s="47" t="str">
        <x:v>Clay</x:v>
      </x:c>
      <x:c r="C76" s="47" t="str">
        <x:v>Material</x:v>
      </x:c>
      <x:c r="D76" s="47" t="str">
        <x:v>Source</x:v>
      </x:c>
      <x:c r="E76" s="47" t="str">
        <x:v>H0</x:v>
      </x:c>
      <x:c r="F76" s="47" t="str">
        <x:v>Recoverable/harvested resource</x:v>
      </x:c>
      <x:c r="G76" s="47" t="str">
        <x:v>Governed node; variants not separated</x:v>
      </x:c>
      <x:c r="H76" s="49"/>
      <x:c r="I76" s="49"/>
    </x:row>
    <x:row r="77">
      <x:c r="A77" s="47" t="n">
        <x:v>73</x:v>
      </x:c>
      <x:c r="B77" s="47" t="str">
        <x:v>Natural fiber</x:v>
      </x:c>
      <x:c r="C77" s="47" t="str">
        <x:v>Material</x:v>
      </x:c>
      <x:c r="D77" s="47" t="str">
        <x:v>Source</x:v>
      </x:c>
      <x:c r="E77" s="47" t="str">
        <x:v>H0</x:v>
      </x:c>
      <x:c r="F77" s="47" t="str">
        <x:v>Recoverable/harvested resource</x:v>
      </x:c>
      <x:c r="G77" s="47" t="str">
        <x:v>Governed node; variants not separated</x:v>
      </x:c>
      <x:c r="H77" s="49"/>
      <x:c r="I77" s="49"/>
    </x:row>
    <x:row r="78">
      <x:c r="A78" s="47" t="n">
        <x:v>74</x:v>
      </x:c>
      <x:c r="B78" s="47" t="str">
        <x:v>Sand/gravel</x:v>
      </x:c>
      <x:c r="C78" s="47" t="str">
        <x:v>Material</x:v>
      </x:c>
      <x:c r="D78" s="47" t="str">
        <x:v>Source</x:v>
      </x:c>
      <x:c r="E78" s="47" t="str">
        <x:v>H0</x:v>
      </x:c>
      <x:c r="F78" s="47" t="str">
        <x:v>Recoverable/harvested resource</x:v>
      </x:c>
      <x:c r="G78" s="47" t="str">
        <x:v>Compressed family/assembly</x:v>
      </x:c>
      <x:c r="H78" s="49"/>
      <x:c r="I78" s="49"/>
    </x:row>
    <x:row r="79">
      <x:c r="A79" s="47" t="n">
        <x:v>75</x:v>
      </x:c>
      <x:c r="B79" s="47" t="str">
        <x:v>Stone/mineral</x:v>
      </x:c>
      <x:c r="C79" s="47" t="str">
        <x:v>Material</x:v>
      </x:c>
      <x:c r="D79" s="47" t="str">
        <x:v>Source</x:v>
      </x:c>
      <x:c r="E79" s="47" t="str">
        <x:v>H0</x:v>
      </x:c>
      <x:c r="F79" s="47" t="str">
        <x:v>Recoverable/harvested resource</x:v>
      </x:c>
      <x:c r="G79" s="47" t="str">
        <x:v>Compressed family/assembly</x:v>
      </x:c>
      <x:c r="H79" s="49"/>
      <x:c r="I79" s="49"/>
    </x:row>
    <x:row r="80">
      <x:c r="A80" s="47" t="n">
        <x:v>76</x:v>
      </x:c>
      <x:c r="B80" s="47" t="str">
        <x:v>Timber/driftwood</x:v>
      </x:c>
      <x:c r="C80" s="47" t="str">
        <x:v>Material</x:v>
      </x:c>
      <x:c r="D80" s="47" t="str">
        <x:v>Source</x:v>
      </x:c>
      <x:c r="E80" s="47" t="str">
        <x:v>H0</x:v>
      </x:c>
      <x:c r="F80" s="47" t="str">
        <x:v>Recoverable/harvested resource</x:v>
      </x:c>
      <x:c r="G80" s="47" t="str">
        <x:v>Compressed family/assembly</x:v>
      </x:c>
      <x:c r="H80" s="49"/>
      <x:c r="I80" s="49"/>
    </x:row>
    <x:row r="81">
      <x:c r="A81" s="47" t="n">
        <x:v>77</x:v>
      </x:c>
      <x:c r="B81" s="47" t="str">
        <x:v>Handwashing station</x:v>
      </x:c>
      <x:c r="C81" s="47" t="str">
        <x:v>Medicine</x:v>
      </x:c>
      <x:c r="D81" s="47" t="str">
        <x:v>Assembly</x:v>
      </x:c>
      <x:c r="E81" s="47" t="str">
        <x:v>H3</x:v>
      </x:c>
      <x:c r="F81" s="47" t="str">
        <x:v>Deployable/carryable assembly</x:v>
      </x:c>
      <x:c r="G81" s="47" t="str">
        <x:v>Compressed family/assembly</x:v>
      </x:c>
      <x:c r="H81" s="49"/>
      <x:c r="I81" s="49"/>
    </x:row>
    <x:row r="82">
      <x:c r="A82" s="47" t="n">
        <x:v>78</x:v>
      </x:c>
      <x:c r="B82" s="47" t="str">
        <x:v>Latrine/waste separation</x:v>
      </x:c>
      <x:c r="C82" s="47" t="str">
        <x:v>Medicine</x:v>
      </x:c>
      <x:c r="D82" s="47" t="str">
        <x:v>Assembly</x:v>
      </x:c>
      <x:c r="E82" s="47" t="str">
        <x:v>H2</x:v>
      </x:c>
      <x:c r="F82" s="47" t="str">
        <x:v>Deployable/carryable assembly</x:v>
      </x:c>
      <x:c r="G82" s="47" t="str">
        <x:v>Compressed family/assembly</x:v>
      </x:c>
      <x:c r="H82" s="49"/>
      <x:c r="I82" s="49"/>
    </x:row>
    <x:row r="83">
      <x:c r="A83" s="47" t="n">
        <x:v>79</x:v>
      </x:c>
      <x:c r="B83" s="47" t="str">
        <x:v>Stretcher/litter</x:v>
      </x:c>
      <x:c r="C83" s="47" t="str">
        <x:v>Medicine</x:v>
      </x:c>
      <x:c r="D83" s="47" t="str">
        <x:v>Assembly</x:v>
      </x:c>
      <x:c r="E83" s="47" t="str">
        <x:v>H3</x:v>
      </x:c>
      <x:c r="F83" s="47" t="str">
        <x:v>Deployable/carryable assembly</x:v>
      </x:c>
      <x:c r="G83" s="47" t="str">
        <x:v>Compressed family/assembly</x:v>
      </x:c>
      <x:c r="H83" s="49"/>
      <x:c r="I83" s="49"/>
    </x:row>
    <x:row r="84">
      <x:c r="A84" s="47" t="n">
        <x:v>80</x:v>
      </x:c>
      <x:c r="B84" s="47" t="str">
        <x:v>Applied clean dressing</x:v>
      </x:c>
      <x:c r="C84" s="47" t="str">
        <x:v>Medicine</x:v>
      </x:c>
      <x:c r="D84" s="47" t="str">
        <x:v>Capability</x:v>
      </x:c>
      <x:c r="E84" s="47" t="str">
        <x:v>H2</x:v>
      </x:c>
      <x:c r="F84" s="47" t="str">
        <x:v>Abstract applied capability</x:v>
      </x:c>
      <x:c r="G84" s="47" t="str">
        <x:v>Abstract; not a discrete item</x:v>
      </x:c>
      <x:c r="H84" s="49"/>
      <x:c r="I84" s="49"/>
    </x:row>
    <x:row r="85">
      <x:c r="A85" s="47" t="n">
        <x:v>81</x:v>
      </x:c>
      <x:c r="B85" s="47" t="str">
        <x:v>Fitted splint</x:v>
      </x:c>
      <x:c r="C85" s="47" t="str">
        <x:v>Medicine</x:v>
      </x:c>
      <x:c r="D85" s="47" t="str">
        <x:v>Capability</x:v>
      </x:c>
      <x:c r="E85" s="47" t="str">
        <x:v>H2</x:v>
      </x:c>
      <x:c r="F85" s="47" t="str">
        <x:v>Abstract applied capability</x:v>
      </x:c>
      <x:c r="G85" s="47" t="str">
        <x:v>Abstract; not a discrete item</x:v>
      </x:c>
      <x:c r="H85" s="49"/>
      <x:c r="I85" s="49"/>
    </x:row>
    <x:row r="86">
      <x:c r="A86" s="47" t="n">
        <x:v>82</x:v>
      </x:c>
      <x:c r="B86" s="47" t="str">
        <x:v>Qualified clean medical textile</x:v>
      </x:c>
      <x:c r="C86" s="47" t="str">
        <x:v>Medicine</x:v>
      </x:c>
      <x:c r="D86" s="47" t="str">
        <x:v>Endpoint</x:v>
      </x:c>
      <x:c r="E86" s="47" t="str">
        <x:v>H2</x:v>
      </x:c>
      <x:c r="F86" s="47" t="str">
        <x:v>Placeable system/capability</x:v>
      </x:c>
      <x:c r="G86" s="47" t="str">
        <x:v>Governed node; variants not separated</x:v>
      </x:c>
      <x:c r="H86" s="49"/>
      <x:c r="I86" s="49"/>
    </x:row>
    <x:row r="87">
      <x:c r="A87" s="47" t="n">
        <x:v>83</x:v>
      </x:c>
      <x:c r="B87" s="47" t="str">
        <x:v>Clean dressing</x:v>
      </x:c>
      <x:c r="C87" s="47" t="str">
        <x:v>Medicine</x:v>
      </x:c>
      <x:c r="D87" s="47" t="str">
        <x:v>Processed</x:v>
      </x:c>
      <x:c r="E87" s="47" t="str">
        <x:v>H2</x:v>
      </x:c>
      <x:c r="F87" s="47" t="str">
        <x:v>Processed material/consumable</x:v>
      </x:c>
      <x:c r="G87" s="47" t="str">
        <x:v>Governed node; variants not separated</x:v>
      </x:c>
      <x:c r="H87" s="49"/>
      <x:c r="I87" s="49"/>
    </x:row>
    <x:row r="88">
      <x:c r="A88" s="47" t="n">
        <x:v>84</x:v>
      </x:c>
      <x:c r="B88" s="47" t="str">
        <x:v>Measured oral rehydration solution</x:v>
      </x:c>
      <x:c r="C88" s="47" t="str">
        <x:v>Medicine</x:v>
      </x:c>
      <x:c r="D88" s="47" t="str">
        <x:v>Processed</x:v>
      </x:c>
      <x:c r="E88" s="47" t="str">
        <x:v>H3</x:v>
      </x:c>
      <x:c r="F88" s="47" t="str">
        <x:v>Processed material/consumable</x:v>
      </x:c>
      <x:c r="G88" s="47" t="str">
        <x:v>Governed node; variants not separated</x:v>
      </x:c>
      <x:c r="H88" s="49"/>
      <x:c r="I88" s="49"/>
    </x:row>
    <x:row r="89">
      <x:c r="A89" s="47" t="n">
        <x:v>85</x:v>
      </x:c>
      <x:c r="B89" s="47" t="str">
        <x:v>Padded splint stock</x:v>
      </x:c>
      <x:c r="C89" s="47" t="str">
        <x:v>Medicine</x:v>
      </x:c>
      <x:c r="D89" s="47" t="str">
        <x:v>Processed</x:v>
      </x:c>
      <x:c r="E89" s="47" t="str">
        <x:v>H2</x:v>
      </x:c>
      <x:c r="F89" s="47" t="str">
        <x:v>Processed material/consumable</x:v>
      </x:c>
      <x:c r="G89" s="47" t="str">
        <x:v>Compressed family/assembly</x:v>
      </x:c>
      <x:c r="H89" s="49"/>
      <x:c r="I89" s="49"/>
    </x:row>
    <x:row r="90">
      <x:c r="A90" s="47" t="n">
        <x:v>86</x:v>
      </x:c>
      <x:c r="B90" s="47" t="str">
        <x:v>Candidate medicinal plant</x:v>
      </x:c>
      <x:c r="C90" s="47" t="str">
        <x:v>Medicine</x:v>
      </x:c>
      <x:c r="D90" s="47" t="str">
        <x:v>Source</x:v>
      </x:c>
      <x:c r="E90" s="47" t="str">
        <x:v>H0</x:v>
      </x:c>
      <x:c r="F90" s="47" t="str">
        <x:v>Recoverable/harvested resource</x:v>
      </x:c>
      <x:c r="G90" s="47" t="str">
        <x:v>Governed node; variants not separated</x:v>
      </x:c>
      <x:c r="H90" s="49"/>
      <x:c r="I90" s="49"/>
    </x:row>
    <x:row r="91">
      <x:c r="A91" s="47" t="n">
        <x:v>87</x:v>
      </x:c>
      <x:c r="B91" s="47" t="str">
        <x:v>Sealed medical supply</x:v>
      </x:c>
      <x:c r="C91" s="47" t="str">
        <x:v>Medicine</x:v>
      </x:c>
      <x:c r="D91" s="47" t="str">
        <x:v>Source</x:v>
      </x:c>
      <x:c r="E91" s="47" t="str">
        <x:v>H0</x:v>
      </x:c>
      <x:c r="F91" s="47" t="str">
        <x:v>Recoverable/harvested resource</x:v>
      </x:c>
      <x:c r="G91" s="47" t="str">
        <x:v>Governed node; variants not separated</x:v>
      </x:c>
      <x:c r="H91" s="49"/>
      <x:c r="I91" s="49"/>
    </x:row>
    <x:row r="92">
      <x:c r="A92" s="47" t="n">
        <x:v>88</x:v>
      </x:c>
      <x:c r="B92" s="47" t="str">
        <x:v>Crutch/cane</x:v>
      </x:c>
      <x:c r="C92" s="47" t="str">
        <x:v>Medicine</x:v>
      </x:c>
      <x:c r="D92" s="47" t="str">
        <x:v>Tool</x:v>
      </x:c>
      <x:c r="E92" s="47" t="str">
        <x:v>H3</x:v>
      </x:c>
      <x:c r="F92" s="47" t="str">
        <x:v>Carryable tool/equipment</x:v>
      </x:c>
      <x:c r="G92" s="47" t="str">
        <x:v>Compressed family/assembly</x:v>
      </x:c>
      <x:c r="H92" s="49"/>
      <x:c r="I92" s="49"/>
    </x:row>
    <x:row r="93">
      <x:c r="A93" s="47" t="n">
        <x:v>89</x:v>
      </x:c>
      <x:c r="B93" s="47" t="str">
        <x:v>Clean treatment surface</x:v>
      </x:c>
      <x:c r="C93" s="47" t="str">
        <x:v>Medicine</x:v>
      </x:c>
      <x:c r="D93" s="47" t="str">
        <x:v>Workspace</x:v>
      </x:c>
      <x:c r="E93" s="47" t="str">
        <x:v>H2</x:v>
      </x:c>
      <x:c r="F93" s="47" t="str">
        <x:v>Placeable workspace</x:v>
      </x:c>
      <x:c r="G93" s="47" t="str">
        <x:v>Governed node; variants not separated</x:v>
      </x:c>
      <x:c r="H93" s="49"/>
      <x:c r="I93" s="49"/>
    </x:row>
    <x:row r="94">
      <x:c r="A94" s="47" t="n">
        <x:v>90</x:v>
      </x:c>
      <x:c r="B94" s="47" t="str">
        <x:v>Clinic/recovery station</x:v>
      </x:c>
      <x:c r="C94" s="47" t="str">
        <x:v>Medicine</x:v>
      </x:c>
      <x:c r="D94" s="47" t="str">
        <x:v>Workspace</x:v>
      </x:c>
      <x:c r="E94" s="47" t="str">
        <x:v>H5</x:v>
      </x:c>
      <x:c r="F94" s="47" t="str">
        <x:v>Placeable workspace</x:v>
      </x:c>
      <x:c r="G94" s="47" t="str">
        <x:v>Compressed family/assembly</x:v>
      </x:c>
      <x:c r="H94" s="49"/>
      <x:c r="I94" s="49"/>
    </x:row>
    <x:row r="95">
      <x:c r="A95" s="47" t="n">
        <x:v>91</x:v>
      </x:c>
      <x:c r="B95" s="47" t="str">
        <x:v>Recycled metal billet</x:v>
      </x:c>
      <x:c r="C95" s="47" t="str">
        <x:v>Metal</x:v>
      </x:c>
      <x:c r="D95" s="47" t="str">
        <x:v>Endpoint</x:v>
      </x:c>
      <x:c r="E95" s="47" t="str">
        <x:v>H4</x:v>
      </x:c>
      <x:c r="F95" s="47" t="str">
        <x:v>Placeable system/capability</x:v>
      </x:c>
      <x:c r="G95" s="47" t="str">
        <x:v>Governed node; variants not separated</x:v>
      </x:c>
      <x:c r="H95" s="49"/>
      <x:c r="I95" s="49"/>
    </x:row>
    <x:row r="96">
      <x:c r="A96" s="47" t="n">
        <x:v>92</x:v>
      </x:c>
      <x:c r="B96" s="47" t="str">
        <x:v>Smelted ore metal/bloom</x:v>
      </x:c>
      <x:c r="C96" s="47" t="str">
        <x:v>Metal</x:v>
      </x:c>
      <x:c r="D96" s="47" t="str">
        <x:v>Endpoint</x:v>
      </x:c>
      <x:c r="E96" s="47" t="str">
        <x:v>H5</x:v>
      </x:c>
      <x:c r="F96" s="47" t="str">
        <x:v>Placeable system/capability</x:v>
      </x:c>
      <x:c r="G96" s="47" t="str">
        <x:v>Compressed family/assembly</x:v>
      </x:c>
      <x:c r="H96" s="49"/>
      <x:c r="I96" s="49"/>
    </x:row>
    <x:row r="97">
      <x:c r="A97" s="47" t="n">
        <x:v>93</x:v>
      </x:c>
      <x:c r="B97" s="47" t="str">
        <x:v>Ore concentrate/test batch</x:v>
      </x:c>
      <x:c r="C97" s="47" t="str">
        <x:v>Metal</x:v>
      </x:c>
      <x:c r="D97" s="47" t="str">
        <x:v>Process</x:v>
      </x:c>
      <x:c r="E97" s="47" t="str">
        <x:v>H4</x:v>
      </x:c>
      <x:c r="F97" s="47" t="str">
        <x:v>Process output (family)</x:v>
      </x:c>
      <x:c r="G97" s="47" t="str">
        <x:v>Abstract; not a discrete item</x:v>
      </x:c>
      <x:c r="H97" s="49"/>
      <x:c r="I97" s="49"/>
    </x:row>
    <x:row r="98">
      <x:c r="A98" s="47" t="n">
        <x:v>94</x:v>
      </x:c>
      <x:c r="B98" s="47" t="str">
        <x:v>Sorted qualified metal stock</x:v>
      </x:c>
      <x:c r="C98" s="47" t="str">
        <x:v>Metal</x:v>
      </x:c>
      <x:c r="D98" s="47" t="str">
        <x:v>Process</x:v>
      </x:c>
      <x:c r="E98" s="47" t="str">
        <x:v>H2</x:v>
      </x:c>
      <x:c r="F98" s="47" t="str">
        <x:v>Process output (family)</x:v>
      </x:c>
      <x:c r="G98" s="47" t="str">
        <x:v>Abstract; not a discrete item</x:v>
      </x:c>
      <x:c r="H98" s="49"/>
      <x:c r="I98" s="49"/>
    </x:row>
    <x:row r="99">
      <x:c r="A99" s="47" t="n">
        <x:v>95</x:v>
      </x:c>
      <x:c r="B99" s="47" t="str">
        <x:v>Qualified deburred aluminum sheet</x:v>
      </x:c>
      <x:c r="C99" s="47" t="str">
        <x:v>Metal</x:v>
      </x:c>
      <x:c r="D99" s="47" t="str">
        <x:v>Processed</x:v>
      </x:c>
      <x:c r="E99" s="47" t="str">
        <x:v>H4</x:v>
      </x:c>
      <x:c r="F99" s="47" t="str">
        <x:v>Processed material/consumable</x:v>
      </x:c>
      <x:c r="G99" s="47" t="str">
        <x:v>Governed node; variants not separated</x:v>
      </x:c>
      <x:c r="H99" s="49"/>
      <x:c r="I99" s="49"/>
    </x:row>
    <x:row r="100">
      <x:c r="A100" s="47" t="n">
        <x:v>96</x:v>
      </x:c>
      <x:c r="B100" s="47" t="str">
        <x:v>Sorted cleaned metal stock</x:v>
      </x:c>
      <x:c r="C100" s="47" t="str">
        <x:v>Metal</x:v>
      </x:c>
      <x:c r="D100" s="47" t="str">
        <x:v>Processed</x:v>
      </x:c>
      <x:c r="E100" s="47" t="str">
        <x:v>H3</x:v>
      </x:c>
      <x:c r="F100" s="47" t="str">
        <x:v>Processed material/consumable</x:v>
      </x:c>
      <x:c r="G100" s="47" t="str">
        <x:v>Compressed family/assembly</x:v>
      </x:c>
      <x:c r="H100" s="49"/>
      <x:c r="I100" s="49"/>
    </x:row>
    <x:row r="101">
      <x:c r="A101" s="47" t="n">
        <x:v>97</x:v>
      </x:c>
      <x:c r="B101" s="47" t="str">
        <x:v>Geological ore candidate</x:v>
      </x:c>
      <x:c r="C101" s="47" t="str">
        <x:v>Metal</x:v>
      </x:c>
      <x:c r="D101" s="47" t="str">
        <x:v>Source</x:v>
      </x:c>
      <x:c r="E101" s="47" t="str">
        <x:v>H3</x:v>
      </x:c>
      <x:c r="F101" s="47" t="str">
        <x:v>Recoverable/harvested resource</x:v>
      </x:c>
      <x:c r="G101" s="47" t="str">
        <x:v>Governed node; variants not separated</x:v>
      </x:c>
      <x:c r="H101" s="49"/>
      <x:c r="I101" s="49"/>
    </x:row>
    <x:row r="102">
      <x:c r="A102" s="47" t="n">
        <x:v>98</x:v>
      </x:c>
      <x:c r="B102" s="47" t="str">
        <x:v>Mixed metal scrap</x:v>
      </x:c>
      <x:c r="C102" s="47" t="str">
        <x:v>Metal</x:v>
      </x:c>
      <x:c r="D102" s="47" t="str">
        <x:v>Source</x:v>
      </x:c>
      <x:c r="E102" s="47" t="str">
        <x:v>H1</x:v>
      </x:c>
      <x:c r="F102" s="47" t="str">
        <x:v>Recoverable/harvested resource</x:v>
      </x:c>
      <x:c r="G102" s="47" t="str">
        <x:v>Governed node; variants not separated</x:v>
      </x:c>
      <x:c r="H102" s="49"/>
      <x:c r="I102" s="49"/>
    </x:row>
    <x:row r="103">
      <x:c r="A103" s="47" t="n">
        <x:v>99</x:v>
      </x:c>
      <x:c r="B103" s="47" t="str">
        <x:v>Forge/anvil station</x:v>
      </x:c>
      <x:c r="C103" s="47" t="str">
        <x:v>Metal</x:v>
      </x:c>
      <x:c r="D103" s="47" t="str">
        <x:v>Workspace</x:v>
      </x:c>
      <x:c r="E103" s="47" t="str">
        <x:v>H4</x:v>
      </x:c>
      <x:c r="F103" s="47" t="str">
        <x:v>Placeable workspace</x:v>
      </x:c>
      <x:c r="G103" s="47" t="str">
        <x:v>Compressed family/assembly</x:v>
      </x:c>
      <x:c r="H103" s="49"/>
      <x:c r="I103" s="49"/>
    </x:row>
    <x:row r="104">
      <x:c r="A104" s="47" t="n">
        <x:v>100</x:v>
      </x:c>
      <x:c r="B104" s="47" t="str">
        <x:v>Species-appropriate animal enclosure</x:v>
      </x:c>
      <x:c r="C104" s="47" t="str">
        <x:v>Nature</x:v>
      </x:c>
      <x:c r="D104" s="47" t="str">
        <x:v>Assembly</x:v>
      </x:c>
      <x:c r="E104" s="47" t="str">
        <x:v>H3</x:v>
      </x:c>
      <x:c r="F104" s="47" t="str">
        <x:v>Placeable/deployable assembly</x:v>
      </x:c>
      <x:c r="G104" s="47" t="str">
        <x:v>Governed node; variants not separated</x:v>
      </x:c>
      <x:c r="H104" s="49"/>
      <x:c r="I104" s="49"/>
    </x:row>
    <x:row r="105">
      <x:c r="A105" s="47" t="n">
        <x:v>101</x:v>
      </x:c>
      <x:c r="B105" s="47" t="str">
        <x:v>Protected nursery and seed trial</x:v>
      </x:c>
      <x:c r="C105" s="47" t="str">
        <x:v>Nature</x:v>
      </x:c>
      <x:c r="D105" s="47" t="str">
        <x:v>Endpoint</x:v>
      </x:c>
      <x:c r="E105" s="47" t="str">
        <x:v>H2</x:v>
      </x:c>
      <x:c r="F105" s="47" t="str">
        <x:v>Placeable system/capability</x:v>
      </x:c>
      <x:c r="G105" s="47" t="str">
        <x:v>Governed node; variants not separated</x:v>
      </x:c>
      <x:c r="H105" s="49"/>
      <x:c r="I105" s="49"/>
    </x:row>
    <x:row r="106">
      <x:c r="A106" s="47" t="n">
        <x:v>102</x:v>
      </x:c>
      <x:c r="B106" s="47" t="str">
        <x:v>Seasonal forage and habitat map</x:v>
      </x:c>
      <x:c r="C106" s="47" t="str">
        <x:v>Nature</x:v>
      </x:c>
      <x:c r="D106" s="47" t="str">
        <x:v>Endpoint</x:v>
      </x:c>
      <x:c r="E106" s="47" t="str">
        <x:v>H1</x:v>
      </x:c>
      <x:c r="F106" s="47" t="str">
        <x:v>Placeable system/capability</x:v>
      </x:c>
      <x:c r="G106" s="47" t="str">
        <x:v>Governed node; variants not separated</x:v>
      </x:c>
      <x:c r="H106" s="49"/>
      <x:c r="I106" s="49"/>
    </x:row>
    <x:row r="107">
      <x:c r="A107" s="47" t="n">
        <x:v>103</x:v>
      </x:c>
      <x:c r="B107" s="47" t="str">
        <x:v>Sustainable husbandry system</x:v>
      </x:c>
      <x:c r="C107" s="47" t="str">
        <x:v>Nature</x:v>
      </x:c>
      <x:c r="D107" s="47" t="str">
        <x:v>Endpoint</x:v>
      </x:c>
      <x:c r="E107" s="47" t="str">
        <x:v>H4</x:v>
      </x:c>
      <x:c r="F107" s="47" t="str">
        <x:v>Placeable system/capability</x:v>
      </x:c>
      <x:c r="G107" s="47" t="str">
        <x:v>Compressed family/assembly</x:v>
      </x:c>
      <x:c r="H107" s="49"/>
      <x:c r="I107" s="49"/>
    </x:row>
    <x:row r="108">
      <x:c r="A108" s="47" t="n">
        <x:v>104</x:v>
      </x:c>
      <x:c r="B108" s="47" t="str">
        <x:v>Manageable animal population</x:v>
      </x:c>
      <x:c r="C108" s="47" t="str">
        <x:v>Nature</x:v>
      </x:c>
      <x:c r="D108" s="47" t="str">
        <x:v>Source</x:v>
      </x:c>
      <x:c r="E108" s="47" t="str">
        <x:v>H2</x:v>
      </x:c>
      <x:c r="F108" s="47" t="str">
        <x:v>World ecology/population</x:v>
      </x:c>
      <x:c r="G108" s="47" t="str">
        <x:v>Governed node; variants not separated</x:v>
      </x:c>
      <x:c r="H108" s="49"/>
      <x:c r="I108" s="49"/>
    </x:row>
    <x:row r="109">
      <x:c r="A109" s="47" t="n">
        <x:v>105</x:v>
      </x:c>
      <x:c r="B109" s="47" t="str">
        <x:v>Renewable fodder/feed base</x:v>
      </x:c>
      <x:c r="C109" s="47" t="str">
        <x:v>Nature</x:v>
      </x:c>
      <x:c r="D109" s="47" t="str">
        <x:v>Source</x:v>
      </x:c>
      <x:c r="E109" s="47" t="str">
        <x:v>H2</x:v>
      </x:c>
      <x:c r="F109" s="47" t="str">
        <x:v>World ecology/population</x:v>
      </x:c>
      <x:c r="G109" s="47" t="str">
        <x:v>Compressed family/assembly</x:v>
      </x:c>
      <x:c r="H109" s="49"/>
      <x:c r="I109" s="49"/>
    </x:row>
    <x:row r="110">
      <x:c r="A110" s="47" t="n">
        <x:v>106</x:v>
      </x:c>
      <x:c r="B110" s="47" t="str">
        <x:v>Pressure relief and control set</x:v>
      </x:c>
      <x:c r="C110" s="47" t="str">
        <x:v>Power</x:v>
      </x:c>
      <x:c r="D110" s="47" t="str">
        <x:v>Assembly</x:v>
      </x:c>
      <x:c r="E110" s="47" t="str">
        <x:v>H5</x:v>
      </x:c>
      <x:c r="F110" s="47" t="str">
        <x:v>Placeable/deployable assembly</x:v>
      </x:c>
      <x:c r="G110" s="47" t="str">
        <x:v>Named; requires component decomposition</x:v>
      </x:c>
      <x:c r="H110" s="49"/>
      <x:c r="I110" s="49"/>
    </x:row>
    <x:row r="111">
      <x:c r="A111" s="47" t="n">
        <x:v>107</x:v>
      </x:c>
      <x:c r="B111" s="47" t="str">
        <x:v>Protected battery bank</x:v>
      </x:c>
      <x:c r="C111" s="47" t="str">
        <x:v>Power</x:v>
      </x:c>
      <x:c r="D111" s="47" t="str">
        <x:v>Assembly</x:v>
      </x:c>
      <x:c r="E111" s="47" t="str">
        <x:v>H5</x:v>
      </x:c>
      <x:c r="F111" s="47" t="str">
        <x:v>Placeable/deployable assembly</x:v>
      </x:c>
      <x:c r="G111" s="47" t="str">
        <x:v>Governed node; variants not separated</x:v>
      </x:c>
      <x:c r="H111" s="49"/>
      <x:c r="I111" s="49"/>
    </x:row>
    <x:row r="112">
      <x:c r="A112" s="47" t="n">
        <x:v>108</x:v>
      </x:c>
      <x:c r="B112" s="47" t="str">
        <x:v>Protected lamp/light</x:v>
      </x:c>
      <x:c r="C112" s="47" t="str">
        <x:v>Power</x:v>
      </x:c>
      <x:c r="D112" s="47" t="str">
        <x:v>Assembly</x:v>
      </x:c>
      <x:c r="E112" s="47" t="str">
        <x:v>H4</x:v>
      </x:c>
      <x:c r="F112" s="47" t="str">
        <x:v>Placeable/deployable assembly</x:v>
      </x:c>
      <x:c r="G112" s="47" t="str">
        <x:v>Compressed family/assembly</x:v>
      </x:c>
      <x:c r="H112" s="49"/>
      <x:c r="I112" s="49"/>
    </x:row>
    <x:row r="113">
      <x:c r="A113" s="47" t="n">
        <x:v>109</x:v>
      </x:c>
      <x:c r="B113" s="47" t="str">
        <x:v>Qualified pressure boiler</x:v>
      </x:c>
      <x:c r="C113" s="47" t="str">
        <x:v>Power</x:v>
      </x:c>
      <x:c r="D113" s="47" t="str">
        <x:v>Assembly</x:v>
      </x:c>
      <x:c r="E113" s="47" t="str">
        <x:v>H6</x:v>
      </x:c>
      <x:c r="F113" s="47" t="str">
        <x:v>Placeable/deployable assembly</x:v>
      </x:c>
      <x:c r="G113" s="47" t="str">
        <x:v>Named; requires component decomposition</x:v>
      </x:c>
      <x:c r="H113" s="49"/>
      <x:c r="I113" s="49"/>
    </x:row>
    <x:row r="114">
      <x:c r="A114" s="47" t="n">
        <x:v>110</x:v>
      </x:c>
      <x:c r="B114" s="47" t="str">
        <x:v>Small generator adaptation</x:v>
      </x:c>
      <x:c r="C114" s="47" t="str">
        <x:v>Power</x:v>
      </x:c>
      <x:c r="D114" s="47" t="str">
        <x:v>Assembly</x:v>
      </x:c>
      <x:c r="E114" s="47" t="str">
        <x:v>H5</x:v>
      </x:c>
      <x:c r="F114" s="47" t="str">
        <x:v>Placeable/deployable assembly</x:v>
      </x:c>
      <x:c r="G114" s="47" t="str">
        <x:v>Governed node; variants not separated</x:v>
      </x:c>
      <x:c r="H114" s="49"/>
      <x:c r="I114" s="49"/>
    </x:row>
    <x:row r="115">
      <x:c r="A115" s="47" t="n">
        <x:v>111</x:v>
      </x:c>
      <x:c r="B115" s="47" t="str">
        <x:v>Steam prime mover</x:v>
      </x:c>
      <x:c r="C115" s="47" t="str">
        <x:v>Power</x:v>
      </x:c>
      <x:c r="D115" s="47" t="str">
        <x:v>Assembly</x:v>
      </x:c>
      <x:c r="E115" s="47" t="str">
        <x:v>H6</x:v>
      </x:c>
      <x:c r="F115" s="47" t="str">
        <x:v>Placeable/deployable assembly</x:v>
      </x:c>
      <x:c r="G115" s="47" t="str">
        <x:v>Named; requires component decomposition</x:v>
      </x:c>
      <x:c r="H115" s="49"/>
      <x:c r="I115" s="49"/>
    </x:row>
    <x:row r="116">
      <x:c r="A116" s="47" t="n">
        <x:v>112</x:v>
      </x:c>
      <x:c r="B116" s="47" t="str">
        <x:v>Camp microgrid</x:v>
      </x:c>
      <x:c r="C116" s="47" t="str">
        <x:v>Power</x:v>
      </x:c>
      <x:c r="D116" s="47" t="str">
        <x:v>Endpoint</x:v>
      </x:c>
      <x:c r="E116" s="47" t="str">
        <x:v>H5</x:v>
      </x:c>
      <x:c r="F116" s="47" t="str">
        <x:v>Placeable system/capability</x:v>
      </x:c>
      <x:c r="G116" s="47" t="str">
        <x:v>Governed node; variants not separated</x:v>
      </x:c>
      <x:c r="H116" s="49"/>
      <x:c r="I116" s="49"/>
    </x:row>
    <x:row r="117">
      <x:c r="A117" s="47" t="n">
        <x:v>113</x:v>
      </x:c>
      <x:c r="B117" s="47" t="str">
        <x:v>Steam-driven water/mine pump</x:v>
      </x:c>
      <x:c r="C117" s="47" t="str">
        <x:v>Power</x:v>
      </x:c>
      <x:c r="D117" s="47" t="str">
        <x:v>Endpoint</x:v>
      </x:c>
      <x:c r="E117" s="47" t="str">
        <x:v>H6</x:v>
      </x:c>
      <x:c r="F117" s="47" t="str">
        <x:v>Placeable system/capability</x:v>
      </x:c>
      <x:c r="G117" s="47" t="str">
        <x:v>Named; requires component decomposition</x:v>
      </x:c>
      <x:c r="H117" s="49"/>
      <x:c r="I117" s="49"/>
    </x:row>
    <x:row r="118">
      <x:c r="A118" s="47" t="n">
        <x:v>114</x:v>
      </x:c>
      <x:c r="B118" s="47" t="str">
        <x:v>Steam-electric generation set</x:v>
      </x:c>
      <x:c r="C118" s="47" t="str">
        <x:v>Power</x:v>
      </x:c>
      <x:c r="D118" s="47" t="str">
        <x:v>Endpoint</x:v>
      </x:c>
      <x:c r="E118" s="47" t="str">
        <x:v>H6</x:v>
      </x:c>
      <x:c r="F118" s="47" t="str">
        <x:v>Placeable system/capability</x:v>
      </x:c>
      <x:c r="G118" s="47" t="str">
        <x:v>Named; requires component decomposition</x:v>
      </x:c>
      <x:c r="H118" s="49"/>
      <x:c r="I118" s="49"/>
    </x:row>
    <x:row r="119">
      <x:c r="A119" s="47" t="n">
        <x:v>115</x:v>
      </x:c>
      <x:c r="B119" s="47" t="str">
        <x:v>Borrowed Signal rescue beacon</x:v>
      </x:c>
      <x:c r="C119" s="47" t="str">
        <x:v>Return</x:v>
      </x:c>
      <x:c r="D119" s="47" t="str">
        <x:v>Endpoint</x:v>
      </x:c>
      <x:c r="E119" s="47" t="str">
        <x:v>H7</x:v>
      </x:c>
      <x:c r="F119" s="47" t="str">
        <x:v>Major end capability</x:v>
      </x:c>
      <x:c r="G119" s="47" t="str">
        <x:v>Governed node; variants not separated</x:v>
      </x:c>
      <x:c r="H119" s="49"/>
      <x:c r="I119" s="49"/>
    </x:row>
    <x:row r="120">
      <x:c r="A120" s="47" t="n">
        <x:v>116</x:v>
      </x:c>
      <x:c r="B120" s="47" t="str">
        <x:v>Direct-return vessel</x:v>
      </x:c>
      <x:c r="C120" s="47" t="str">
        <x:v>Return</x:v>
      </x:c>
      <x:c r="D120" s="47" t="str">
        <x:v>Endpoint</x:v>
      </x:c>
      <x:c r="E120" s="47" t="str">
        <x:v>H7</x:v>
      </x:c>
      <x:c r="F120" s="47" t="str">
        <x:v>Major end capability</x:v>
      </x:c>
      <x:c r="G120" s="47" t="str">
        <x:v>Governed node; variants not separated</x:v>
      </x:c>
      <x:c r="H120" s="49"/>
      <x:c r="I120" s="49"/>
    </x:row>
    <x:row r="121">
      <x:c r="A121" s="47" t="n">
        <x:v>117</x:v>
      </x:c>
      <x:c r="B121" s="47" t="str">
        <x:v>Covered salvage sorting yard</x:v>
      </x:c>
      <x:c r="C121" s="47" t="str">
        <x:v>Salvage</x:v>
      </x:c>
      <x:c r="D121" s="47" t="str">
        <x:v>Assembly</x:v>
      </x:c>
      <x:c r="E121" s="47" t="str">
        <x:v>H2</x:v>
      </x:c>
      <x:c r="F121" s="47" t="str">
        <x:v>Placeable/deployable assembly</x:v>
      </x:c>
      <x:c r="G121" s="47" t="str">
        <x:v>Governed node; variants not separated</x:v>
      </x:c>
      <x:c r="H121" s="49"/>
      <x:c r="I121" s="49"/>
    </x:row>
    <x:row r="122">
      <x:c r="A122" s="47" t="n">
        <x:v>118</x:v>
      </x:c>
      <x:c r="B122" s="47" t="str">
        <x:v>Buried salvage recovery operation</x:v>
      </x:c>
      <x:c r="C122" s="47" t="str">
        <x:v>Salvage</x:v>
      </x:c>
      <x:c r="D122" s="47" t="str">
        <x:v>Endpoint</x:v>
      </x:c>
      <x:c r="E122" s="47" t="str">
        <x:v>H2</x:v>
      </x:c>
      <x:c r="F122" s="47" t="str">
        <x:v>Placeable system/capability</x:v>
      </x:c>
      <x:c r="G122" s="47" t="str">
        <x:v>Compressed family/assembly</x:v>
      </x:c>
      <x:c r="H122" s="49"/>
      <x:c r="I122" s="49"/>
    </x:row>
    <x:row r="123">
      <x:c r="A123" s="47" t="n">
        <x:v>119</x:v>
      </x:c>
      <x:c r="B123" s="47" t="str">
        <x:v>Parts and compatibility catalog</x:v>
      </x:c>
      <x:c r="C123" s="47" t="str">
        <x:v>Salvage</x:v>
      </x:c>
      <x:c r="D123" s="47" t="str">
        <x:v>Endpoint</x:v>
      </x:c>
      <x:c r="E123" s="47" t="str">
        <x:v>H2</x:v>
      </x:c>
      <x:c r="F123" s="47" t="str">
        <x:v>Placeable system/capability</x:v>
      </x:c>
      <x:c r="G123" s="47" t="str">
        <x:v>Governed node; variants not separated</x:v>
      </x:c>
      <x:c r="H123" s="49"/>
      <x:c r="I123" s="49"/>
    </x:row>
    <x:row r="124">
      <x:c r="A124" s="47" t="n">
        <x:v>120</x:v>
      </x:c>
      <x:c r="B124" s="47" t="str">
        <x:v>Salvage quarantine bay</x:v>
      </x:c>
      <x:c r="C124" s="47" t="str">
        <x:v>Salvage</x:v>
      </x:c>
      <x:c r="D124" s="47" t="str">
        <x:v>Endpoint</x:v>
      </x:c>
      <x:c r="E124" s="47" t="str">
        <x:v>H2</x:v>
      </x:c>
      <x:c r="F124" s="47" t="str">
        <x:v>Placeable system/capability</x:v>
      </x:c>
      <x:c r="G124" s="47" t="str">
        <x:v>Governed node; variants not separated</x:v>
      </x:c>
      <x:c r="H124" s="49"/>
      <x:c r="I124" s="49"/>
    </x:row>
    <x:row r="125">
      <x:c r="A125" s="47" t="n">
        <x:v>121</x:v>
      </x:c>
      <x:c r="B125" s="47" t="str">
        <x:v>Waste routing and containment</x:v>
      </x:c>
      <x:c r="C125" s="47" t="str">
        <x:v>Salvage</x:v>
      </x:c>
      <x:c r="D125" s="47" t="str">
        <x:v>Endpoint</x:v>
      </x:c>
      <x:c r="E125" s="47" t="str">
        <x:v>H2</x:v>
      </x:c>
      <x:c r="F125" s="47" t="str">
        <x:v>Placeable system/capability</x:v>
      </x:c>
      <x:c r="G125" s="47" t="str">
        <x:v>Governed node; variants not separated</x:v>
      </x:c>
      <x:c r="H125" s="49"/>
      <x:c r="I125" s="49"/>
    </x:row>
    <x:row r="126">
      <x:c r="A126" s="47" t="n">
        <x:v>122</x:v>
      </x:c>
      <x:c r="B126" s="47" t="str">
        <x:v>Aircraft/marine aluminum sheet</x:v>
      </x:c>
      <x:c r="C126" s="47" t="str">
        <x:v>Salvage</x:v>
      </x:c>
      <x:c r="D126" s="47" t="str">
        <x:v>Source</x:v>
      </x:c>
      <x:c r="E126" s="47" t="str">
        <x:v>H0</x:v>
      </x:c>
      <x:c r="F126" s="47" t="str">
        <x:v>Recoverable/harvested resource</x:v>
      </x:c>
      <x:c r="G126" s="47" t="str">
        <x:v>Compressed family/assembly</x:v>
      </x:c>
      <x:c r="H126" s="49"/>
      <x:c r="I126" s="49"/>
    </x:row>
    <x:row r="127">
      <x:c r="A127" s="47" t="n">
        <x:v>123</x:v>
      </x:c>
      <x:c r="B127" s="47" t="str">
        <x:v>Bearing/pulley/gear module</x:v>
      </x:c>
      <x:c r="C127" s="47" t="str">
        <x:v>Salvage</x:v>
      </x:c>
      <x:c r="D127" s="47" t="str">
        <x:v>Source</x:v>
      </x:c>
      <x:c r="E127" s="47" t="str">
        <x:v>H0</x:v>
      </x:c>
      <x:c r="F127" s="47" t="str">
        <x:v>Recoverable/harvested resource</x:v>
      </x:c>
      <x:c r="G127" s="47" t="str">
        <x:v>Compressed family/assembly</x:v>
      </x:c>
      <x:c r="H127" s="49"/>
      <x:c r="I127" s="49"/>
    </x:row>
    <x:row r="128">
      <x:c r="A128" s="47" t="n">
        <x:v>124</x:v>
      </x:c>
      <x:c r="B128" s="47" t="str">
        <x:v>Brass/valve salvage</x:v>
      </x:c>
      <x:c r="C128" s="47" t="str">
        <x:v>Salvage</x:v>
      </x:c>
      <x:c r="D128" s="47" t="str">
        <x:v>Source</x:v>
      </x:c>
      <x:c r="E128" s="47" t="str">
        <x:v>H0</x:v>
      </x:c>
      <x:c r="F128" s="47" t="str">
        <x:v>Recoverable/harvested resource</x:v>
      </x:c>
      <x:c r="G128" s="47" t="str">
        <x:v>Compressed family/assembly</x:v>
      </x:c>
      <x:c r="H128" s="49"/>
      <x:c r="I128" s="49"/>
    </x:row>
    <x:row r="129">
      <x:c r="A129" s="47" t="n">
        <x:v>125</x:v>
      </x:c>
      <x:c r="B129" s="47" t="str">
        <x:v>Canvas/raft fabric</x:v>
      </x:c>
      <x:c r="C129" s="47" t="str">
        <x:v>Salvage</x:v>
      </x:c>
      <x:c r="D129" s="47" t="str">
        <x:v>Source</x:v>
      </x:c>
      <x:c r="E129" s="47" t="str">
        <x:v>H0</x:v>
      </x:c>
      <x:c r="F129" s="47" t="str">
        <x:v>Recoverable/harvested resource</x:v>
      </x:c>
      <x:c r="G129" s="47" t="str">
        <x:v>Compressed family/assembly</x:v>
      </x:c>
      <x:c r="H129" s="49"/>
      <x:c r="I129" s="49"/>
    </x:row>
    <x:row r="130">
      <x:c r="A130" s="47" t="n">
        <x:v>126</x:v>
      </x:c>
      <x:c r="B130" s="47" t="str">
        <x:v>Copper salvage</x:v>
      </x:c>
      <x:c r="C130" s="47" t="str">
        <x:v>Salvage</x:v>
      </x:c>
      <x:c r="D130" s="47" t="str">
        <x:v>Source</x:v>
      </x:c>
      <x:c r="E130" s="47" t="str">
        <x:v>H0</x:v>
      </x:c>
      <x:c r="F130" s="47" t="str">
        <x:v>Recoverable/harvested resource</x:v>
      </x:c>
      <x:c r="G130" s="47" t="str">
        <x:v>Governed node; variants not separated</x:v>
      </x:c>
      <x:c r="H130" s="49"/>
      <x:c r="I130" s="49"/>
    </x:row>
    <x:row r="131">
      <x:c r="A131" s="47" t="n">
        <x:v>127</x:v>
      </x:c>
      <x:c r="B131" s="47" t="str">
        <x:v>Ferrous salvage</x:v>
      </x:c>
      <x:c r="C131" s="47" t="str">
        <x:v>Salvage</x:v>
      </x:c>
      <x:c r="D131" s="47" t="str">
        <x:v>Source</x:v>
      </x:c>
      <x:c r="E131" s="47" t="str">
        <x:v>H0</x:v>
      </x:c>
      <x:c r="F131" s="47" t="str">
        <x:v>Recoverable/harvested resource</x:v>
      </x:c>
      <x:c r="G131" s="47" t="str">
        <x:v>Governed node; variants not separated</x:v>
      </x:c>
      <x:c r="H131" s="49"/>
      <x:c r="I131" s="49"/>
    </x:row>
    <x:row r="132">
      <x:c r="A132" s="47" t="n">
        <x:v>128</x:v>
      </x:c>
      <x:c r="B132" s="47" t="str">
        <x:v>Found rope/webbing</x:v>
      </x:c>
      <x:c r="C132" s="47" t="str">
        <x:v>Salvage</x:v>
      </x:c>
      <x:c r="D132" s="47" t="str">
        <x:v>Source</x:v>
      </x:c>
      <x:c r="E132" s="47" t="str">
        <x:v>H0</x:v>
      </x:c>
      <x:c r="F132" s="47" t="str">
        <x:v>Recoverable/harvested resource</x:v>
      </x:c>
      <x:c r="G132" s="47" t="str">
        <x:v>Compressed family/assembly</x:v>
      </x:c>
      <x:c r="H132" s="49"/>
      <x:c r="I132" s="49"/>
    </x:row>
    <x:row r="133">
      <x:c r="A133" s="47" t="n">
        <x:v>129</x:v>
      </x:c>
      <x:c r="B133" s="47" t="str">
        <x:v>Glass/optics</x:v>
      </x:c>
      <x:c r="C133" s="47" t="str">
        <x:v>Salvage</x:v>
      </x:c>
      <x:c r="D133" s="47" t="str">
        <x:v>Source</x:v>
      </x:c>
      <x:c r="E133" s="47" t="str">
        <x:v>H0</x:v>
      </x:c>
      <x:c r="F133" s="47" t="str">
        <x:v>Recoverable/harvested resource</x:v>
      </x:c>
      <x:c r="G133" s="47" t="str">
        <x:v>Compressed family/assembly</x:v>
      </x:c>
      <x:c r="H133" s="49"/>
      <x:c r="I133" s="49"/>
    </x:row>
    <x:row r="134">
      <x:c r="A134" s="47" t="n">
        <x:v>130</x:v>
      </x:c>
      <x:c r="B134" s="47" t="str">
        <x:v>Polymer/container stock</x:v>
      </x:c>
      <x:c r="C134" s="47" t="str">
        <x:v>Salvage</x:v>
      </x:c>
      <x:c r="D134" s="47" t="str">
        <x:v>Source</x:v>
      </x:c>
      <x:c r="E134" s="47" t="str">
        <x:v>H0</x:v>
      </x:c>
      <x:c r="F134" s="47" t="str">
        <x:v>Recoverable/harvested resource</x:v>
      </x:c>
      <x:c r="G134" s="47" t="str">
        <x:v>Compressed family/assembly</x:v>
      </x:c>
      <x:c r="H134" s="49"/>
      <x:c r="I134" s="49"/>
    </x:row>
    <x:row r="135">
      <x:c r="A135" s="47" t="n">
        <x:v>131</x:v>
      </x:c>
      <x:c r="B135" s="47" t="str">
        <x:v>Recognized bottle/container</x:v>
      </x:c>
      <x:c r="C135" s="47" t="str">
        <x:v>Salvage</x:v>
      </x:c>
      <x:c r="D135" s="47" t="str">
        <x:v>Source</x:v>
      </x:c>
      <x:c r="E135" s="47" t="str">
        <x:v>H0</x:v>
      </x:c>
      <x:c r="F135" s="47" t="str">
        <x:v>Recoverable/harvested resource</x:v>
      </x:c>
      <x:c r="G135" s="47" t="str">
        <x:v>Compressed family/assembly</x:v>
      </x:c>
      <x:c r="H135" s="49"/>
      <x:c r="I135" s="49"/>
    </x:row>
    <x:row r="136">
      <x:c r="A136" s="47" t="n">
        <x:v>132</x:v>
      </x:c>
      <x:c r="B136" s="47" t="str">
        <x:v>Recognized food-grade pan</x:v>
      </x:c>
      <x:c r="C136" s="47" t="str">
        <x:v>Salvage</x:v>
      </x:c>
      <x:c r="D136" s="47" t="str">
        <x:v>Source</x:v>
      </x:c>
      <x:c r="E136" s="47" t="str">
        <x:v>H0</x:v>
      </x:c>
      <x:c r="F136" s="47" t="str">
        <x:v>Recoverable/harvested resource</x:v>
      </x:c>
      <x:c r="G136" s="47" t="str">
        <x:v>Governed node; variants not separated</x:v>
      </x:c>
      <x:c r="H136" s="49"/>
      <x:c r="I136" s="49"/>
    </x:row>
    <x:row r="137">
      <x:c r="A137" s="47" t="n">
        <x:v>133</x:v>
      </x:c>
      <x:c r="B137" s="47" t="str">
        <x:v>Recovered fasteners</x:v>
      </x:c>
      <x:c r="C137" s="47" t="str">
        <x:v>Salvage</x:v>
      </x:c>
      <x:c r="D137" s="47" t="str">
        <x:v>Source</x:v>
      </x:c>
      <x:c r="E137" s="47" t="str">
        <x:v>H0</x:v>
      </x:c>
      <x:c r="F137" s="47" t="str">
        <x:v>Recoverable/harvested resource</x:v>
      </x:c>
      <x:c r="G137" s="47" t="str">
        <x:v>Governed node; variants not separated</x:v>
      </x:c>
      <x:c r="H137" s="49"/>
      <x:c r="I137" s="49"/>
    </x:row>
    <x:row r="138">
      <x:c r="A138" s="47" t="n">
        <x:v>134</x:v>
      </x:c>
      <x:c r="B138" s="47" t="str">
        <x:v>Repairable engine/motor</x:v>
      </x:c>
      <x:c r="C138" s="47" t="str">
        <x:v>Salvage</x:v>
      </x:c>
      <x:c r="D138" s="47" t="str">
        <x:v>Source</x:v>
      </x:c>
      <x:c r="E138" s="47" t="str">
        <x:v>H0</x:v>
      </x:c>
      <x:c r="F138" s="47" t="str">
        <x:v>Recoverable/harvested resource</x:v>
      </x:c>
      <x:c r="G138" s="47" t="str">
        <x:v>Compressed family/assembly</x:v>
      </x:c>
      <x:c r="H138" s="49"/>
      <x:c r="I138" s="49"/>
    </x:row>
    <x:row r="139">
      <x:c r="A139" s="47" t="n">
        <x:v>135</x:v>
      </x:c>
      <x:c r="B139" s="47" t="str">
        <x:v>Rubber/hose/gasket</x:v>
      </x:c>
      <x:c r="C139" s="47" t="str">
        <x:v>Salvage</x:v>
      </x:c>
      <x:c r="D139" s="47" t="str">
        <x:v>Source</x:v>
      </x:c>
      <x:c r="E139" s="47" t="str">
        <x:v>H0</x:v>
      </x:c>
      <x:c r="F139" s="47" t="str">
        <x:v>Recoverable/harvested resource</x:v>
      </x:c>
      <x:c r="G139" s="47" t="str">
        <x:v>Compressed family/assembly</x:v>
      </x:c>
      <x:c r="H139" s="49"/>
      <x:c r="I139" s="49"/>
    </x:row>
    <x:row r="140">
      <x:c r="A140" s="47" t="n">
        <x:v>136</x:v>
      </x:c>
      <x:c r="B140" s="47" t="str">
        <x:v>Salvaged textile/webbing</x:v>
      </x:c>
      <x:c r="C140" s="47" t="str">
        <x:v>Salvage</x:v>
      </x:c>
      <x:c r="D140" s="47" t="str">
        <x:v>Source</x:v>
      </x:c>
      <x:c r="E140" s="47" t="str">
        <x:v>H0</x:v>
      </x:c>
      <x:c r="F140" s="47" t="str">
        <x:v>Recoverable/harvested resource</x:v>
      </x:c>
      <x:c r="G140" s="47" t="str">
        <x:v>Compressed family/assembly</x:v>
      </x:c>
      <x:c r="H140" s="49"/>
      <x:c r="I140" s="49"/>
    </x:row>
    <x:row r="141">
      <x:c r="A141" s="47" t="n">
        <x:v>137</x:v>
      </x:c>
      <x:c r="B141" s="47" t="str">
        <x:v>Multi-hazard safe sleeping cell</x:v>
      </x:c>
      <x:c r="C141" s="47" t="str">
        <x:v>Shelter</x:v>
      </x:c>
      <x:c r="D141" s="47" t="str">
        <x:v>Assembly</x:v>
      </x:c>
      <x:c r="E141" s="47" t="str">
        <x:v>H4</x:v>
      </x:c>
      <x:c r="F141" s="47" t="str">
        <x:v>Placeable/deployable assembly</x:v>
      </x:c>
      <x:c r="G141" s="47" t="str">
        <x:v>Governed node; variants not separated</x:v>
      </x:c>
      <x:c r="H141" s="49"/>
      <x:c r="I141" s="49"/>
    </x:row>
    <x:row r="142">
      <x:c r="A142" s="47" t="n">
        <x:v>138</x:v>
      </x:c>
      <x:c r="B142" s="47" t="str">
        <x:v>Oriented windbreak</x:v>
      </x:c>
      <x:c r="C142" s="47" t="str">
        <x:v>Shelter</x:v>
      </x:c>
      <x:c r="D142" s="47" t="str">
        <x:v>Assembly</x:v>
      </x:c>
      <x:c r="E142" s="47" t="str">
        <x:v>H1</x:v>
      </x:c>
      <x:c r="F142" s="47" t="str">
        <x:v>Placeable/deployable assembly</x:v>
      </x:c>
      <x:c r="G142" s="47" t="str">
        <x:v>Governed node; variants not separated</x:v>
      </x:c>
      <x:c r="H142" s="49"/>
      <x:c r="I142" s="49"/>
    </x:row>
    <x:row r="143">
      <x:c r="A143" s="47" t="n">
        <x:v>139</x:v>
      </x:c>
      <x:c r="B143" s="47" t="str">
        <x:v>Rain roof</x:v>
      </x:c>
      <x:c r="C143" s="47" t="str">
        <x:v>Shelter</x:v>
      </x:c>
      <x:c r="D143" s="47" t="str">
        <x:v>Assembly</x:v>
      </x:c>
      <x:c r="E143" s="47" t="str">
        <x:v>H1</x:v>
      </x:c>
      <x:c r="F143" s="47" t="str">
        <x:v>Placeable/deployable assembly</x:v>
      </x:c>
      <x:c r="G143" s="47" t="str">
        <x:v>Governed node; variants not separated</x:v>
      </x:c>
      <x:c r="H143" s="49"/>
      <x:c r="I143" s="49"/>
    </x:row>
    <x:row r="144">
      <x:c r="A144" s="47" t="n">
        <x:v>140</x:v>
      </x:c>
      <x:c r="B144" s="47" t="str">
        <x:v>Raised insulated sleep</x:v>
      </x:c>
      <x:c r="C144" s="47" t="str">
        <x:v>Shelter</x:v>
      </x:c>
      <x:c r="D144" s="47" t="str">
        <x:v>Assembly</x:v>
      </x:c>
      <x:c r="E144" s="47" t="str">
        <x:v>H2</x:v>
      </x:c>
      <x:c r="F144" s="47" t="str">
        <x:v>Placeable/deployable assembly</x:v>
      </x:c>
      <x:c r="G144" s="47" t="str">
        <x:v>Governed node; variants not separated</x:v>
      </x:c>
      <x:c r="H144" s="49"/>
      <x:c r="I144" s="49"/>
    </x:row>
    <x:row r="145">
      <x:c r="A145" s="47" t="n">
        <x:v>141</x:v>
      </x:c>
      <x:c r="B145" s="47" t="str">
        <x:v>Shelter drainage network</x:v>
      </x:c>
      <x:c r="C145" s="47" t="str">
        <x:v>Shelter</x:v>
      </x:c>
      <x:c r="D145" s="47" t="str">
        <x:v>Assembly</x:v>
      </x:c>
      <x:c r="E145" s="47" t="str">
        <x:v>H2</x:v>
      </x:c>
      <x:c r="F145" s="47" t="str">
        <x:v>Placeable/deployable assembly</x:v>
      </x:c>
      <x:c r="G145" s="47" t="str">
        <x:v>Compressed family/assembly</x:v>
      </x:c>
      <x:c r="H145" s="49"/>
      <x:c r="I145" s="49"/>
    </x:row>
    <x:row r="146">
      <x:c r="A146" s="47" t="n">
        <x:v>142</x:v>
      </x:c>
      <x:c r="B146" s="47" t="str">
        <x:v>Storm shutters/opening protection</x:v>
      </x:c>
      <x:c r="C146" s="47" t="str">
        <x:v>Shelter</x:v>
      </x:c>
      <x:c r="D146" s="47" t="str">
        <x:v>Assembly</x:v>
      </x:c>
      <x:c r="E146" s="47" t="str">
        <x:v>H3</x:v>
      </x:c>
      <x:c r="F146" s="47" t="str">
        <x:v>Placeable/deployable assembly</x:v>
      </x:c>
      <x:c r="G146" s="47" t="str">
        <x:v>Compressed family/assembly</x:v>
      </x:c>
      <x:c r="H146" s="49"/>
      <x:c r="I146" s="49"/>
    </x:row>
    <x:row r="147">
      <x:c r="A147" s="47" t="n">
        <x:v>143</x:v>
      </x:c>
      <x:c r="B147" s="47" t="str">
        <x:v>Truthful first refuge</x:v>
      </x:c>
      <x:c r="C147" s="47" t="str">
        <x:v>Shelter</x:v>
      </x:c>
      <x:c r="D147" s="47" t="str">
        <x:v>Assembly</x:v>
      </x:c>
      <x:c r="E147" s="47" t="str">
        <x:v>H2</x:v>
      </x:c>
      <x:c r="F147" s="47" t="str">
        <x:v>Placeable/deployable assembly</x:v>
      </x:c>
      <x:c r="G147" s="47" t="str">
        <x:v>Governed node; variants not separated</x:v>
      </x:c>
      <x:c r="H147" s="49"/>
      <x:c r="I147" s="49"/>
    </x:row>
    <x:row r="148">
      <x:c r="A148" s="47" t="n">
        <x:v>144</x:v>
      </x:c>
      <x:c r="B148" s="47" t="str">
        <x:v>Controlled ventilation/smoke path</x:v>
      </x:c>
      <x:c r="C148" s="47" t="str">
        <x:v>Shelter</x:v>
      </x:c>
      <x:c r="D148" s="47" t="str">
        <x:v>Endpoint</x:v>
      </x:c>
      <x:c r="E148" s="47" t="str">
        <x:v>H2</x:v>
      </x:c>
      <x:c r="F148" s="47" t="str">
        <x:v>Placeable system/capability</x:v>
      </x:c>
      <x:c r="G148" s="47" t="str">
        <x:v>Compressed family/assembly</x:v>
      </x:c>
      <x:c r="H148" s="49"/>
      <x:c r="I148" s="49"/>
    </x:row>
    <x:row r="149">
      <x:c r="A149" s="47" t="n">
        <x:v>145</x:v>
      </x:c>
      <x:c r="B149" s="47" t="str">
        <x:v>Hot-work/fire separation</x:v>
      </x:c>
      <x:c r="C149" s="47" t="str">
        <x:v>Shelter</x:v>
      </x:c>
      <x:c r="D149" s="47" t="str">
        <x:v>Endpoint</x:v>
      </x:c>
      <x:c r="E149" s="47" t="str">
        <x:v>H3</x:v>
      </x:c>
      <x:c r="F149" s="47" t="str">
        <x:v>Placeable system/capability</x:v>
      </x:c>
      <x:c r="G149" s="47" t="str">
        <x:v>Compressed family/assembly</x:v>
      </x:c>
      <x:c r="H149" s="49"/>
      <x:c r="I149" s="49"/>
    </x:row>
    <x:row r="150">
      <x:c r="A150" s="47" t="n">
        <x:v>146</x:v>
      </x:c>
      <x:c r="B150" s="47" t="str">
        <x:v>Protected storm reserve</x:v>
      </x:c>
      <x:c r="C150" s="47" t="str">
        <x:v>Shelter</x:v>
      </x:c>
      <x:c r="D150" s="47" t="str">
        <x:v>Endpoint</x:v>
      </x:c>
      <x:c r="E150" s="47" t="str">
        <x:v>H4</x:v>
      </x:c>
      <x:c r="F150" s="47" t="str">
        <x:v>Placeable system/capability</x:v>
      </x:c>
      <x:c r="G150" s="47" t="str">
        <x:v>Governed node; variants not separated</x:v>
      </x:c>
      <x:c r="H150" s="49"/>
      <x:c r="I150" s="49"/>
    </x:row>
    <x:row r="151">
      <x:c r="A151" s="47" t="n">
        <x:v>147</x:v>
      </x:c>
      <x:c r="B151" s="47" t="str">
        <x:v>Working home</x:v>
      </x:c>
      <x:c r="C151" s="47" t="str">
        <x:v>Shelter</x:v>
      </x:c>
      <x:c r="D151" s="47" t="str">
        <x:v>Endpoint</x:v>
      </x:c>
      <x:c r="E151" s="47" t="str">
        <x:v>H5</x:v>
      </x:c>
      <x:c r="F151" s="47" t="str">
        <x:v>Placeable system/capability</x:v>
      </x:c>
      <x:c r="G151" s="47" t="str">
        <x:v>Governed node; variants not separated</x:v>
      </x:c>
      <x:c r="H151" s="49"/>
      <x:c r="I151" s="49"/>
    </x:row>
    <x:row r="152">
      <x:c r="A152" s="47" t="n">
        <x:v>148</x:v>
      </x:c>
      <x:c r="B152" s="47" t="str">
        <x:v>Directional antenna</x:v>
      </x:c>
      <x:c r="C152" s="47" t="str">
        <x:v>Signal</x:v>
      </x:c>
      <x:c r="D152" s="47" t="str">
        <x:v>Assembly</x:v>
      </x:c>
      <x:c r="E152" s="47" t="str">
        <x:v>H5</x:v>
      </x:c>
      <x:c r="F152" s="47" t="str">
        <x:v>Placeable/deployable assembly</x:v>
      </x:c>
      <x:c r="G152" s="47" t="str">
        <x:v>Governed node; variants not separated</x:v>
      </x:c>
      <x:c r="H152" s="49"/>
      <x:c r="I152" s="49"/>
    </x:row>
    <x:row r="153">
      <x:c r="A153" s="47" t="n">
        <x:v>149</x:v>
      </x:c>
      <x:c r="B153" s="47" t="str">
        <x:v>Radio listening post</x:v>
      </x:c>
      <x:c r="C153" s="47" t="str">
        <x:v>Signal</x:v>
      </x:c>
      <x:c r="D153" s="47" t="str">
        <x:v>Assembly</x:v>
      </x:c>
      <x:c r="E153" s="47" t="str">
        <x:v>H4</x:v>
      </x:c>
      <x:c r="F153" s="47" t="str">
        <x:v>Placeable/deployable assembly</x:v>
      </x:c>
      <x:c r="G153" s="47" t="str">
        <x:v>Governed node; variants not separated</x:v>
      </x:c>
      <x:c r="H153" s="49"/>
      <x:c r="I153" s="49"/>
    </x:row>
    <x:row r="154">
      <x:c r="A154" s="47" t="n">
        <x:v>150</x:v>
      </x:c>
      <x:c r="B154" s="47" t="str">
        <x:v>Authenticated transmitter</x:v>
      </x:c>
      <x:c r="C154" s="47" t="str">
        <x:v>Signal</x:v>
      </x:c>
      <x:c r="D154" s="47" t="str">
        <x:v>Endpoint</x:v>
      </x:c>
      <x:c r="E154" s="47" t="str">
        <x:v>H6</x:v>
      </x:c>
      <x:c r="F154" s="47" t="str">
        <x:v>Placeable system/capability</x:v>
      </x:c>
      <x:c r="G154" s="47" t="str">
        <x:v>Governed node; variants not separated</x:v>
      </x:c>
      <x:c r="H154" s="49"/>
      <x:c r="I154" s="49"/>
    </x:row>
    <x:row r="155">
      <x:c r="A155" s="47" t="n">
        <x:v>151</x:v>
      </x:c>
      <x:c r="B155" s="47" t="str">
        <x:v>Dry cache/chest</x:v>
      </x:c>
      <x:c r="C155" s="47" t="str">
        <x:v>Storage</x:v>
      </x:c>
      <x:c r="D155" s="47" t="str">
        <x:v>Assembly</x:v>
      </x:c>
      <x:c r="E155" s="47" t="str">
        <x:v>H2</x:v>
      </x:c>
      <x:c r="F155" s="47" t="str">
        <x:v>Placeable/deployable assembly</x:v>
      </x:c>
      <x:c r="G155" s="47" t="str">
        <x:v>Compressed family/assembly</x:v>
      </x:c>
      <x:c r="H155" s="49"/>
      <x:c r="I155" s="49"/>
    </x:row>
    <x:row r="156">
      <x:c r="A156" s="47" t="n">
        <x:v>152</x:v>
      </x:c>
      <x:c r="B156" s="47" t="str">
        <x:v>Hand cordage</x:v>
      </x:c>
      <x:c r="C156" s="47" t="str">
        <x:v>Textile</x:v>
      </x:c>
      <x:c r="D156" s="47" t="str">
        <x:v>Processed</x:v>
      </x:c>
      <x:c r="E156" s="47" t="str">
        <x:v>H1</x:v>
      </x:c>
      <x:c r="F156" s="47" t="str">
        <x:v>Processed material/consumable</x:v>
      </x:c>
      <x:c r="G156" s="47" t="str">
        <x:v>Governed node; variants not separated</x:v>
      </x:c>
      <x:c r="H156" s="49"/>
      <x:c r="I156" s="49"/>
    </x:row>
    <x:row r="157">
      <x:c r="A157" s="47" t="n">
        <x:v>153</x:v>
      </x:c>
      <x:c r="B157" s="47" t="str">
        <x:v>Rated rope</x:v>
      </x:c>
      <x:c r="C157" s="47" t="str">
        <x:v>Textile</x:v>
      </x:c>
      <x:c r="D157" s="47" t="str">
        <x:v>Processed</x:v>
      </x:c>
      <x:c r="E157" s="47" t="str">
        <x:v>H2</x:v>
      </x:c>
      <x:c r="F157" s="47" t="str">
        <x:v>Processed material/consumable</x:v>
      </x:c>
      <x:c r="G157" s="47" t="str">
        <x:v>Governed node; variants not separated</x:v>
      </x:c>
      <x:c r="H157" s="49"/>
      <x:c r="I157" s="49"/>
    </x:row>
    <x:row r="158">
      <x:c r="A158" s="47" t="n">
        <x:v>154</x:v>
      </x:c>
      <x:c r="B158" s="47" t="str">
        <x:v>Woven mat/basket stock</x:v>
      </x:c>
      <x:c r="C158" s="47" t="str">
        <x:v>Textile</x:v>
      </x:c>
      <x:c r="D158" s="47" t="str">
        <x:v>Processed</x:v>
      </x:c>
      <x:c r="E158" s="47" t="str">
        <x:v>H1</x:v>
      </x:c>
      <x:c r="F158" s="47" t="str">
        <x:v>Processed material/consumable</x:v>
      </x:c>
      <x:c r="G158" s="47" t="str">
        <x:v>Compressed family/assembly</x:v>
      </x:c>
      <x:c r="H158" s="49"/>
      <x:c r="I158" s="49"/>
    </x:row>
    <x:row r="159">
      <x:c r="A159" s="47" t="n">
        <x:v>155</x:v>
      </x:c>
      <x:c r="B159" s="47" t="str">
        <x:v>Charcoal</x:v>
      </x:c>
      <x:c r="C159" s="47" t="str">
        <x:v>Thermal</x:v>
      </x:c>
      <x:c r="D159" s="47" t="str">
        <x:v>Processed</x:v>
      </x:c>
      <x:c r="E159" s="47" t="str">
        <x:v>H3</x:v>
      </x:c>
      <x:c r="F159" s="47" t="str">
        <x:v>Processed material/consumable</x:v>
      </x:c>
      <x:c r="G159" s="47" t="str">
        <x:v>Governed node; variants not separated</x:v>
      </x:c>
      <x:c r="H159" s="49"/>
      <x:c r="I159" s="49"/>
    </x:row>
    <x:row r="160">
      <x:c r="A160" s="47" t="n">
        <x:v>156</x:v>
      </x:c>
      <x:c r="B160" s="47" t="str">
        <x:v>Dry biomass fuel</x:v>
      </x:c>
      <x:c r="C160" s="47" t="str">
        <x:v>Thermal</x:v>
      </x:c>
      <x:c r="D160" s="47" t="str">
        <x:v>Source</x:v>
      </x:c>
      <x:c r="E160" s="47" t="str">
        <x:v>H0</x:v>
      </x:c>
      <x:c r="F160" s="47" t="str">
        <x:v>Recoverable/harvested resource</x:v>
      </x:c>
      <x:c r="G160" s="47" t="str">
        <x:v>Governed node; variants not separated</x:v>
      </x:c>
      <x:c r="H160" s="49"/>
      <x:c r="I160" s="49"/>
    </x:row>
    <x:row r="161">
      <x:c r="A161" s="47" t="n">
        <x:v>157</x:v>
      </x:c>
      <x:c r="B161" s="47" t="str">
        <x:v>Charcoal pit/retort</x:v>
      </x:c>
      <x:c r="C161" s="47" t="str">
        <x:v>Thermal</x:v>
      </x:c>
      <x:c r="D161" s="47" t="str">
        <x:v>Workspace</x:v>
      </x:c>
      <x:c r="E161" s="47" t="str">
        <x:v>H3</x:v>
      </x:c>
      <x:c r="F161" s="47" t="str">
        <x:v>Placeable workspace</x:v>
      </x:c>
      <x:c r="G161" s="47" t="str">
        <x:v>Compressed family/assembly</x:v>
      </x:c>
      <x:c r="H161" s="49"/>
      <x:c r="I161" s="49"/>
    </x:row>
    <x:row r="162">
      <x:c r="A162" s="47" t="n">
        <x:v>158</x:v>
      </x:c>
      <x:c r="B162" s="47" t="str">
        <x:v>Controlled hearth</x:v>
      </x:c>
      <x:c r="C162" s="47" t="str">
        <x:v>Thermal</x:v>
      </x:c>
      <x:c r="D162" s="47" t="str">
        <x:v>Workspace</x:v>
      </x:c>
      <x:c r="E162" s="47" t="str">
        <x:v>H2</x:v>
      </x:c>
      <x:c r="F162" s="47" t="str">
        <x:v>Placeable workspace</x:v>
      </x:c>
      <x:c r="G162" s="47" t="str">
        <x:v>Governed node; variants not separated</x:v>
      </x:c>
      <x:c r="H162" s="49"/>
      <x:c r="I162" s="49"/>
    </x:row>
    <x:row r="163">
      <x:c r="A163" s="47" t="n">
        <x:v>159</x:v>
      </x:c>
      <x:c r="B163" s="47" t="str">
        <x:v>Plank/board stock</x:v>
      </x:c>
      <x:c r="C163" s="47" t="str">
        <x:v>Timber</x:v>
      </x:c>
      <x:c r="D163" s="47" t="str">
        <x:v>Processed</x:v>
      </x:c>
      <x:c r="E163" s="47" t="str">
        <x:v>H3</x:v>
      </x:c>
      <x:c r="F163" s="47" t="str">
        <x:v>Processed material/consumable</x:v>
      </x:c>
      <x:c r="G163" s="47" t="str">
        <x:v>Compressed family/assembly</x:v>
      </x:c>
      <x:c r="H163" s="49"/>
      <x:c r="I163" s="49"/>
    </x:row>
    <x:row r="164">
      <x:c r="A164" s="47" t="n">
        <x:v>160</x:v>
      </x:c>
      <x:c r="B164" s="47" t="str">
        <x:v>Prepared pole/member</x:v>
      </x:c>
      <x:c r="C164" s="47" t="str">
        <x:v>Timber</x:v>
      </x:c>
      <x:c r="D164" s="47" t="str">
        <x:v>Processed</x:v>
      </x:c>
      <x:c r="E164" s="47" t="str">
        <x:v>H1</x:v>
      </x:c>
      <x:c r="F164" s="47" t="str">
        <x:v>Processed material/consumable</x:v>
      </x:c>
      <x:c r="G164" s="47" t="str">
        <x:v>Compressed family/assembly</x:v>
      </x:c>
      <x:c r="H164" s="49"/>
      <x:c r="I164" s="49"/>
    </x:row>
    <x:row r="165">
      <x:c r="A165" s="47" t="n">
        <x:v>161</x:v>
      </x:c>
      <x:c r="B165" s="47" t="str">
        <x:v>Second-Life stewardship ledger</x:v>
      </x:c>
      <x:c r="C165" s="47" t="str">
        <x:v>Time</x:v>
      </x:c>
      <x:c r="D165" s="47" t="str">
        <x:v>Assembly</x:v>
      </x:c>
      <x:c r="E165" s="47" t="str">
        <x:v>H3</x:v>
      </x:c>
      <x:c r="F165" s="47" t="str">
        <x:v>Placeable/deployable assembly</x:v>
      </x:c>
      <x:c r="G165" s="47" t="str">
        <x:v>Governed node; variants not separated</x:v>
      </x:c>
      <x:c r="H165" s="49"/>
      <x:c r="I165" s="49"/>
    </x:row>
    <x:row r="166">
      <x:c r="A166" s="47" t="n">
        <x:v>162</x:v>
      </x:c>
      <x:c r="B166" s="47" t="str">
        <x:v>Offline-safe proven routine</x:v>
      </x:c>
      <x:c r="C166" s="47" t="str">
        <x:v>Time</x:v>
      </x:c>
      <x:c r="D166" s="47" t="str">
        <x:v>Endpoint</x:v>
      </x:c>
      <x:c r="E166" s="47" t="str">
        <x:v>H4</x:v>
      </x:c>
      <x:c r="F166" s="47" t="str">
        <x:v>Placeable system/capability</x:v>
      </x:c>
      <x:c r="G166" s="47" t="str">
        <x:v>Governed node; variants not separated</x:v>
      </x:c>
      <x:c r="H166" s="49"/>
      <x:c r="I166" s="49"/>
    </x:row>
    <x:row r="167">
      <x:c r="A167" s="47" t="n">
        <x:v>163</x:v>
      </x:c>
      <x:c r="B167" s="47" t="str">
        <x:v>Sharp edge/point</x:v>
      </x:c>
      <x:c r="C167" s="47" t="str">
        <x:v>Tools</x:v>
      </x:c>
      <x:c r="D167" s="47" t="str">
        <x:v>Processed</x:v>
      </x:c>
      <x:c r="E167" s="47" t="str">
        <x:v>H0</x:v>
      </x:c>
      <x:c r="F167" s="47" t="str">
        <x:v>Processed material/consumable</x:v>
      </x:c>
      <x:c r="G167" s="47" t="str">
        <x:v>Compressed family/assembly</x:v>
      </x:c>
      <x:c r="H167" s="49"/>
      <x:c r="I167" s="49"/>
    </x:row>
    <x:row r="168">
      <x:c r="A168" s="47" t="n">
        <x:v>164</x:v>
      </x:c>
      <x:c r="B168" s="47" t="str">
        <x:v>Adze/hewing tool</x:v>
      </x:c>
      <x:c r="C168" s="47" t="str">
        <x:v>Tools</x:v>
      </x:c>
      <x:c r="D168" s="47" t="str">
        <x:v>Tool</x:v>
      </x:c>
      <x:c r="E168" s="47" t="str">
        <x:v>H3</x:v>
      </x:c>
      <x:c r="F168" s="47" t="str">
        <x:v>Carryable tool/equipment</x:v>
      </x:c>
      <x:c r="G168" s="47" t="str">
        <x:v>Compressed family/assembly</x:v>
      </x:c>
      <x:c r="H168" s="49"/>
      <x:c r="I168" s="49"/>
    </x:row>
    <x:row r="169">
      <x:c r="A169" s="47" t="n">
        <x:v>165</x:v>
      </x:c>
      <x:c r="B169" s="47" t="str">
        <x:v>Awl/piercer</x:v>
      </x:c>
      <x:c r="C169" s="47" t="str">
        <x:v>Tools</x:v>
      </x:c>
      <x:c r="D169" s="47" t="str">
        <x:v>Tool</x:v>
      </x:c>
      <x:c r="E169" s="47" t="str">
        <x:v>H1</x:v>
      </x:c>
      <x:c r="F169" s="47" t="str">
        <x:v>Carryable tool/equipment</x:v>
      </x:c>
      <x:c r="G169" s="47" t="str">
        <x:v>Compressed family/assembly</x:v>
      </x:c>
      <x:c r="H169" s="49"/>
      <x:c r="I169" s="49"/>
    </x:row>
    <x:row r="170">
      <x:c r="A170" s="47" t="n">
        <x:v>166</x:v>
      </x:c>
      <x:c r="B170" s="47" t="str">
        <x:v>Bow/hand drill</x:v>
      </x:c>
      <x:c r="C170" s="47" t="str">
        <x:v>Tools</x:v>
      </x:c>
      <x:c r="D170" s="47" t="str">
        <x:v>Tool</x:v>
      </x:c>
      <x:c r="E170" s="47" t="str">
        <x:v>H2</x:v>
      </x:c>
      <x:c r="F170" s="47" t="str">
        <x:v>Carryable tool/equipment</x:v>
      </x:c>
      <x:c r="G170" s="47" t="str">
        <x:v>Compressed family/assembly</x:v>
      </x:c>
      <x:c r="H170" s="49"/>
      <x:c r="I170" s="49"/>
    </x:row>
    <x:row r="171">
      <x:c r="A171" s="47" t="n">
        <x:v>167</x:v>
      </x:c>
      <x:c r="B171" s="47" t="str">
        <x:v>Brace/drill and bits</x:v>
      </x:c>
      <x:c r="C171" s="47" t="str">
        <x:v>Tools</x:v>
      </x:c>
      <x:c r="D171" s="47" t="str">
        <x:v>Tool</x:v>
      </x:c>
      <x:c r="E171" s="47" t="str">
        <x:v>H4</x:v>
      </x:c>
      <x:c r="F171" s="47" t="str">
        <x:v>Carryable tool/equipment</x:v>
      </x:c>
      <x:c r="G171" s="47" t="str">
        <x:v>Compressed family/assembly</x:v>
      </x:c>
      <x:c r="H171" s="49"/>
      <x:c r="I171" s="49"/>
    </x:row>
    <x:row r="172">
      <x:c r="A172" s="47" t="n">
        <x:v>168</x:v>
      </x:c>
      <x:c r="B172" s="47" t="str">
        <x:v>Chisel/wedge set</x:v>
      </x:c>
      <x:c r="C172" s="47" t="str">
        <x:v>Tools</x:v>
      </x:c>
      <x:c r="D172" s="47" t="str">
        <x:v>Tool</x:v>
      </x:c>
      <x:c r="E172" s="47" t="str">
        <x:v>H3</x:v>
      </x:c>
      <x:c r="F172" s="47" t="str">
        <x:v>Carryable tool/equipment</x:v>
      </x:c>
      <x:c r="G172" s="47" t="str">
        <x:v>Compressed family/assembly</x:v>
      </x:c>
      <x:c r="H172" s="49"/>
      <x:c r="I172" s="49"/>
    </x:row>
    <x:row r="173">
      <x:c r="A173" s="47" t="n">
        <x:v>169</x:v>
      </x:c>
      <x:c r="B173" s="47" t="str">
        <x:v>Clamp/vice/jig</x:v>
      </x:c>
      <x:c r="C173" s="47" t="str">
        <x:v>Tools</x:v>
      </x:c>
      <x:c r="D173" s="47" t="str">
        <x:v>Tool</x:v>
      </x:c>
      <x:c r="E173" s="47" t="str">
        <x:v>H3</x:v>
      </x:c>
      <x:c r="F173" s="47" t="str">
        <x:v>Carryable tool/equipment</x:v>
      </x:c>
      <x:c r="G173" s="47" t="str">
        <x:v>Compressed family/assembly</x:v>
      </x:c>
      <x:c r="H173" s="49"/>
      <x:c r="I173" s="49"/>
    </x:row>
    <x:row r="174">
      <x:c r="A174" s="47" t="n">
        <x:v>170</x:v>
      </x:c>
      <x:c r="B174" s="47" t="str">
        <x:v>Digging stick/scoop</x:v>
      </x:c>
      <x:c r="C174" s="47" t="str">
        <x:v>Tools</x:v>
      </x:c>
      <x:c r="D174" s="47" t="str">
        <x:v>Tool</x:v>
      </x:c>
      <x:c r="E174" s="47" t="str">
        <x:v>H1</x:v>
      </x:c>
      <x:c r="F174" s="47" t="str">
        <x:v>Carryable tool/equipment</x:v>
      </x:c>
      <x:c r="G174" s="47" t="str">
        <x:v>Compressed family/assembly</x:v>
      </x:c>
      <x:c r="H174" s="49"/>
      <x:c r="I174" s="49"/>
    </x:row>
    <x:row r="175">
      <x:c r="A175" s="47" t="n">
        <x:v>171</x:v>
      </x:c>
      <x:c r="B175" s="47" t="str">
        <x:v>Electrical test meter</x:v>
      </x:c>
      <x:c r="C175" s="47" t="str">
        <x:v>Tools</x:v>
      </x:c>
      <x:c r="D175" s="47" t="str">
        <x:v>Tool</x:v>
      </x:c>
      <x:c r="E175" s="47" t="str">
        <x:v>H5</x:v>
      </x:c>
      <x:c r="F175" s="47" t="str">
        <x:v>Carryable tool/equipment</x:v>
      </x:c>
      <x:c r="G175" s="47" t="str">
        <x:v>Governed node; variants not separated</x:v>
      </x:c>
      <x:c r="H175" s="49"/>
      <x:c r="I175" s="49"/>
    </x:row>
    <x:row r="176">
      <x:c r="A176" s="47" t="n">
        <x:v>172</x:v>
      </x:c>
      <x:c r="B176" s="47" t="str">
        <x:v>File/abrasive tool</x:v>
      </x:c>
      <x:c r="C176" s="47" t="str">
        <x:v>Tools</x:v>
      </x:c>
      <x:c r="D176" s="47" t="str">
        <x:v>Tool</x:v>
      </x:c>
      <x:c r="E176" s="47" t="str">
        <x:v>H3</x:v>
      </x:c>
      <x:c r="F176" s="47" t="str">
        <x:v>Carryable tool/equipment</x:v>
      </x:c>
      <x:c r="G176" s="47" t="str">
        <x:v>Compressed family/assembly</x:v>
      </x:c>
      <x:c r="H176" s="49"/>
      <x:c r="I176" s="49"/>
    </x:row>
    <x:row r="177">
      <x:c r="A177" s="47" t="n">
        <x:v>173</x:v>
      </x:c>
      <x:c r="B177" s="47" t="str">
        <x:v>Fitted metal hammer</x:v>
      </x:c>
      <x:c r="C177" s="47" t="str">
        <x:v>Tools</x:v>
      </x:c>
      <x:c r="D177" s="47" t="str">
        <x:v>Tool</x:v>
      </x:c>
      <x:c r="E177" s="47" t="str">
        <x:v>H4</x:v>
      </x:c>
      <x:c r="F177" s="47" t="str">
        <x:v>Carryable tool/equipment</x:v>
      </x:c>
      <x:c r="G177" s="47" t="str">
        <x:v>Governed node; variants not separated</x:v>
      </x:c>
      <x:c r="H177" s="49"/>
      <x:c r="I177" s="49"/>
    </x:row>
    <x:row r="178">
      <x:c r="A178" s="47" t="n">
        <x:v>174</x:v>
      </x:c>
      <x:c r="B178" s="47" t="str">
        <x:v>Fitted shovel/mattock</x:v>
      </x:c>
      <x:c r="C178" s="47" t="str">
        <x:v>Tools</x:v>
      </x:c>
      <x:c r="D178" s="47" t="str">
        <x:v>Tool</x:v>
      </x:c>
      <x:c r="E178" s="47" t="str">
        <x:v>H3</x:v>
      </x:c>
      <x:c r="F178" s="47" t="str">
        <x:v>Carryable tool/equipment</x:v>
      </x:c>
      <x:c r="G178" s="47" t="str">
        <x:v>Compressed family/assembly</x:v>
      </x:c>
      <x:c r="H178" s="49"/>
      <x:c r="I178" s="49"/>
    </x:row>
    <x:row r="179">
      <x:c r="A179" s="47" t="n">
        <x:v>175</x:v>
      </x:c>
      <x:c r="B179" s="47" t="str">
        <x:v>Hammer stone</x:v>
      </x:c>
      <x:c r="C179" s="47" t="str">
        <x:v>Tools</x:v>
      </x:c>
      <x:c r="D179" s="47" t="str">
        <x:v>Tool</x:v>
      </x:c>
      <x:c r="E179" s="47" t="str">
        <x:v>H0</x:v>
      </x:c>
      <x:c r="F179" s="47" t="str">
        <x:v>Carryable tool/equipment</x:v>
      </x:c>
      <x:c r="G179" s="47" t="str">
        <x:v>Governed node; variants not separated</x:v>
      </x:c>
      <x:c r="H179" s="49"/>
      <x:c r="I179" s="49"/>
    </x:row>
    <x:row r="180">
      <x:c r="A180" s="47" t="n">
        <x:v>176</x:v>
      </x:c>
      <x:c r="B180" s="47" t="str">
        <x:v>Handled chopping tool</x:v>
      </x:c>
      <x:c r="C180" s="47" t="str">
        <x:v>Tools</x:v>
      </x:c>
      <x:c r="D180" s="47" t="str">
        <x:v>Tool</x:v>
      </x:c>
      <x:c r="E180" s="47" t="str">
        <x:v>H2</x:v>
      </x:c>
      <x:c r="F180" s="47" t="str">
        <x:v>Carryable tool/equipment</x:v>
      </x:c>
      <x:c r="G180" s="47" t="str">
        <x:v>Governed node; variants not separated</x:v>
      </x:c>
      <x:c r="H180" s="49"/>
      <x:c r="I180" s="49"/>
    </x:row>
    <x:row r="181">
      <x:c r="A181" s="47" t="n">
        <x:v>177</x:v>
      </x:c>
      <x:c r="B181" s="47" t="str">
        <x:v>Hoe/cultivation tool</x:v>
      </x:c>
      <x:c r="C181" s="47" t="str">
        <x:v>Tools</x:v>
      </x:c>
      <x:c r="D181" s="47" t="str">
        <x:v>Tool</x:v>
      </x:c>
      <x:c r="E181" s="47" t="str">
        <x:v>H1</x:v>
      </x:c>
      <x:c r="F181" s="47" t="str">
        <x:v>Carryable tool/equipment</x:v>
      </x:c>
      <x:c r="G181" s="47" t="str">
        <x:v>Compressed family/assembly</x:v>
      </x:c>
      <x:c r="H181" s="49"/>
      <x:c r="I181" s="49"/>
    </x:row>
    <x:row r="182">
      <x:c r="A182" s="47" t="n">
        <x:v>178</x:v>
      </x:c>
      <x:c r="B182" s="47" t="str">
        <x:v>Marked cord/gauge/level</x:v>
      </x:c>
      <x:c r="C182" s="47" t="str">
        <x:v>Tools</x:v>
      </x:c>
      <x:c r="D182" s="47" t="str">
        <x:v>Tool</x:v>
      </x:c>
      <x:c r="E182" s="47" t="str">
        <x:v>H2</x:v>
      </x:c>
      <x:c r="F182" s="47" t="str">
        <x:v>Carryable tool/equipment</x:v>
      </x:c>
      <x:c r="G182" s="47" t="str">
        <x:v>Compressed family/assembly</x:v>
      </x:c>
      <x:c r="H182" s="49"/>
      <x:c r="I182" s="49"/>
    </x:row>
    <x:row r="183">
      <x:c r="A183" s="47" t="n">
        <x:v>179</x:v>
      </x:c>
      <x:c r="B183" s="47" t="str">
        <x:v>Needle/sewing set</x:v>
      </x:c>
      <x:c r="C183" s="47" t="str">
        <x:v>Tools</x:v>
      </x:c>
      <x:c r="D183" s="47" t="str">
        <x:v>Tool</x:v>
      </x:c>
      <x:c r="E183" s="47" t="str">
        <x:v>H2</x:v>
      </x:c>
      <x:c r="F183" s="47" t="str">
        <x:v>Carryable tool/equipment</x:v>
      </x:c>
      <x:c r="G183" s="47" t="str">
        <x:v>Compressed family/assembly</x:v>
      </x:c>
      <x:c r="H183" s="49"/>
      <x:c r="I183" s="49"/>
    </x:row>
    <x:row r="184">
      <x:c r="A184" s="47" t="n">
        <x:v>180</x:v>
      </x:c>
      <x:c r="B184" s="47" t="str">
        <x:v>Pry bar/leverage tool</x:v>
      </x:c>
      <x:c r="C184" s="47" t="str">
        <x:v>Tools</x:v>
      </x:c>
      <x:c r="D184" s="47" t="str">
        <x:v>Tool</x:v>
      </x:c>
      <x:c r="E184" s="47" t="str">
        <x:v>H3</x:v>
      </x:c>
      <x:c r="F184" s="47" t="str">
        <x:v>Carryable tool/equipment</x:v>
      </x:c>
      <x:c r="G184" s="47" t="str">
        <x:v>Compressed family/assembly</x:v>
      </x:c>
      <x:c r="H184" s="49"/>
      <x:c r="I184" s="49"/>
    </x:row>
    <x:row r="185">
      <x:c r="A185" s="47" t="n">
        <x:v>181</x:v>
      </x:c>
      <x:c r="B185" s="47" t="str">
        <x:v>Punch/rivet set</x:v>
      </x:c>
      <x:c r="C185" s="47" t="str">
        <x:v>Tools</x:v>
      </x:c>
      <x:c r="D185" s="47" t="str">
        <x:v>Tool</x:v>
      </x:c>
      <x:c r="E185" s="47" t="str">
        <x:v>H4</x:v>
      </x:c>
      <x:c r="F185" s="47" t="str">
        <x:v>Carryable tool/equipment</x:v>
      </x:c>
      <x:c r="G185" s="47" t="str">
        <x:v>Compressed family/assembly</x:v>
      </x:c>
      <x:c r="H185" s="49"/>
      <x:c r="I185" s="49"/>
    </x:row>
    <x:row r="186">
      <x:c r="A186" s="47" t="n">
        <x:v>182</x:v>
      </x:c>
      <x:c r="B186" s="47" t="str">
        <x:v>Saw/hacksaw route</x:v>
      </x:c>
      <x:c r="C186" s="47" t="str">
        <x:v>Tools</x:v>
      </x:c>
      <x:c r="D186" s="47" t="str">
        <x:v>Tool</x:v>
      </x:c>
      <x:c r="E186" s="47" t="str">
        <x:v>H4</x:v>
      </x:c>
      <x:c r="F186" s="47" t="str">
        <x:v>Carryable tool/equipment</x:v>
      </x:c>
      <x:c r="G186" s="47" t="str">
        <x:v>Compressed family/assembly</x:v>
      </x:c>
      <x:c r="H186" s="49"/>
      <x:c r="I186" s="49"/>
    </x:row>
    <x:row r="187">
      <x:c r="A187" s="47" t="n">
        <x:v>183</x:v>
      </x:c>
      <x:c r="B187" s="47" t="str">
        <x:v>Sheet cutting tool</x:v>
      </x:c>
      <x:c r="C187" s="47" t="str">
        <x:v>Tools</x:v>
      </x:c>
      <x:c r="D187" s="47" t="str">
        <x:v>Tool</x:v>
      </x:c>
      <x:c r="E187" s="47" t="str">
        <x:v>H4</x:v>
      </x:c>
      <x:c r="F187" s="47" t="str">
        <x:v>Carryable tool/equipment</x:v>
      </x:c>
      <x:c r="G187" s="47" t="str">
        <x:v>Governed node; variants not separated</x:v>
      </x:c>
      <x:c r="H187" s="49"/>
      <x:c r="I187" s="49"/>
    </x:row>
    <x:row r="188">
      <x:c r="A188" s="47" t="n">
        <x:v>184</x:v>
      </x:c>
      <x:c r="B188" s="47" t="str">
        <x:v>Stone hand cutter</x:v>
      </x:c>
      <x:c r="C188" s="47" t="str">
        <x:v>Tools</x:v>
      </x:c>
      <x:c r="D188" s="47" t="str">
        <x:v>Tool</x:v>
      </x:c>
      <x:c r="E188" s="47" t="str">
        <x:v>H0</x:v>
      </x:c>
      <x:c r="F188" s="47" t="str">
        <x:v>Carryable tool/equipment</x:v>
      </x:c>
      <x:c r="G188" s="47" t="str">
        <x:v>Governed node; variants not separated</x:v>
      </x:c>
      <x:c r="H188" s="49"/>
      <x:c r="I188" s="49"/>
    </x:row>
    <x:row r="189">
      <x:c r="A189" s="47" t="n">
        <x:v>185</x:v>
      </x:c>
      <x:c r="B189" s="47" t="str">
        <x:v>Tongs/gripping tool</x:v>
      </x:c>
      <x:c r="C189" s="47" t="str">
        <x:v>Tools</x:v>
      </x:c>
      <x:c r="D189" s="47" t="str">
        <x:v>Tool</x:v>
      </x:c>
      <x:c r="E189" s="47" t="str">
        <x:v>H3</x:v>
      </x:c>
      <x:c r="F189" s="47" t="str">
        <x:v>Carryable tool/equipment</x:v>
      </x:c>
      <x:c r="G189" s="47" t="str">
        <x:v>Compressed family/assembly</x:v>
      </x:c>
      <x:c r="H189" s="49"/>
      <x:c r="I189" s="49"/>
    </x:row>
    <x:row r="190">
      <x:c r="A190" s="47" t="n">
        <x:v>186</x:v>
      </x:c>
      <x:c r="B190" s="47" t="str">
        <x:v>Wood/stone mallet</x:v>
      </x:c>
      <x:c r="C190" s="47" t="str">
        <x:v>Tools</x:v>
      </x:c>
      <x:c r="D190" s="47" t="str">
        <x:v>Tool</x:v>
      </x:c>
      <x:c r="E190" s="47" t="str">
        <x:v>H1</x:v>
      </x:c>
      <x:c r="F190" s="47" t="str">
        <x:v>Carryable tool/equipment</x:v>
      </x:c>
      <x:c r="G190" s="47" t="str">
        <x:v>Compressed family/assembly</x:v>
      </x:c>
      <x:c r="H190" s="49"/>
      <x:c r="I190" s="49"/>
    </x:row>
    <x:row r="191">
      <x:c r="A191" s="47" t="n">
        <x:v>187</x:v>
      </x:c>
      <x:c r="B191" s="47" t="str">
        <x:v>Covered cistern</x:v>
      </x:c>
      <x:c r="C191" s="47" t="str">
        <x:v>Water</x:v>
      </x:c>
      <x:c r="D191" s="47" t="str">
        <x:v>Assembly</x:v>
      </x:c>
      <x:c r="E191" s="47" t="str">
        <x:v>H4</x:v>
      </x:c>
      <x:c r="F191" s="47" t="str">
        <x:v>Placeable/deployable assembly</x:v>
      </x:c>
      <x:c r="G191" s="47" t="str">
        <x:v>Governed node; variants not separated</x:v>
      </x:c>
      <x:c r="H191" s="49"/>
      <x:c r="I191" s="49"/>
    </x:row>
    <x:row r="192">
      <x:c r="A192" s="47" t="n">
        <x:v>188</x:v>
      </x:c>
      <x:c r="B192" s="47" t="str">
        <x:v>Covered water reserve</x:v>
      </x:c>
      <x:c r="C192" s="47" t="str">
        <x:v>Water</x:v>
      </x:c>
      <x:c r="D192" s="47" t="str">
        <x:v>Assembly</x:v>
      </x:c>
      <x:c r="E192" s="47" t="str">
        <x:v>H2</x:v>
      </x:c>
      <x:c r="F192" s="47" t="str">
        <x:v>Placeable/deployable assembly</x:v>
      </x:c>
      <x:c r="G192" s="47" t="str">
        <x:v>Governed node; variants not separated</x:v>
      </x:c>
      <x:c r="H192" s="49"/>
      <x:c r="I192" s="49"/>
    </x:row>
    <x:row r="193">
      <x:c r="A193" s="47" t="n">
        <x:v>189</x:v>
      </x:c>
      <x:c r="B193" s="47" t="str">
        <x:v>Distiller/desalinator</x:v>
      </x:c>
      <x:c r="C193" s="47" t="str">
        <x:v>Water</x:v>
      </x:c>
      <x:c r="D193" s="47" t="str">
        <x:v>Assembly</x:v>
      </x:c>
      <x:c r="E193" s="47" t="str">
        <x:v>H5</x:v>
      </x:c>
      <x:c r="F193" s="47" t="str">
        <x:v>Placeable/deployable assembly</x:v>
      </x:c>
      <x:c r="G193" s="47" t="str">
        <x:v>Compressed family/assembly</x:v>
      </x:c>
      <x:c r="H193" s="49"/>
      <x:c r="I193" s="49"/>
    </x:row>
    <x:row r="194">
      <x:c r="A194" s="47" t="n">
        <x:v>190</x:v>
      </x:c>
      <x:c r="B194" s="47" t="str">
        <x:v>First-flush diverter</x:v>
      </x:c>
      <x:c r="C194" s="47" t="str">
        <x:v>Water</x:v>
      </x:c>
      <x:c r="D194" s="47" t="str">
        <x:v>Assembly</x:v>
      </x:c>
      <x:c r="E194" s="47" t="str">
        <x:v>H4</x:v>
      </x:c>
      <x:c r="F194" s="47" t="str">
        <x:v>Placeable/deployable assembly</x:v>
      </x:c>
      <x:c r="G194" s="47" t="str">
        <x:v>Governed node; variants not separated</x:v>
      </x:c>
      <x:c r="H194" s="49"/>
      <x:c r="I194" s="49"/>
    </x:row>
    <x:row r="195">
      <x:c r="A195" s="47" t="n">
        <x:v>191</x:v>
      </x:c>
      <x:c r="B195" s="47" t="str">
        <x:v>Hand pump</x:v>
      </x:c>
      <x:c r="C195" s="47" t="str">
        <x:v>Water</x:v>
      </x:c>
      <x:c r="D195" s="47" t="str">
        <x:v>Assembly</x:v>
      </x:c>
      <x:c r="E195" s="47" t="str">
        <x:v>H5</x:v>
      </x:c>
      <x:c r="F195" s="47" t="str">
        <x:v>Placeable/deployable assembly</x:v>
      </x:c>
      <x:c r="G195" s="47" t="str">
        <x:v>Governed node; variants not separated</x:v>
      </x:c>
      <x:c r="H195" s="49"/>
      <x:c r="I195" s="49"/>
    </x:row>
    <x:row r="196">
      <x:c r="A196" s="47" t="n">
        <x:v>192</x:v>
      </x:c>
      <x:c r="B196" s="47" t="str">
        <x:v>Pipe/hose line</x:v>
      </x:c>
      <x:c r="C196" s="47" t="str">
        <x:v>Water</x:v>
      </x:c>
      <x:c r="D196" s="47" t="str">
        <x:v>Assembly</x:v>
      </x:c>
      <x:c r="E196" s="47" t="str">
        <x:v>H4</x:v>
      </x:c>
      <x:c r="F196" s="47" t="str">
        <x:v>Placeable/deployable assembly</x:v>
      </x:c>
      <x:c r="G196" s="47" t="str">
        <x:v>Compressed family/assembly</x:v>
      </x:c>
      <x:c r="H196" s="49"/>
      <x:c r="I196" s="49"/>
    </x:row>
    <x:row r="197">
      <x:c r="A197" s="47" t="n">
        <x:v>193</x:v>
      </x:c>
      <x:c r="B197" s="47" t="str">
        <x:v>Qualified treatment train</x:v>
      </x:c>
      <x:c r="C197" s="47" t="str">
        <x:v>Water</x:v>
      </x:c>
      <x:c r="D197" s="47" t="str">
        <x:v>Assembly</x:v>
      </x:c>
      <x:c r="E197" s="47" t="str">
        <x:v>H4</x:v>
      </x:c>
      <x:c r="F197" s="47" t="str">
        <x:v>Placeable/deployable assembly</x:v>
      </x:c>
      <x:c r="G197" s="47" t="str">
        <x:v>Governed node; variants not separated</x:v>
      </x:c>
      <x:c r="H197" s="49"/>
      <x:c r="I197" s="49"/>
    </x:row>
    <x:row r="198">
      <x:c r="A198" s="47" t="n">
        <x:v>194</x:v>
      </x:c>
      <x:c r="B198" s="47" t="str">
        <x:v>Rain gutter/channel</x:v>
      </x:c>
      <x:c r="C198" s="47" t="str">
        <x:v>Water</x:v>
      </x:c>
      <x:c r="D198" s="47" t="str">
        <x:v>Assembly</x:v>
      </x:c>
      <x:c r="E198" s="47" t="str">
        <x:v>H3</x:v>
      </x:c>
      <x:c r="F198" s="47" t="str">
        <x:v>Placeable/deployable assembly</x:v>
      </x:c>
      <x:c r="G198" s="47" t="str">
        <x:v>Compressed family/assembly</x:v>
      </x:c>
      <x:c r="H198" s="49"/>
      <x:c r="I198" s="49"/>
    </x:row>
    <x:row r="199">
      <x:c r="A199" s="47" t="n">
        <x:v>195</x:v>
      </x:c>
      <x:c r="B199" s="47" t="str">
        <x:v>Shutoff valve</x:v>
      </x:c>
      <x:c r="C199" s="47" t="str">
        <x:v>Water</x:v>
      </x:c>
      <x:c r="D199" s="47" t="str">
        <x:v>Assembly</x:v>
      </x:c>
      <x:c r="E199" s="47" t="str">
        <x:v>H5</x:v>
      </x:c>
      <x:c r="F199" s="47" t="str">
        <x:v>Placeable/deployable assembly</x:v>
      </x:c>
      <x:c r="G199" s="47" t="str">
        <x:v>Governed node; variants not separated</x:v>
      </x:c>
      <x:c r="H199" s="49"/>
      <x:c r="I199" s="49"/>
    </x:row>
    <x:row r="200">
      <x:c r="A200" s="47" t="n">
        <x:v>196</x:v>
      </x:c>
      <x:c r="B200" s="47" t="str">
        <x:v>Coconut emergency boiler</x:v>
      </x:c>
      <x:c r="C200" s="47" t="str">
        <x:v>Water</x:v>
      </x:c>
      <x:c r="D200" s="47" t="str">
        <x:v>Container</x:v>
      </x:c>
      <x:c r="E200" s="47" t="str">
        <x:v>H2</x:v>
      </x:c>
      <x:c r="F200" s="47" t="str">
        <x:v>Carryable container</x:v>
      </x:c>
      <x:c r="G200" s="47" t="str">
        <x:v>Governed node; variants not separated</x:v>
      </x:c>
      <x:c r="H200" s="49"/>
      <x:c r="I200" s="49"/>
    </x:row>
    <x:row r="201">
      <x:c r="A201" s="47" t="n">
        <x:v>197</x:v>
      </x:c>
      <x:c r="B201" s="47" t="str">
        <x:v>Coconut shell cup</x:v>
      </x:c>
      <x:c r="C201" s="47" t="str">
        <x:v>Water</x:v>
      </x:c>
      <x:c r="D201" s="47" t="str">
        <x:v>Container</x:v>
      </x:c>
      <x:c r="E201" s="47" t="str">
        <x:v>H1</x:v>
      </x:c>
      <x:c r="F201" s="47" t="str">
        <x:v>Carryable container</x:v>
      </x:c>
      <x:c r="G201" s="47" t="str">
        <x:v>Governed node; variants not separated</x:v>
      </x:c>
      <x:c r="H201" s="49"/>
      <x:c r="I201" s="49"/>
    </x:row>
    <x:row r="202">
      <x:c r="A202" s="47" t="n">
        <x:v>198</x:v>
      </x:c>
      <x:c r="B202" s="47" t="str">
        <x:v>Fired clay pot</x:v>
      </x:c>
      <x:c r="C202" s="47" t="str">
        <x:v>Water</x:v>
      </x:c>
      <x:c r="D202" s="47" t="str">
        <x:v>Container</x:v>
      </x:c>
      <x:c r="E202" s="47" t="str">
        <x:v>H4</x:v>
      </x:c>
      <x:c r="F202" s="47" t="str">
        <x:v>Carryable container</x:v>
      </x:c>
      <x:c r="G202" s="47" t="str">
        <x:v>Governed node; variants not separated</x:v>
      </x:c>
      <x:c r="H202" s="49"/>
      <x:c r="I202" s="49"/>
    </x:row>
    <x:row r="203">
      <x:c r="A203" s="47" t="n">
        <x:v>199</x:v>
      </x:c>
      <x:c r="B203" s="47" t="str">
        <x:v>Organic/hide water pouch</x:v>
      </x:c>
      <x:c r="C203" s="47" t="str">
        <x:v>Water</x:v>
      </x:c>
      <x:c r="D203" s="47" t="str">
        <x:v>Container</x:v>
      </x:c>
      <x:c r="E203" s="47" t="str">
        <x:v>H2</x:v>
      </x:c>
      <x:c r="F203" s="47" t="str">
        <x:v>Carryable container</x:v>
      </x:c>
      <x:c r="G203" s="47" t="str">
        <x:v>Compressed family/assembly</x:v>
      </x:c>
      <x:c r="H203" s="49"/>
      <x:c r="I203" s="49"/>
    </x:row>
    <x:row r="204">
      <x:c r="A204" s="47" t="n">
        <x:v>200</x:v>
      </x:c>
      <x:c r="B204" s="47" t="str">
        <x:v>Qualified aluminum boiling vessel</x:v>
      </x:c>
      <x:c r="C204" s="47" t="str">
        <x:v>Water</x:v>
      </x:c>
      <x:c r="D204" s="47" t="str">
        <x:v>Container</x:v>
      </x:c>
      <x:c r="E204" s="47" t="str">
        <x:v>H5</x:v>
      </x:c>
      <x:c r="F204" s="47" t="str">
        <x:v>Carryable container</x:v>
      </x:c>
      <x:c r="G204" s="47" t="str">
        <x:v>Governed node; variants not separated</x:v>
      </x:c>
      <x:c r="H204" s="49"/>
      <x:c r="I204" s="49"/>
    </x:row>
    <x:row r="205">
      <x:c r="A205" s="47" t="n">
        <x:v>201</x:v>
      </x:c>
      <x:c r="B205" s="47" t="str">
        <x:v>Qualified found pan</x:v>
      </x:c>
      <x:c r="C205" s="47" t="str">
        <x:v>Water</x:v>
      </x:c>
      <x:c r="D205" s="47" t="str">
        <x:v>Container</x:v>
      </x:c>
      <x:c r="E205" s="47" t="str">
        <x:v>H2</x:v>
      </x:c>
      <x:c r="F205" s="47" t="str">
        <x:v>Carryable container</x:v>
      </x:c>
      <x:c r="G205" s="47" t="str">
        <x:v>Governed node; variants not separated</x:v>
      </x:c>
      <x:c r="H205" s="49"/>
      <x:c r="I205" s="49"/>
    </x:row>
    <x:row r="206">
      <x:c r="A206" s="47" t="n">
        <x:v>202</x:v>
      </x:c>
      <x:c r="B206" s="47" t="str">
        <x:v>Controlled irrigation network</x:v>
      </x:c>
      <x:c r="C206" s="47" t="str">
        <x:v>Water</x:v>
      </x:c>
      <x:c r="D206" s="47" t="str">
        <x:v>Endpoint</x:v>
      </x:c>
      <x:c r="E206" s="47" t="str">
        <x:v>H3</x:v>
      </x:c>
      <x:c r="F206" s="47" t="str">
        <x:v>Placeable system/capability</x:v>
      </x:c>
      <x:c r="G206" s="47" t="str">
        <x:v>Compressed family/assembly</x:v>
      </x:c>
      <x:c r="H206" s="49"/>
      <x:c r="I206" s="49"/>
    </x:row>
    <x:row r="207">
      <x:c r="A207" s="47" t="n">
        <x:v>203</x:v>
      </x:c>
      <x:c r="B207" s="47" t="str">
        <x:v>Fog mesh and clean storage</x:v>
      </x:c>
      <x:c r="C207" s="47" t="str">
        <x:v>Water</x:v>
      </x:c>
      <x:c r="D207" s="47" t="str">
        <x:v>Endpoint</x:v>
      </x:c>
      <x:c r="E207" s="47" t="str">
        <x:v>H3</x:v>
      </x:c>
      <x:c r="F207" s="47" t="str">
        <x:v>Placeable system/capability</x:v>
      </x:c>
      <x:c r="G207" s="47" t="str">
        <x:v>Governed node; variants not separated</x:v>
      </x:c>
      <x:c r="H207" s="49"/>
      <x:c r="I207" s="49"/>
    </x:row>
    <x:row r="208">
      <x:c r="A208" s="47" t="n">
        <x:v>204</x:v>
      </x:c>
      <x:c r="B208" s="47" t="str">
        <x:v>Protected dug well and lift</x:v>
      </x:c>
      <x:c r="C208" s="47" t="str">
        <x:v>Water</x:v>
      </x:c>
      <x:c r="D208" s="47" t="str">
        <x:v>Endpoint</x:v>
      </x:c>
      <x:c r="E208" s="47" t="str">
        <x:v>H4</x:v>
      </x:c>
      <x:c r="F208" s="47" t="str">
        <x:v>Placeable system/capability</x:v>
      </x:c>
      <x:c r="G208" s="47" t="str">
        <x:v>Governed node; variants not separated</x:v>
      </x:c>
      <x:c r="H208" s="49"/>
      <x:c r="I208" s="49"/>
    </x:row>
    <x:row r="209">
      <x:c r="A209" s="47" t="n">
        <x:v>205</x:v>
      </x:c>
      <x:c r="B209" s="47" t="str">
        <x:v>Treated protected water lot</x:v>
      </x:c>
      <x:c r="C209" s="47" t="str">
        <x:v>Water</x:v>
      </x:c>
      <x:c r="D209" s="47" t="str">
        <x:v>Processed</x:v>
      </x:c>
      <x:c r="E209" s="47" t="str">
        <x:v>H2</x:v>
      </x:c>
      <x:c r="F209" s="47" t="str">
        <x:v>Processed material/consumable</x:v>
      </x:c>
      <x:c r="G209" s="47" t="str">
        <x:v>Governed node; variants not separated</x:v>
      </x:c>
      <x:c r="H209" s="49"/>
      <x:c r="I209" s="49"/>
    </x:row>
    <x:row r="210">
      <x:c r="A210" s="47" t="n">
        <x:v>206</x:v>
      </x:c>
      <x:c r="B210" s="47" t="str">
        <x:v>Fresh rain</x:v>
      </x:c>
      <x:c r="C210" s="47" t="str">
        <x:v>Water</x:v>
      </x:c>
      <x:c r="D210" s="47" t="str">
        <x:v>Source</x:v>
      </x:c>
      <x:c r="E210" s="47" t="str">
        <x:v>H0</x:v>
      </x:c>
      <x:c r="F210" s="47" t="str">
        <x:v>Environmental resource</x:v>
      </x:c>
      <x:c r="G210" s="47" t="str">
        <x:v>Governed node; variants not separated</x:v>
      </x:c>
      <x:c r="H210" s="49"/>
      <x:c r="I210" s="49"/>
    </x:row>
    <x:row r="211">
      <x:c r="A211" s="47" t="n">
        <x:v>207</x:v>
      </x:c>
      <x:c r="B211" s="47" t="str">
        <x:v>Harvestable fog event</x:v>
      </x:c>
      <x:c r="C211" s="47" t="str">
        <x:v>Water</x:v>
      </x:c>
      <x:c r="D211" s="47" t="str">
        <x:v>Source</x:v>
      </x:c>
      <x:c r="E211" s="47" t="str">
        <x:v>H2</x:v>
      </x:c>
      <x:c r="F211" s="47" t="str">
        <x:v>Environmental resource</x:v>
      </x:c>
      <x:c r="G211" s="47" t="str">
        <x:v>Governed node; variants not separated</x:v>
      </x:c>
      <x:c r="H211" s="49"/>
      <x:c r="I211" s="49"/>
    </x:row>
    <x:row r="212">
      <x:c r="A212" s="47" t="n">
        <x:v>208</x:v>
      </x:c>
      <x:c r="B212" s="47" t="str">
        <x:v>Pond water</x:v>
      </x:c>
      <x:c r="C212" s="47" t="str">
        <x:v>Water</x:v>
      </x:c>
      <x:c r="D212" s="47" t="str">
        <x:v>Source</x:v>
      </x:c>
      <x:c r="E212" s="47" t="str">
        <x:v>H0</x:v>
      </x:c>
      <x:c r="F212" s="47" t="str">
        <x:v>Environmental resource</x:v>
      </x:c>
      <x:c r="G212" s="47" t="str">
        <x:v>Governed node; variants not separated</x:v>
      </x:c>
      <x:c r="H212" s="49"/>
      <x:c r="I212" s="49"/>
    </x:row>
    <x:row r="213">
      <x:c r="A213" s="47" t="n">
        <x:v>209</x:v>
      </x:c>
      <x:c r="B213" s="47" t="str">
        <x:v>Seawater</x:v>
      </x:c>
      <x:c r="C213" s="47" t="str">
        <x:v>Water</x:v>
      </x:c>
      <x:c r="D213" s="47" t="str">
        <x:v>Source</x:v>
      </x:c>
      <x:c r="E213" s="47" t="str">
        <x:v>H0</x:v>
      </x:c>
      <x:c r="F213" s="47" t="str">
        <x:v>Environmental resource</x:v>
      </x:c>
      <x:c r="G213" s="47" t="str">
        <x:v>Governed node; variants not separated</x:v>
      </x:c>
      <x:c r="H213" s="49"/>
      <x:c r="I213" s="49"/>
    </x:row>
    <x:row r="214">
      <x:c r="A214" s="47" t="n">
        <x:v>210</x:v>
      </x:c>
      <x:c r="B214" s="47" t="str">
        <x:v>Spring/seep water</x:v>
      </x:c>
      <x:c r="C214" s="47" t="str">
        <x:v>Water</x:v>
      </x:c>
      <x:c r="D214" s="47" t="str">
        <x:v>Source</x:v>
      </x:c>
      <x:c r="E214" s="47" t="str">
        <x:v>H0</x:v>
      </x:c>
      <x:c r="F214" s="47" t="str">
        <x:v>Environmental resource</x:v>
      </x:c>
      <x:c r="G214" s="47" t="str">
        <x:v>Compressed family/assembly</x:v>
      </x:c>
      <x:c r="H214" s="49"/>
      <x:c r="I214" s="49"/>
    </x:row>
    <x:row r="215">
      <x:c r="A215" s="47" t="n">
        <x:v>211</x:v>
      </x:c>
      <x:c r="B215" s="47" t="str">
        <x:v>Stream water</x:v>
      </x:c>
      <x:c r="C215" s="47" t="str">
        <x:v>Water</x:v>
      </x:c>
      <x:c r="D215" s="47" t="str">
        <x:v>Source</x:v>
      </x:c>
      <x:c r="E215" s="47" t="str">
        <x:v>H0</x:v>
      </x:c>
      <x:c r="F215" s="47" t="str">
        <x:v>Environmental resource</x:v>
      </x:c>
      <x:c r="G215" s="47" t="str">
        <x:v>Governed node; variants not separated</x:v>
      </x:c>
      <x:c r="H215" s="49"/>
      <x:c r="I215" s="49"/>
    </x:row>
    <x:row r="216">
      <x:c r="A216" s="47" t="n">
        <x:v>212</x:v>
      </x:c>
      <x:c r="B216" s="47" t="str">
        <x:v>Water treatment station</x:v>
      </x:c>
      <x:c r="C216" s="47" t="str">
        <x:v>Water</x:v>
      </x:c>
      <x:c r="D216" s="47" t="str">
        <x:v>Workspace</x:v>
      </x:c>
      <x:c r="E216" s="47" t="str">
        <x:v>H2</x:v>
      </x:c>
      <x:c r="F216" s="47" t="str">
        <x:v>Placeable workspace</x:v>
      </x:c>
      <x:c r="G216" s="47" t="str">
        <x:v>Compressed family/assembly</x:v>
      </x:c>
      <x:c r="H216" s="49"/>
      <x:c r="I216" s="49"/>
    </x:row>
    <x:row r="217">
      <x:c r="A217" s="47" t="n">
        <x:v>213</x:v>
      </x:c>
      <x:c r="B217" s="47" t="str">
        <x:v>Qualified bowstring</x:v>
      </x:c>
      <x:c r="C217" s="47" t="str">
        <x:v>Weapons</x:v>
      </x:c>
      <x:c r="D217" s="47" t="str">
        <x:v>Assembly</x:v>
      </x:c>
      <x:c r="E217" s="47" t="str">
        <x:v>H2</x:v>
      </x:c>
      <x:c r="F217" s="47" t="str">
        <x:v>Weapon component</x:v>
      </x:c>
      <x:c r="G217" s="47" t="str">
        <x:v>Governed node; variants not separated</x:v>
      </x:c>
      <x:c r="H217" s="49"/>
      <x:c r="I217" s="49"/>
    </x:row>
    <x:row r="218">
      <x:c r="A218" s="47" t="n">
        <x:v>214</x:v>
      </x:c>
      <x:c r="B218" s="47" t="str">
        <x:v>Matched arrow set</x:v>
      </x:c>
      <x:c r="C218" s="47" t="str">
        <x:v>Weapons</x:v>
      </x:c>
      <x:c r="D218" s="47" t="str">
        <x:v>Endpoint</x:v>
      </x:c>
      <x:c r="E218" s="47" t="str">
        <x:v>H3</x:v>
      </x:c>
      <x:c r="F218" s="47" t="str">
        <x:v>Carryable ammunition set</x:v>
      </x:c>
      <x:c r="G218" s="47" t="str">
        <x:v>Compressed family/assembly</x:v>
      </x:c>
      <x:c r="H218" s="49"/>
      <x:c r="I218" s="49"/>
    </x:row>
    <x:row r="219">
      <x:c r="A219" s="47" t="n">
        <x:v>215</x:v>
      </x:c>
      <x:c r="B219" s="47" t="str">
        <x:v>Tillering-tested bow</x:v>
      </x:c>
      <x:c r="C219" s="47" t="str">
        <x:v>Weapons</x:v>
      </x:c>
      <x:c r="D219" s="47" t="str">
        <x:v>Endpoint</x:v>
      </x:c>
      <x:c r="E219" s="47" t="str">
        <x:v>H3</x:v>
      </x:c>
      <x:c r="F219" s="47" t="str">
        <x:v>Carryable weapon</x:v>
      </x:c>
      <x:c r="G219" s="47" t="str">
        <x:v>Governed node; variants not separated</x:v>
      </x:c>
      <x:c r="H219" s="49"/>
      <x:c r="I219" s="49"/>
    </x:row>
    <x:row r="220">
      <x:c r="A220" s="47" t="n">
        <x:v>216</x:v>
      </x:c>
      <x:c r="B220" s="47" t="str">
        <x:v>Fiber preparation station</x:v>
      </x:c>
      <x:c r="C220" s="47" t="str">
        <x:v>Workshop</x:v>
      </x:c>
      <x:c r="D220" s="47" t="str">
        <x:v>Assembly</x:v>
      </x:c>
      <x:c r="E220" s="47" t="str">
        <x:v>H2</x:v>
      </x:c>
      <x:c r="F220" s="47" t="str">
        <x:v>Placeable/deployable assembly</x:v>
      </x:c>
      <x:c r="G220" s="47" t="str">
        <x:v>Compressed family/assembly</x:v>
      </x:c>
      <x:c r="H220" s="49"/>
      <x:c r="I220" s="49"/>
    </x:row>
    <x:row r="221">
      <x:c r="A221" s="47" t="n">
        <x:v>217</x:v>
      </x:c>
      <x:c r="B221" s="47" t="str">
        <x:v>Clean food-processing cell</x:v>
      </x:c>
      <x:c r="C221" s="47" t="str">
        <x:v>Workshop</x:v>
      </x:c>
      <x:c r="D221" s="47" t="str">
        <x:v>Endpoint</x:v>
      </x:c>
      <x:c r="E221" s="47" t="str">
        <x:v>H3</x:v>
      </x:c>
      <x:c r="F221" s="47" t="str">
        <x:v>Placeable system/capability</x:v>
      </x:c>
      <x:c r="G221" s="47" t="str">
        <x:v>Governed node; variants not separated</x:v>
      </x:c>
      <x:c r="H221" s="49"/>
      <x:c r="I221" s="49"/>
    </x:row>
    <x:row r="222">
      <x:c r="A222" s="47" t="n">
        <x:v>218</x:v>
      </x:c>
      <x:c r="B222" s="47" t="str">
        <x:v>Engine/mechanical repair cell</x:v>
      </x:c>
      <x:c r="C222" s="47" t="str">
        <x:v>Workshop</x:v>
      </x:c>
      <x:c r="D222" s="47" t="str">
        <x:v>Endpoint</x:v>
      </x:c>
      <x:c r="E222" s="47" t="str">
        <x:v>H4</x:v>
      </x:c>
      <x:c r="F222" s="47" t="str">
        <x:v>Placeable system/capability</x:v>
      </x:c>
      <x:c r="G222" s="47" t="str">
        <x:v>Compressed family/assembly</x:v>
      </x:c>
      <x:c r="H222" s="49"/>
      <x:c r="I222" s="49"/>
    </x:row>
    <x:row r="223">
      <x:c r="A223" s="47" t="n">
        <x:v>219</x:v>
      </x:c>
      <x:c r="B223" s="47" t="str">
        <x:v>Specialist fiber workshop cell</x:v>
      </x:c>
      <x:c r="C223" s="47" t="str">
        <x:v>Workshop</x:v>
      </x:c>
      <x:c r="D223" s="47" t="str">
        <x:v>Endpoint</x:v>
      </x:c>
      <x:c r="E223" s="47" t="str">
        <x:v>H3</x:v>
      </x:c>
      <x:c r="F223" s="47" t="str">
        <x:v>Placeable system/capability</x:v>
      </x:c>
      <x:c r="G223" s="47" t="str">
        <x:v>Governed node; variants not separated</x:v>
      </x:c>
      <x:c r="H223" s="49"/>
      <x:c r="I223" s="49"/>
    </x:row>
    <x:row r="224">
      <x:c r="A224" s="47" t="n">
        <x:v>220</x:v>
      </x:c>
      <x:c r="B224" s="47" t="str">
        <x:v>Held and measured precision bench</x:v>
      </x:c>
      <x:c r="C224" s="47" t="str">
        <x:v>Workshop</x:v>
      </x:c>
      <x:c r="D224" s="47" t="str">
        <x:v>Workspace</x:v>
      </x:c>
      <x:c r="E224" s="47" t="str">
        <x:v>H3</x:v>
      </x:c>
      <x:c r="F224" s="47" t="str">
        <x:v>Placeable workspace</x:v>
      </x:c>
      <x:c r="G224" s="47" t="str">
        <x:v>Governed node; variants not separated</x:v>
      </x:c>
      <x:c r="H224" s="49"/>
      <x:c r="I224" s="49"/>
    </x:row>
    <x:row r="225">
      <x:c r="A225" s="47" t="n">
        <x:v>221</x:v>
      </x:c>
      <x:c r="B225" s="47" t="str">
        <x:v>Work mat/support</x:v>
      </x:c>
      <x:c r="C225" s="47" t="str">
        <x:v>Workspace</x:v>
      </x:c>
      <x:c r="D225" s="47" t="str">
        <x:v>Workspace</x:v>
      </x:c>
      <x:c r="E225" s="47" t="str">
        <x:v>H1</x:v>
      </x:c>
      <x:c r="F225" s="47" t="str">
        <x:v>Placeable workspace</x:v>
      </x:c>
      <x:c r="G225" s="47" t="str">
        <x:v>Compressed family/assembly</x:v>
      </x:c>
      <x:c r="H225" s="49"/>
      <x:c r="I225" s="49"/>
    </x:row>
    <x:row r="226">
      <x:c r="A226" s="47" t="n">
        <x:v>222</x:v>
      </x:c>
      <x:c r="B226" s="47" t="str">
        <x:v>Workbench with holding</x:v>
      </x:c>
      <x:c r="C226" s="47" t="str">
        <x:v>Workspace</x:v>
      </x:c>
      <x:c r="D226" s="47" t="str">
        <x:v>Workspace</x:v>
      </x:c>
      <x:c r="E226" s="47" t="str">
        <x:v>H3</x:v>
      </x:c>
      <x:c r="F226" s="47" t="str">
        <x:v>Placeable workspace</x:v>
      </x:c>
      <x:c r="G226" s="47" t="str">
        <x:v>Governed node; variants not separated</x:v>
      </x:c>
      <x:c r="H226" s="49"/>
      <x:c r="I226" s="49"/>
    </x:row>
  </x:sheetData>
  <x:mergeCells>
    <x:mergeCell ref="A1:I1"/>
    <x:mergeCell ref="A2:I2"/>
  </x:mergeCells>
  <x:conditionalFormatting sqref="H5:H226">
    <x:cfRule type="containsText" dxfId="0" priority="1" operator="containsText" text="Needs review"/>
    <x:cfRule type="containsText" dxfId="1" priority="2" operator="containsText" text="Keep"/>
  </x:conditionalFormatting>
  <x:dataValidations count="1">
    <x:dataValidation type="list" sqref="H5:H226">
      <x:formula1>"Keep,Rename,Expand family,Split variants,Remove,Needs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1ffb2a04cd43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2" hidden="0" customWidth="1"/>
    <x:col min="16" max="16" width="12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</x:cols>
  <x:sheetData>
    <x:row r="1" ht="28" customHeight="1">
      <x:c r="A1" s="3" t="str">
        <x:v>Master Catalogue — Governing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42" customHeight="1">
      <x:c r="A2" s="7" t="str">
        <x:v>All fields are extracted from v2.8 except the clearly labelled player-facing classification, audit relations, status, and Director review columns.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30" customHeight="1">
      <x:c r="A4" s="16" t="str">
        <x:v>Node ID</x:v>
      </x:c>
      <x:c r="B4" s="17" t="str">
        <x:v>Name</x:v>
      </x:c>
      <x:c r="C4" s="17" t="str">
        <x:v>Domain</x:v>
      </x:c>
      <x:c r="D4" s="17" t="str">
        <x:v>Class</x:v>
      </x:c>
      <x:c r="E4" s="17" t="str">
        <x:v>Threshold</x:v>
      </x:c>
      <x:c r="F4" s="17" t="str">
        <x:v>Player-facing form</x:v>
      </x:c>
      <x:c r="G4" s="17" t="str">
        <x:v>Carryable?</x:v>
      </x:c>
      <x:c r="H4" s="17" t="str">
        <x:v>Current pathway</x:v>
      </x:c>
      <x:c r="I4" s="17" t="str">
        <x:v>Inputs</x:v>
      </x:c>
      <x:c r="J4" s="17" t="str">
        <x:v>Operations</x:v>
      </x:c>
      <x:c r="K4" s="17" t="str">
        <x:v>Required tools</x:v>
      </x:c>
      <x:c r="L4" s="17" t="str">
        <x:v>Workspace</x:v>
      </x:c>
      <x:c r="M4" s="17" t="str">
        <x:v>Skills / knowledge</x:v>
      </x:c>
      <x:c r="N4" s="17" t="str">
        <x:v>Body demand</x:v>
      </x:c>
      <x:c r="O4" s="17" t="str">
        <x:v>Active min</x:v>
      </x:c>
      <x:c r="P4" s="17" t="str">
        <x:v>Passive min</x:v>
      </x:c>
      <x:c r="Q4" s="17" t="str">
        <x:v>Qualification test</x:v>
      </x:c>
      <x:c r="R4" s="17" t="str">
        <x:v>Failure</x:v>
      </x:c>
      <x:c r="S4" s="17" t="str">
        <x:v>Weapon relation</x:v>
      </x:c>
      <x:c r="T4" s="17" t="str">
        <x:v>Steam/electric relation</x:v>
      </x:c>
      <x:c r="U4" s="17" t="str">
        <x:v>Catalogue status</x:v>
      </x:c>
      <x:c r="V4" s="17" t="str">
        <x:v>Director action</x:v>
      </x:c>
      <x:c r="W4" s="18" t="str">
        <x:v>Director notes</x:v>
      </x:c>
    </x:row>
    <x:row r="5">
      <x:c r="A5" s="46" t="str">
        <x:v>S-RAIN</x:v>
      </x:c>
      <x:c r="B5" s="46" t="str">
        <x:v>Fresh rain</x:v>
      </x:c>
      <x:c r="C5" s="46" t="str">
        <x:v>Water</x:v>
      </x:c>
      <x:c r="D5" s="46" t="str">
        <x:v>Source</x:v>
      </x:c>
      <x:c r="E5" s="46" t="str">
        <x:v>H0</x:v>
      </x:c>
      <x:c r="F5" s="46" t="str">
        <x:v>Environmental resource</x:v>
      </x:c>
      <x:c r="G5" s="46" t="str">
        <x:v>No</x:v>
      </x:c>
      <x:c r="H5" s="46" t="str">
        <x:v>Find / recover / harvest</x:v>
      </x:c>
      <x:c r="I5" s="46" t="str"/>
      <x:c r="J5" s="46" t="str">
        <x:v>find / inspect / recover</x:v>
      </x:c>
      <x:c r="K5" s="46" t="str"/>
      <x:c r="L5" s="46" t="str">
        <x:v>world</x:v>
      </x:c>
      <x:c r="M5" s="46" t="str">
        <x:v>observation / provenance</x:v>
      </x:c>
      <x:c r="N5" s="46" t="str">
        <x:v>variable</x:v>
      </x:c>
      <x:c r="O5" s="50" t="n">
        <x:v>0</x:v>
      </x:c>
      <x:c r="P5" s="50" t="n">
        <x:v>0</x:v>
      </x:c>
      <x:c r="Q5" s="46" t="str">
        <x:v>identity and condition evidence</x:v>
      </x:c>
      <x:c r="R5" s="46" t="str">
        <x:v>inaccessible / contaminated / degraded</x:v>
      </x:c>
      <x:c r="S5" s="46" t="str"/>
      <x:c r="T5" s="46" t="str"/>
      <x:c r="U5" s="46" t="str">
        <x:v>Governed node; variants not separated</x:v>
      </x:c>
      <x:c r="V5" s="48"/>
      <x:c r="W5" s="48"/>
    </x:row>
    <x:row r="6">
      <x:c r="A6" s="47" t="str">
        <x:v>S-SPRING</x:v>
      </x:c>
      <x:c r="B6" s="47" t="str">
        <x:v>Spring/seep water</x:v>
      </x:c>
      <x:c r="C6" s="47" t="str">
        <x:v>Water</x:v>
      </x:c>
      <x:c r="D6" s="47" t="str">
        <x:v>Source</x:v>
      </x:c>
      <x:c r="E6" s="47" t="str">
        <x:v>H0</x:v>
      </x:c>
      <x:c r="F6" s="47" t="str">
        <x:v>Environmental resource</x:v>
      </x:c>
      <x:c r="G6" s="47" t="str">
        <x:v>No</x:v>
      </x:c>
      <x:c r="H6" s="47" t="str">
        <x:v>Find / recover / harvest</x:v>
      </x:c>
      <x:c r="I6" s="47" t="str"/>
      <x:c r="J6" s="47" t="str">
        <x:v>find / inspect / recover</x:v>
      </x:c>
      <x:c r="K6" s="47" t="str"/>
      <x:c r="L6" s="47" t="str">
        <x:v>world</x:v>
      </x:c>
      <x:c r="M6" s="47" t="str">
        <x:v>observation / provenance</x:v>
      </x:c>
      <x:c r="N6" s="47" t="str">
        <x:v>variable</x:v>
      </x:c>
      <x:c r="O6" s="51" t="n">
        <x:v>0</x:v>
      </x:c>
      <x:c r="P6" s="51" t="n">
        <x:v>0</x:v>
      </x:c>
      <x:c r="Q6" s="47" t="str">
        <x:v>identity and condition evidence</x:v>
      </x:c>
      <x:c r="R6" s="47" t="str">
        <x:v>inaccessible / contaminated / degraded</x:v>
      </x:c>
      <x:c r="S6" s="47" t="str"/>
      <x:c r="T6" s="47" t="str"/>
      <x:c r="U6" s="47" t="str">
        <x:v>Compressed family/assembly</x:v>
      </x:c>
      <x:c r="V6" s="49"/>
      <x:c r="W6" s="49"/>
    </x:row>
    <x:row r="7">
      <x:c r="A7" s="47" t="str">
        <x:v>S-STREAM</x:v>
      </x:c>
      <x:c r="B7" s="47" t="str">
        <x:v>Stream water</x:v>
      </x:c>
      <x:c r="C7" s="47" t="str">
        <x:v>Water</x:v>
      </x:c>
      <x:c r="D7" s="47" t="str">
        <x:v>Source</x:v>
      </x:c>
      <x:c r="E7" s="47" t="str">
        <x:v>H0</x:v>
      </x:c>
      <x:c r="F7" s="47" t="str">
        <x:v>Environmental resource</x:v>
      </x:c>
      <x:c r="G7" s="47" t="str">
        <x:v>No</x:v>
      </x:c>
      <x:c r="H7" s="47" t="str">
        <x:v>Find / recover / harvest</x:v>
      </x:c>
      <x:c r="I7" s="47" t="str"/>
      <x:c r="J7" s="47" t="str">
        <x:v>find / inspect / recover</x:v>
      </x:c>
      <x:c r="K7" s="47" t="str"/>
      <x:c r="L7" s="47" t="str">
        <x:v>world</x:v>
      </x:c>
      <x:c r="M7" s="47" t="str">
        <x:v>observation / provenance</x:v>
      </x:c>
      <x:c r="N7" s="47" t="str">
        <x:v>variable</x:v>
      </x:c>
      <x:c r="O7" s="51" t="n">
        <x:v>0</x:v>
      </x:c>
      <x:c r="P7" s="51" t="n">
        <x:v>0</x:v>
      </x:c>
      <x:c r="Q7" s="47" t="str">
        <x:v>identity and condition evidence</x:v>
      </x:c>
      <x:c r="R7" s="47" t="str">
        <x:v>inaccessible / contaminated / degraded</x:v>
      </x:c>
      <x:c r="S7" s="47" t="str"/>
      <x:c r="T7" s="47" t="str"/>
      <x:c r="U7" s="47" t="str">
        <x:v>Governed node; variants not separated</x:v>
      </x:c>
      <x:c r="V7" s="49"/>
      <x:c r="W7" s="49"/>
    </x:row>
    <x:row r="8">
      <x:c r="A8" s="47" t="str">
        <x:v>S-POND</x:v>
      </x:c>
      <x:c r="B8" s="47" t="str">
        <x:v>Pond water</x:v>
      </x:c>
      <x:c r="C8" s="47" t="str">
        <x:v>Water</x:v>
      </x:c>
      <x:c r="D8" s="47" t="str">
        <x:v>Source</x:v>
      </x:c>
      <x:c r="E8" s="47" t="str">
        <x:v>H0</x:v>
      </x:c>
      <x:c r="F8" s="47" t="str">
        <x:v>Environmental resource</x:v>
      </x:c>
      <x:c r="G8" s="47" t="str">
        <x:v>No</x:v>
      </x:c>
      <x:c r="H8" s="47" t="str">
        <x:v>Find / recover / harvest</x:v>
      </x:c>
      <x:c r="I8" s="47" t="str"/>
      <x:c r="J8" s="47" t="str">
        <x:v>find / inspect / recover</x:v>
      </x:c>
      <x:c r="K8" s="47" t="str"/>
      <x:c r="L8" s="47" t="str">
        <x:v>world</x:v>
      </x:c>
      <x:c r="M8" s="47" t="str">
        <x:v>observation / provenance</x:v>
      </x:c>
      <x:c r="N8" s="47" t="str">
        <x:v>variable</x:v>
      </x:c>
      <x:c r="O8" s="51" t="n">
        <x:v>0</x:v>
      </x:c>
      <x:c r="P8" s="51" t="n">
        <x:v>0</x:v>
      </x:c>
      <x:c r="Q8" s="47" t="str">
        <x:v>identity and condition evidence</x:v>
      </x:c>
      <x:c r="R8" s="47" t="str">
        <x:v>inaccessible / contaminated / degraded</x:v>
      </x:c>
      <x:c r="S8" s="47" t="str"/>
      <x:c r="T8" s="47" t="str"/>
      <x:c r="U8" s="47" t="str">
        <x:v>Governed node; variants not separated</x:v>
      </x:c>
      <x:c r="V8" s="49"/>
      <x:c r="W8" s="49"/>
    </x:row>
    <x:row r="9">
      <x:c r="A9" s="47" t="str">
        <x:v>S-SEA</x:v>
      </x:c>
      <x:c r="B9" s="47" t="str">
        <x:v>Seawater</x:v>
      </x:c>
      <x:c r="C9" s="47" t="str">
        <x:v>Water</x:v>
      </x:c>
      <x:c r="D9" s="47" t="str">
        <x:v>Source</x:v>
      </x:c>
      <x:c r="E9" s="47" t="str">
        <x:v>H0</x:v>
      </x:c>
      <x:c r="F9" s="47" t="str">
        <x:v>Environmental resource</x:v>
      </x:c>
      <x:c r="G9" s="47" t="str">
        <x:v>No</x:v>
      </x:c>
      <x:c r="H9" s="47" t="str">
        <x:v>Find / recover / harvest</x:v>
      </x:c>
      <x:c r="I9" s="47" t="str"/>
      <x:c r="J9" s="47" t="str">
        <x:v>find / inspect / recover</x:v>
      </x:c>
      <x:c r="K9" s="47" t="str"/>
      <x:c r="L9" s="47" t="str">
        <x:v>world</x:v>
      </x:c>
      <x:c r="M9" s="47" t="str">
        <x:v>observation / provenance</x:v>
      </x:c>
      <x:c r="N9" s="47" t="str">
        <x:v>variable</x:v>
      </x:c>
      <x:c r="O9" s="51" t="n">
        <x:v>0</x:v>
      </x:c>
      <x:c r="P9" s="51" t="n">
        <x:v>0</x:v>
      </x:c>
      <x:c r="Q9" s="47" t="str">
        <x:v>identity and condition evidence</x:v>
      </x:c>
      <x:c r="R9" s="47" t="str">
        <x:v>inaccessible / contaminated / degraded</x:v>
      </x:c>
      <x:c r="S9" s="47" t="str"/>
      <x:c r="T9" s="47" t="str"/>
      <x:c r="U9" s="47" t="str">
        <x:v>Governed node; variants not separated</x:v>
      </x:c>
      <x:c r="V9" s="49"/>
      <x:c r="W9" s="49"/>
    </x:row>
    <x:row r="10">
      <x:c r="A10" s="47" t="str">
        <x:v>S-COCONUT</x:v>
      </x:c>
      <x:c r="B10" s="47" t="str">
        <x:v>Coconut</x:v>
      </x:c>
      <x:c r="C10" s="47" t="str">
        <x:v>Biological</x:v>
      </x:c>
      <x:c r="D10" s="47" t="str">
        <x:v>Source</x:v>
      </x:c>
      <x:c r="E10" s="47" t="str">
        <x:v>H0</x:v>
      </x:c>
      <x:c r="F10" s="47" t="str">
        <x:v>Recoverable/harvested resource</x:v>
      </x:c>
      <x:c r="G10" s="47" t="str">
        <x:v>Usually</x:v>
      </x:c>
      <x:c r="H10" s="47" t="str">
        <x:v>Find / recover / harvest</x:v>
      </x:c>
      <x:c r="I10" s="47" t="str"/>
      <x:c r="J10" s="47" t="str">
        <x:v>find / inspect / recover</x:v>
      </x:c>
      <x:c r="K10" s="47" t="str"/>
      <x:c r="L10" s="47" t="str">
        <x:v>world</x:v>
      </x:c>
      <x:c r="M10" s="47" t="str">
        <x:v>observation / provenance</x:v>
      </x:c>
      <x:c r="N10" s="47" t="str">
        <x:v>variable</x:v>
      </x:c>
      <x:c r="O10" s="51" t="n">
        <x:v>0</x:v>
      </x:c>
      <x:c r="P10" s="51" t="n">
        <x:v>0</x:v>
      </x:c>
      <x:c r="Q10" s="47" t="str">
        <x:v>identity and condition evidence</x:v>
      </x:c>
      <x:c r="R10" s="47" t="str">
        <x:v>inaccessible / contaminated / degraded</x:v>
      </x:c>
      <x:c r="S10" s="47" t="str"/>
      <x:c r="T10" s="47" t="str"/>
      <x:c r="U10" s="47" t="str">
        <x:v>Governed node; variants not separated</x:v>
      </x:c>
      <x:c r="V10" s="49"/>
      <x:c r="W10" s="49"/>
    </x:row>
    <x:row r="11">
      <x:c r="A11" s="47" t="str">
        <x:v>S-TIMBER</x:v>
      </x:c>
      <x:c r="B11" s="47" t="str">
        <x:v>Timber/driftwood</x:v>
      </x:c>
      <x:c r="C11" s="47" t="str">
        <x:v>Material</x:v>
      </x:c>
      <x:c r="D11" s="47" t="str">
        <x:v>Source</x:v>
      </x:c>
      <x:c r="E11" s="47" t="str">
        <x:v>H0</x:v>
      </x:c>
      <x:c r="F11" s="47" t="str">
        <x:v>Recoverable/harvested resource</x:v>
      </x:c>
      <x:c r="G11" s="47" t="str">
        <x:v>Usually</x:v>
      </x:c>
      <x:c r="H11" s="47" t="str">
        <x:v>Find / recover / harvest</x:v>
      </x:c>
      <x:c r="I11" s="47" t="str"/>
      <x:c r="J11" s="47" t="str">
        <x:v>find / inspect / recover</x:v>
      </x:c>
      <x:c r="K11" s="47" t="str"/>
      <x:c r="L11" s="47" t="str">
        <x:v>world</x:v>
      </x:c>
      <x:c r="M11" s="47" t="str">
        <x:v>observation / provenance</x:v>
      </x:c>
      <x:c r="N11" s="47" t="str">
        <x:v>variable</x:v>
      </x:c>
      <x:c r="O11" s="51" t="n">
        <x:v>0</x:v>
      </x:c>
      <x:c r="P11" s="51" t="n">
        <x:v>0</x:v>
      </x:c>
      <x:c r="Q11" s="47" t="str">
        <x:v>identity and condition evidence</x:v>
      </x:c>
      <x:c r="R11" s="47" t="str">
        <x:v>inaccessible / contaminated / degraded</x:v>
      </x:c>
      <x:c r="S11" s="47" t="str"/>
      <x:c r="T11" s="47" t="str"/>
      <x:c r="U11" s="47" t="str">
        <x:v>Compressed family/assembly</x:v>
      </x:c>
      <x:c r="V11" s="49"/>
      <x:c r="W11" s="49"/>
    </x:row>
    <x:row r="12">
      <x:c r="A12" s="47" t="str">
        <x:v>S-FIBER</x:v>
      </x:c>
      <x:c r="B12" s="47" t="str">
        <x:v>Natural fiber</x:v>
      </x:c>
      <x:c r="C12" s="47" t="str">
        <x:v>Material</x:v>
      </x:c>
      <x:c r="D12" s="47" t="str">
        <x:v>Source</x:v>
      </x:c>
      <x:c r="E12" s="47" t="str">
        <x:v>H0</x:v>
      </x:c>
      <x:c r="F12" s="47" t="str">
        <x:v>Recoverable/harvested resource</x:v>
      </x:c>
      <x:c r="G12" s="47" t="str">
        <x:v>Usually</x:v>
      </x:c>
      <x:c r="H12" s="47" t="str">
        <x:v>Find / recover / harvest</x:v>
      </x:c>
      <x:c r="I12" s="47" t="str"/>
      <x:c r="J12" s="47" t="str">
        <x:v>find / inspect / recover</x:v>
      </x:c>
      <x:c r="K12" s="47" t="str"/>
      <x:c r="L12" s="47" t="str">
        <x:v>world</x:v>
      </x:c>
      <x:c r="M12" s="47" t="str">
        <x:v>observation / provenance</x:v>
      </x:c>
      <x:c r="N12" s="47" t="str">
        <x:v>variable</x:v>
      </x:c>
      <x:c r="O12" s="51" t="n">
        <x:v>0</x:v>
      </x:c>
      <x:c r="P12" s="51" t="n">
        <x:v>0</x:v>
      </x:c>
      <x:c r="Q12" s="47" t="str">
        <x:v>identity and condition evidence</x:v>
      </x:c>
      <x:c r="R12" s="47" t="str">
        <x:v>inaccessible / contaminated / degraded</x:v>
      </x:c>
      <x:c r="S12" s="47" t="str"/>
      <x:c r="T12" s="47" t="str"/>
      <x:c r="U12" s="47" t="str">
        <x:v>Governed node; variants not separated</x:v>
      </x:c>
      <x:c r="V12" s="49"/>
      <x:c r="W12" s="49"/>
    </x:row>
    <x:row r="13">
      <x:c r="A13" s="47" t="str">
        <x:v>S-STONE</x:v>
      </x:c>
      <x:c r="B13" s="47" t="str">
        <x:v>Stone/mineral</x:v>
      </x:c>
      <x:c r="C13" s="47" t="str">
        <x:v>Material</x:v>
      </x:c>
      <x:c r="D13" s="47" t="str">
        <x:v>Source</x:v>
      </x:c>
      <x:c r="E13" s="47" t="str">
        <x:v>H0</x:v>
      </x:c>
      <x:c r="F13" s="47" t="str">
        <x:v>Recoverable/harvested resource</x:v>
      </x:c>
      <x:c r="G13" s="47" t="str">
        <x:v>Usually</x:v>
      </x:c>
      <x:c r="H13" s="47" t="str">
        <x:v>Find / recover / harvest</x:v>
      </x:c>
      <x:c r="I13" s="47" t="str"/>
      <x:c r="J13" s="47" t="str">
        <x:v>find / inspect / recover</x:v>
      </x:c>
      <x:c r="K13" s="47" t="str"/>
      <x:c r="L13" s="47" t="str">
        <x:v>world</x:v>
      </x:c>
      <x:c r="M13" s="47" t="str">
        <x:v>observation / provenance</x:v>
      </x:c>
      <x:c r="N13" s="47" t="str">
        <x:v>variable</x:v>
      </x:c>
      <x:c r="O13" s="51" t="n">
        <x:v>0</x:v>
      </x:c>
      <x:c r="P13" s="51" t="n">
        <x:v>0</x:v>
      </x:c>
      <x:c r="Q13" s="47" t="str">
        <x:v>identity and condition evidence</x:v>
      </x:c>
      <x:c r="R13" s="47" t="str">
        <x:v>inaccessible / contaminated / degraded</x:v>
      </x:c>
      <x:c r="S13" s="47" t="str"/>
      <x:c r="T13" s="47" t="str"/>
      <x:c r="U13" s="47" t="str">
        <x:v>Compressed family/assembly</x:v>
      </x:c>
      <x:c r="V13" s="49"/>
      <x:c r="W13" s="49"/>
    </x:row>
    <x:row r="14">
      <x:c r="A14" s="47" t="str">
        <x:v>S-CLAY</x:v>
      </x:c>
      <x:c r="B14" s="47" t="str">
        <x:v>Clay</x:v>
      </x:c>
      <x:c r="C14" s="47" t="str">
        <x:v>Material</x:v>
      </x:c>
      <x:c r="D14" s="47" t="str">
        <x:v>Source</x:v>
      </x:c>
      <x:c r="E14" s="47" t="str">
        <x:v>H0</x:v>
      </x:c>
      <x:c r="F14" s="47" t="str">
        <x:v>Recoverable/harvested resource</x:v>
      </x:c>
      <x:c r="G14" s="47" t="str">
        <x:v>Usually</x:v>
      </x:c>
      <x:c r="H14" s="47" t="str">
        <x:v>Find / recover / harvest</x:v>
      </x:c>
      <x:c r="I14" s="47" t="str"/>
      <x:c r="J14" s="47" t="str">
        <x:v>find / inspect / recover</x:v>
      </x:c>
      <x:c r="K14" s="47" t="str"/>
      <x:c r="L14" s="47" t="str">
        <x:v>world</x:v>
      </x:c>
      <x:c r="M14" s="47" t="str">
        <x:v>observation / provenance</x:v>
      </x:c>
      <x:c r="N14" s="47" t="str">
        <x:v>variable</x:v>
      </x:c>
      <x:c r="O14" s="51" t="n">
        <x:v>0</x:v>
      </x:c>
      <x:c r="P14" s="51" t="n">
        <x:v>0</x:v>
      </x:c>
      <x:c r="Q14" s="47" t="str">
        <x:v>identity and condition evidence</x:v>
      </x:c>
      <x:c r="R14" s="47" t="str">
        <x:v>inaccessible / contaminated / degraded</x:v>
      </x:c>
      <x:c r="S14" s="47" t="str"/>
      <x:c r="T14" s="47" t="str"/>
      <x:c r="U14" s="47" t="str">
        <x:v>Governed node; variants not separated</x:v>
      </x:c>
      <x:c r="V14" s="49"/>
      <x:c r="W14" s="49"/>
    </x:row>
    <x:row r="15">
      <x:c r="A15" s="47" t="str">
        <x:v>S-SAND</x:v>
      </x:c>
      <x:c r="B15" s="47" t="str">
        <x:v>Sand/gravel</x:v>
      </x:c>
      <x:c r="C15" s="47" t="str">
        <x:v>Material</x:v>
      </x:c>
      <x:c r="D15" s="47" t="str">
        <x:v>Source</x:v>
      </x:c>
      <x:c r="E15" s="47" t="str">
        <x:v>H0</x:v>
      </x:c>
      <x:c r="F15" s="47" t="str">
        <x:v>Recoverable/harvested resource</x:v>
      </x:c>
      <x:c r="G15" s="47" t="str">
        <x:v>Usually</x:v>
      </x:c>
      <x:c r="H15" s="47" t="str">
        <x:v>Find / recover / harvest</x:v>
      </x:c>
      <x:c r="I15" s="47" t="str"/>
      <x:c r="J15" s="47" t="str">
        <x:v>find / inspect / recover</x:v>
      </x:c>
      <x:c r="K15" s="47" t="str"/>
      <x:c r="L15" s="47" t="str">
        <x:v>world</x:v>
      </x:c>
      <x:c r="M15" s="47" t="str">
        <x:v>observation / provenance</x:v>
      </x:c>
      <x:c r="N15" s="47" t="str">
        <x:v>variable</x:v>
      </x:c>
      <x:c r="O15" s="51" t="n">
        <x:v>0</x:v>
      </x:c>
      <x:c r="P15" s="51" t="n">
        <x:v>0</x:v>
      </x:c>
      <x:c r="Q15" s="47" t="str">
        <x:v>identity and condition evidence</x:v>
      </x:c>
      <x:c r="R15" s="47" t="str">
        <x:v>inaccessible / contaminated / degraded</x:v>
      </x:c>
      <x:c r="S15" s="47" t="str"/>
      <x:c r="T15" s="47" t="str"/>
      <x:c r="U15" s="47" t="str">
        <x:v>Compressed family/assembly</x:v>
      </x:c>
      <x:c r="V15" s="49"/>
      <x:c r="W15" s="49"/>
    </x:row>
    <x:row r="16">
      <x:c r="A16" s="47" t="str">
        <x:v>S-RESIN</x:v>
      </x:c>
      <x:c r="B16" s="47" t="str">
        <x:v>Resin/pitch source</x:v>
      </x:c>
      <x:c r="C16" s="47" t="str">
        <x:v>Biological</x:v>
      </x:c>
      <x:c r="D16" s="47" t="str">
        <x:v>Source</x:v>
      </x:c>
      <x:c r="E16" s="47" t="str">
        <x:v>H0</x:v>
      </x:c>
      <x:c r="F16" s="47" t="str">
        <x:v>Recoverable/harvested resource</x:v>
      </x:c>
      <x:c r="G16" s="47" t="str">
        <x:v>Usually</x:v>
      </x:c>
      <x:c r="H16" s="47" t="str">
        <x:v>Find / recover / harvest</x:v>
      </x:c>
      <x:c r="I16" s="47" t="str"/>
      <x:c r="J16" s="47" t="str">
        <x:v>find / inspect / recover</x:v>
      </x:c>
      <x:c r="K16" s="47" t="str"/>
      <x:c r="L16" s="47" t="str">
        <x:v>world</x:v>
      </x:c>
      <x:c r="M16" s="47" t="str">
        <x:v>observation / provenance</x:v>
      </x:c>
      <x:c r="N16" s="47" t="str">
        <x:v>variable</x:v>
      </x:c>
      <x:c r="O16" s="51" t="n">
        <x:v>0</x:v>
      </x:c>
      <x:c r="P16" s="51" t="n">
        <x:v>0</x:v>
      </x:c>
      <x:c r="Q16" s="47" t="str">
        <x:v>identity and condition evidence</x:v>
      </x:c>
      <x:c r="R16" s="47" t="str">
        <x:v>inaccessible / contaminated / degraded</x:v>
      </x:c>
      <x:c r="S16" s="47" t="str"/>
      <x:c r="T16" s="47" t="str"/>
      <x:c r="U16" s="47" t="str">
        <x:v>Compressed family/assembly</x:v>
      </x:c>
      <x:c r="V16" s="49"/>
      <x:c r="W16" s="49"/>
    </x:row>
    <x:row r="17">
      <x:c r="A17" s="47" t="str">
        <x:v>S-HIDE</x:v>
      </x:c>
      <x:c r="B17" s="47" t="str">
        <x:v>Hide/skin</x:v>
      </x:c>
      <x:c r="C17" s="47" t="str">
        <x:v>Biological</x:v>
      </x:c>
      <x:c r="D17" s="47" t="str">
        <x:v>Source</x:v>
      </x:c>
      <x:c r="E17" s="47" t="str">
        <x:v>H0</x:v>
      </x:c>
      <x:c r="F17" s="47" t="str">
        <x:v>Recoverable/harvested resource</x:v>
      </x:c>
      <x:c r="G17" s="47" t="str">
        <x:v>Usually</x:v>
      </x:c>
      <x:c r="H17" s="47" t="str">
        <x:v>Find / recover / harvest</x:v>
      </x:c>
      <x:c r="I17" s="47" t="str"/>
      <x:c r="J17" s="47" t="str">
        <x:v>find / inspect / recover</x:v>
      </x:c>
      <x:c r="K17" s="47" t="str"/>
      <x:c r="L17" s="47" t="str">
        <x:v>world</x:v>
      </x:c>
      <x:c r="M17" s="47" t="str">
        <x:v>observation / provenance</x:v>
      </x:c>
      <x:c r="N17" s="47" t="str">
        <x:v>variable</x:v>
      </x:c>
      <x:c r="O17" s="51" t="n">
        <x:v>0</x:v>
      </x:c>
      <x:c r="P17" s="51" t="n">
        <x:v>0</x:v>
      </x:c>
      <x:c r="Q17" s="47" t="str">
        <x:v>identity and condition evidence</x:v>
      </x:c>
      <x:c r="R17" s="47" t="str">
        <x:v>inaccessible / contaminated / degraded</x:v>
      </x:c>
      <x:c r="S17" s="47" t="str"/>
      <x:c r="T17" s="47" t="str"/>
      <x:c r="U17" s="47" t="str">
        <x:v>Compressed family/assembly</x:v>
      </x:c>
      <x:c r="V17" s="49"/>
      <x:c r="W17" s="49"/>
    </x:row>
    <x:row r="18">
      <x:c r="A18" s="47" t="str">
        <x:v>S-BONE</x:v>
      </x:c>
      <x:c r="B18" s="47" t="str">
        <x:v>Bone/shell</x:v>
      </x:c>
      <x:c r="C18" s="47" t="str">
        <x:v>Biological</x:v>
      </x:c>
      <x:c r="D18" s="47" t="str">
        <x:v>Source</x:v>
      </x:c>
      <x:c r="E18" s="47" t="str">
        <x:v>H0</x:v>
      </x:c>
      <x:c r="F18" s="47" t="str">
        <x:v>Recoverable/harvested resource</x:v>
      </x:c>
      <x:c r="G18" s="47" t="str">
        <x:v>Usually</x:v>
      </x:c>
      <x:c r="H18" s="47" t="str">
        <x:v>Find / recover / harvest</x:v>
      </x:c>
      <x:c r="I18" s="47" t="str"/>
      <x:c r="J18" s="47" t="str">
        <x:v>find / inspect / recover</x:v>
      </x:c>
      <x:c r="K18" s="47" t="str"/>
      <x:c r="L18" s="47" t="str">
        <x:v>world</x:v>
      </x:c>
      <x:c r="M18" s="47" t="str">
        <x:v>observation / provenance</x:v>
      </x:c>
      <x:c r="N18" s="47" t="str">
        <x:v>variable</x:v>
      </x:c>
      <x:c r="O18" s="51" t="n">
        <x:v>0</x:v>
      </x:c>
      <x:c r="P18" s="51" t="n">
        <x:v>0</x:v>
      </x:c>
      <x:c r="Q18" s="47" t="str">
        <x:v>identity and condition evidence</x:v>
      </x:c>
      <x:c r="R18" s="47" t="str">
        <x:v>inaccessible / contaminated / degraded</x:v>
      </x:c>
      <x:c r="S18" s="47" t="str"/>
      <x:c r="T18" s="47" t="str"/>
      <x:c r="U18" s="47" t="str">
        <x:v>Compressed family/assembly</x:v>
      </x:c>
      <x:c r="V18" s="49"/>
      <x:c r="W18" s="49"/>
    </x:row>
    <x:row r="19">
      <x:c r="A19" s="47" t="str">
        <x:v>S-SALT</x:v>
      </x:c>
      <x:c r="B19" s="47" t="str">
        <x:v>Salt stock/source</x:v>
      </x:c>
      <x:c r="C19" s="47" t="str">
        <x:v>Food</x:v>
      </x:c>
      <x:c r="D19" s="47" t="str">
        <x:v>Source</x:v>
      </x:c>
      <x:c r="E19" s="47" t="str">
        <x:v>H0</x:v>
      </x:c>
      <x:c r="F19" s="47" t="str">
        <x:v>Recoverable/harvested resource</x:v>
      </x:c>
      <x:c r="G19" s="47" t="str">
        <x:v>Usually</x:v>
      </x:c>
      <x:c r="H19" s="47" t="str">
        <x:v>Find / recover / harvest</x:v>
      </x:c>
      <x:c r="I19" s="47" t="str"/>
      <x:c r="J19" s="47" t="str">
        <x:v>find / inspect / recover</x:v>
      </x:c>
      <x:c r="K19" s="47" t="str"/>
      <x:c r="L19" s="47" t="str">
        <x:v>world</x:v>
      </x:c>
      <x:c r="M19" s="47" t="str">
        <x:v>observation / provenance</x:v>
      </x:c>
      <x:c r="N19" s="47" t="str">
        <x:v>variable</x:v>
      </x:c>
      <x:c r="O19" s="51" t="n">
        <x:v>0</x:v>
      </x:c>
      <x:c r="P19" s="51" t="n">
        <x:v>0</x:v>
      </x:c>
      <x:c r="Q19" s="47" t="str">
        <x:v>identity and condition evidence</x:v>
      </x:c>
      <x:c r="R19" s="47" t="str">
        <x:v>inaccessible / contaminated / degraded</x:v>
      </x:c>
      <x:c r="S19" s="47" t="str"/>
      <x:c r="T19" s="47" t="str"/>
      <x:c r="U19" s="47" t="str">
        <x:v>Compressed family/assembly</x:v>
      </x:c>
      <x:c r="V19" s="49"/>
      <x:c r="W19" s="49"/>
    </x:row>
    <x:row r="20">
      <x:c r="A20" s="47" t="str">
        <x:v>S-SUGAR</x:v>
      </x:c>
      <x:c r="B20" s="47" t="str">
        <x:v>Sugar/carbohydrate stock</x:v>
      </x:c>
      <x:c r="C20" s="47" t="str">
        <x:v>Food</x:v>
      </x:c>
      <x:c r="D20" s="47" t="str">
        <x:v>Source</x:v>
      </x:c>
      <x:c r="E20" s="47" t="str">
        <x:v>H0</x:v>
      </x:c>
      <x:c r="F20" s="47" t="str">
        <x:v>Recoverable/harvested resource</x:v>
      </x:c>
      <x:c r="G20" s="47" t="str">
        <x:v>Usually</x:v>
      </x:c>
      <x:c r="H20" s="47" t="str">
        <x:v>Find / recover / harvest</x:v>
      </x:c>
      <x:c r="I20" s="47" t="str"/>
      <x:c r="J20" s="47" t="str">
        <x:v>find / inspect / recover</x:v>
      </x:c>
      <x:c r="K20" s="47" t="str"/>
      <x:c r="L20" s="47" t="str">
        <x:v>world</x:v>
      </x:c>
      <x:c r="M20" s="47" t="str">
        <x:v>observation / provenance</x:v>
      </x:c>
      <x:c r="N20" s="47" t="str">
        <x:v>variable</x:v>
      </x:c>
      <x:c r="O20" s="51" t="n">
        <x:v>0</x:v>
      </x:c>
      <x:c r="P20" s="51" t="n">
        <x:v>0</x:v>
      </x:c>
      <x:c r="Q20" s="47" t="str">
        <x:v>identity and condition evidence</x:v>
      </x:c>
      <x:c r="R20" s="47" t="str">
        <x:v>inaccessible / contaminated / degraded</x:v>
      </x:c>
      <x:c r="S20" s="47" t="str"/>
      <x:c r="T20" s="47" t="str"/>
      <x:c r="U20" s="47" t="str">
        <x:v>Compressed family/assembly</x:v>
      </x:c>
      <x:c r="V20" s="49"/>
      <x:c r="W20" s="49"/>
    </x:row>
    <x:row r="21">
      <x:c r="A21" s="47" t="str">
        <x:v>S-FOOD</x:v>
      </x:c>
      <x:c r="B21" s="47" t="str">
        <x:v>Wild/harvested food</x:v>
      </x:c>
      <x:c r="C21" s="47" t="str">
        <x:v>Food</x:v>
      </x:c>
      <x:c r="D21" s="47" t="str">
        <x:v>Source</x:v>
      </x:c>
      <x:c r="E21" s="47" t="str">
        <x:v>H0</x:v>
      </x:c>
      <x:c r="F21" s="47" t="str">
        <x:v>Recoverable/harvested resource</x:v>
      </x:c>
      <x:c r="G21" s="47" t="str">
        <x:v>Usually</x:v>
      </x:c>
      <x:c r="H21" s="47" t="str">
        <x:v>Find / recover / harvest</x:v>
      </x:c>
      <x:c r="I21" s="47" t="str"/>
      <x:c r="J21" s="47" t="str">
        <x:v>find / inspect / recover</x:v>
      </x:c>
      <x:c r="K21" s="47" t="str"/>
      <x:c r="L21" s="47" t="str">
        <x:v>world</x:v>
      </x:c>
      <x:c r="M21" s="47" t="str">
        <x:v>observation / provenance</x:v>
      </x:c>
      <x:c r="N21" s="47" t="str">
        <x:v>variable</x:v>
      </x:c>
      <x:c r="O21" s="51" t="n">
        <x:v>0</x:v>
      </x:c>
      <x:c r="P21" s="51" t="n">
        <x:v>0</x:v>
      </x:c>
      <x:c r="Q21" s="47" t="str">
        <x:v>identity and condition evidence</x:v>
      </x:c>
      <x:c r="R21" s="47" t="str">
        <x:v>inaccessible / contaminated / degraded</x:v>
      </x:c>
      <x:c r="S21" s="47" t="str"/>
      <x:c r="T21" s="47" t="str"/>
      <x:c r="U21" s="47" t="str">
        <x:v>Compressed family/assembly</x:v>
      </x:c>
      <x:c r="V21" s="49"/>
      <x:c r="W21" s="49"/>
    </x:row>
    <x:row r="22">
      <x:c r="A22" s="47" t="str">
        <x:v>S-PLANT-MED</x:v>
      </x:c>
      <x:c r="B22" s="47" t="str">
        <x:v>Candidate medicinal plant</x:v>
      </x:c>
      <x:c r="C22" s="47" t="str">
        <x:v>Medicine</x:v>
      </x:c>
      <x:c r="D22" s="47" t="str">
        <x:v>Source</x:v>
      </x:c>
      <x:c r="E22" s="47" t="str">
        <x:v>H0</x:v>
      </x:c>
      <x:c r="F22" s="47" t="str">
        <x:v>Recoverable/harvested resource</x:v>
      </x:c>
      <x:c r="G22" s="47" t="str">
        <x:v>Usually</x:v>
      </x:c>
      <x:c r="H22" s="47" t="str">
        <x:v>Find / recover / harvest</x:v>
      </x:c>
      <x:c r="I22" s="47" t="str"/>
      <x:c r="J22" s="47" t="str">
        <x:v>find / inspect / recover</x:v>
      </x:c>
      <x:c r="K22" s="47" t="str"/>
      <x:c r="L22" s="47" t="str">
        <x:v>world</x:v>
      </x:c>
      <x:c r="M22" s="47" t="str">
        <x:v>observation / provenance</x:v>
      </x:c>
      <x:c r="N22" s="47" t="str">
        <x:v>variable</x:v>
      </x:c>
      <x:c r="O22" s="51" t="n">
        <x:v>0</x:v>
      </x:c>
      <x:c r="P22" s="51" t="n">
        <x:v>0</x:v>
      </x:c>
      <x:c r="Q22" s="47" t="str">
        <x:v>identity and condition evidence</x:v>
      </x:c>
      <x:c r="R22" s="47" t="str">
        <x:v>inaccessible / contaminated / degraded</x:v>
      </x:c>
      <x:c r="S22" s="47" t="str"/>
      <x:c r="T22" s="47" t="str"/>
      <x:c r="U22" s="47" t="str">
        <x:v>Governed node; variants not separated</x:v>
      </x:c>
      <x:c r="V22" s="49"/>
      <x:c r="W22" s="49"/>
    </x:row>
    <x:row r="23">
      <x:c r="A23" s="47" t="str">
        <x:v>S-WOODFUEL</x:v>
      </x:c>
      <x:c r="B23" s="47" t="str">
        <x:v>Dry biomass fuel</x:v>
      </x:c>
      <x:c r="C23" s="47" t="str">
        <x:v>Thermal</x:v>
      </x:c>
      <x:c r="D23" s="47" t="str">
        <x:v>Source</x:v>
      </x:c>
      <x:c r="E23" s="47" t="str">
        <x:v>H0</x:v>
      </x:c>
      <x:c r="F23" s="47" t="str">
        <x:v>Recoverable/harvested resource</x:v>
      </x:c>
      <x:c r="G23" s="47" t="str">
        <x:v>Usually</x:v>
      </x:c>
      <x:c r="H23" s="47" t="str">
        <x:v>Find / recover / harvest</x:v>
      </x:c>
      <x:c r="I23" s="47" t="str"/>
      <x:c r="J23" s="47" t="str">
        <x:v>find / inspect / recover</x:v>
      </x:c>
      <x:c r="K23" s="47" t="str"/>
      <x:c r="L23" s="47" t="str">
        <x:v>world</x:v>
      </x:c>
      <x:c r="M23" s="47" t="str">
        <x:v>observation / provenance</x:v>
      </x:c>
      <x:c r="N23" s="47" t="str">
        <x:v>variable</x:v>
      </x:c>
      <x:c r="O23" s="51" t="n">
        <x:v>0</x:v>
      </x:c>
      <x:c r="P23" s="51" t="n">
        <x:v>0</x:v>
      </x:c>
      <x:c r="Q23" s="47" t="str">
        <x:v>identity and condition evidence</x:v>
      </x:c>
      <x:c r="R23" s="47" t="str">
        <x:v>inaccessible / contaminated / degraded</x:v>
      </x:c>
      <x:c r="S23" s="47" t="str"/>
      <x:c r="T23" s="47" t="str"/>
      <x:c r="U23" s="47" t="str">
        <x:v>Governed node; variants not separated</x:v>
      </x:c>
      <x:c r="V23" s="49"/>
      <x:c r="W23" s="49"/>
    </x:row>
    <x:row r="24">
      <x:c r="A24" s="47" t="str">
        <x:v>S-FERROUS</x:v>
      </x:c>
      <x:c r="B24" s="47" t="str">
        <x:v>Ferrous salvage</x:v>
      </x:c>
      <x:c r="C24" s="47" t="str">
        <x:v>Salvage</x:v>
      </x:c>
      <x:c r="D24" s="47" t="str">
        <x:v>Source</x:v>
      </x:c>
      <x:c r="E24" s="47" t="str">
        <x:v>H0</x:v>
      </x:c>
      <x:c r="F24" s="47" t="str">
        <x:v>Recoverable/harvested resource</x:v>
      </x:c>
      <x:c r="G24" s="47" t="str">
        <x:v>Usually</x:v>
      </x:c>
      <x:c r="H24" s="47" t="str">
        <x:v>Find / recover / harvest</x:v>
      </x:c>
      <x:c r="I24" s="47" t="str"/>
      <x:c r="J24" s="47" t="str">
        <x:v>find / inspect / recover</x:v>
      </x:c>
      <x:c r="K24" s="47" t="str"/>
      <x:c r="L24" s="47" t="str">
        <x:v>world</x:v>
      </x:c>
      <x:c r="M24" s="47" t="str">
        <x:v>observation / provenance</x:v>
      </x:c>
      <x:c r="N24" s="47" t="str">
        <x:v>variable</x:v>
      </x:c>
      <x:c r="O24" s="51" t="n">
        <x:v>0</x:v>
      </x:c>
      <x:c r="P24" s="51" t="n">
        <x:v>0</x:v>
      </x:c>
      <x:c r="Q24" s="47" t="str">
        <x:v>identity and condition evidence</x:v>
      </x:c>
      <x:c r="R24" s="47" t="str">
        <x:v>inaccessible / contaminated / degraded</x:v>
      </x:c>
      <x:c r="S24" s="47" t="str"/>
      <x:c r="T24" s="47" t="str"/>
      <x:c r="U24" s="47" t="str">
        <x:v>Governed node; variants not separated</x:v>
      </x:c>
      <x:c r="V24" s="49"/>
      <x:c r="W24" s="49"/>
    </x:row>
    <x:row r="25">
      <x:c r="A25" s="47" t="str">
        <x:v>S-ALUMINUM</x:v>
      </x:c>
      <x:c r="B25" s="47" t="str">
        <x:v>Aircraft/marine aluminum sheet</x:v>
      </x:c>
      <x:c r="C25" s="47" t="str">
        <x:v>Salvage</x:v>
      </x:c>
      <x:c r="D25" s="47" t="str">
        <x:v>Source</x:v>
      </x:c>
      <x:c r="E25" s="47" t="str">
        <x:v>H0</x:v>
      </x:c>
      <x:c r="F25" s="47" t="str">
        <x:v>Recoverable/harvested resource</x:v>
      </x:c>
      <x:c r="G25" s="47" t="str">
        <x:v>Usually</x:v>
      </x:c>
      <x:c r="H25" s="47" t="str">
        <x:v>Find / recover / harvest</x:v>
      </x:c>
      <x:c r="I25" s="47" t="str"/>
      <x:c r="J25" s="47" t="str">
        <x:v>find / inspect / recover</x:v>
      </x:c>
      <x:c r="K25" s="47" t="str"/>
      <x:c r="L25" s="47" t="str">
        <x:v>world</x:v>
      </x:c>
      <x:c r="M25" s="47" t="str">
        <x:v>observation / provenance</x:v>
      </x:c>
      <x:c r="N25" s="47" t="str">
        <x:v>variable</x:v>
      </x:c>
      <x:c r="O25" s="51" t="n">
        <x:v>0</x:v>
      </x:c>
      <x:c r="P25" s="51" t="n">
        <x:v>0</x:v>
      </x:c>
      <x:c r="Q25" s="47" t="str">
        <x:v>identity and condition evidence</x:v>
      </x:c>
      <x:c r="R25" s="47" t="str">
        <x:v>inaccessible / contaminated / degraded</x:v>
      </x:c>
      <x:c r="S25" s="47" t="str"/>
      <x:c r="T25" s="47" t="str"/>
      <x:c r="U25" s="47" t="str">
        <x:v>Compressed family/assembly</x:v>
      </x:c>
      <x:c r="V25" s="49"/>
      <x:c r="W25" s="49"/>
    </x:row>
    <x:row r="26">
      <x:c r="A26" s="47" t="str">
        <x:v>S-COPPER</x:v>
      </x:c>
      <x:c r="B26" s="47" t="str">
        <x:v>Copper salvage</x:v>
      </x:c>
      <x:c r="C26" s="47" t="str">
        <x:v>Salvage</x:v>
      </x:c>
      <x:c r="D26" s="47" t="str">
        <x:v>Source</x:v>
      </x:c>
      <x:c r="E26" s="47" t="str">
        <x:v>H0</x:v>
      </x:c>
      <x:c r="F26" s="47" t="str">
        <x:v>Recoverable/harvested resource</x:v>
      </x:c>
      <x:c r="G26" s="47" t="str">
        <x:v>Usually</x:v>
      </x:c>
      <x:c r="H26" s="47" t="str">
        <x:v>Find / recover / harvest</x:v>
      </x:c>
      <x:c r="I26" s="47" t="str"/>
      <x:c r="J26" s="47" t="str">
        <x:v>find / inspect / recover</x:v>
      </x:c>
      <x:c r="K26" s="47" t="str"/>
      <x:c r="L26" s="47" t="str">
        <x:v>world</x:v>
      </x:c>
      <x:c r="M26" s="47" t="str">
        <x:v>observation / provenance</x:v>
      </x:c>
      <x:c r="N26" s="47" t="str">
        <x:v>variable</x:v>
      </x:c>
      <x:c r="O26" s="51" t="n">
        <x:v>0</x:v>
      </x:c>
      <x:c r="P26" s="51" t="n">
        <x:v>0</x:v>
      </x:c>
      <x:c r="Q26" s="47" t="str">
        <x:v>identity and condition evidence</x:v>
      </x:c>
      <x:c r="R26" s="47" t="str">
        <x:v>inaccessible / contaminated / degraded</x:v>
      </x:c>
      <x:c r="S26" s="47" t="str"/>
      <x:c r="T26" s="47" t="str"/>
      <x:c r="U26" s="47" t="str">
        <x:v>Governed node; variants not separated</x:v>
      </x:c>
      <x:c r="V26" s="49"/>
      <x:c r="W26" s="49"/>
    </x:row>
    <x:row r="27">
      <x:c r="A27" s="47" t="str">
        <x:v>S-BRASS</x:v>
      </x:c>
      <x:c r="B27" s="47" t="str">
        <x:v>Brass/valve salvage</x:v>
      </x:c>
      <x:c r="C27" s="47" t="str">
        <x:v>Salvage</x:v>
      </x:c>
      <x:c r="D27" s="47" t="str">
        <x:v>Source</x:v>
      </x:c>
      <x:c r="E27" s="47" t="str">
        <x:v>H0</x:v>
      </x:c>
      <x:c r="F27" s="47" t="str">
        <x:v>Recoverable/harvested resource</x:v>
      </x:c>
      <x:c r="G27" s="47" t="str">
        <x:v>Usually</x:v>
      </x:c>
      <x:c r="H27" s="47" t="str">
        <x:v>Find / recover / harvest</x:v>
      </x:c>
      <x:c r="I27" s="47" t="str"/>
      <x:c r="J27" s="47" t="str">
        <x:v>find / inspect / recover</x:v>
      </x:c>
      <x:c r="K27" s="47" t="str"/>
      <x:c r="L27" s="47" t="str">
        <x:v>world</x:v>
      </x:c>
      <x:c r="M27" s="47" t="str">
        <x:v>observation / provenance</x:v>
      </x:c>
      <x:c r="N27" s="47" t="str">
        <x:v>variable</x:v>
      </x:c>
      <x:c r="O27" s="51" t="n">
        <x:v>0</x:v>
      </x:c>
      <x:c r="P27" s="51" t="n">
        <x:v>0</x:v>
      </x:c>
      <x:c r="Q27" s="47" t="str">
        <x:v>identity and condition evidence</x:v>
      </x:c>
      <x:c r="R27" s="47" t="str">
        <x:v>inaccessible / contaminated / degraded</x:v>
      </x:c>
      <x:c r="S27" s="47" t="str"/>
      <x:c r="T27" s="47" t="str"/>
      <x:c r="U27" s="47" t="str">
        <x:v>Compressed family/assembly</x:v>
      </x:c>
      <x:c r="V27" s="49"/>
      <x:c r="W27" s="49"/>
    </x:row>
    <x:row r="28">
      <x:c r="A28" s="47" t="str">
        <x:v>S-FOUND-ROPE</x:v>
      </x:c>
      <x:c r="B28" s="47" t="str">
        <x:v>Found rope/webbing</x:v>
      </x:c>
      <x:c r="C28" s="47" t="str">
        <x:v>Salvage</x:v>
      </x:c>
      <x:c r="D28" s="47" t="str">
        <x:v>Source</x:v>
      </x:c>
      <x:c r="E28" s="47" t="str">
        <x:v>H0</x:v>
      </x:c>
      <x:c r="F28" s="47" t="str">
        <x:v>Recoverable/harvested resource</x:v>
      </x:c>
      <x:c r="G28" s="47" t="str">
        <x:v>Usually</x:v>
      </x:c>
      <x:c r="H28" s="47" t="str">
        <x:v>Find / recover / harvest</x:v>
      </x:c>
      <x:c r="I28" s="47" t="str"/>
      <x:c r="J28" s="47" t="str">
        <x:v>find / inspect / recover</x:v>
      </x:c>
      <x:c r="K28" s="47" t="str"/>
      <x:c r="L28" s="47" t="str">
        <x:v>world</x:v>
      </x:c>
      <x:c r="M28" s="47" t="str">
        <x:v>observation / provenance</x:v>
      </x:c>
      <x:c r="N28" s="47" t="str">
        <x:v>variable</x:v>
      </x:c>
      <x:c r="O28" s="51" t="n">
        <x:v>0</x:v>
      </x:c>
      <x:c r="P28" s="51" t="n">
        <x:v>0</x:v>
      </x:c>
      <x:c r="Q28" s="47" t="str">
        <x:v>identity and condition evidence</x:v>
      </x:c>
      <x:c r="R28" s="47" t="str">
        <x:v>inaccessible / contaminated / degraded</x:v>
      </x:c>
      <x:c r="S28" s="47" t="str"/>
      <x:c r="T28" s="47" t="str"/>
      <x:c r="U28" s="47" t="str">
        <x:v>Compressed family/assembly</x:v>
      </x:c>
      <x:c r="V28" s="49"/>
      <x:c r="W28" s="49"/>
    </x:row>
    <x:row r="29">
      <x:c r="A29" s="47" t="str">
        <x:v>S-CANVAS</x:v>
      </x:c>
      <x:c r="B29" s="47" t="str">
        <x:v>Canvas/raft fabric</x:v>
      </x:c>
      <x:c r="C29" s="47" t="str">
        <x:v>Salvage</x:v>
      </x:c>
      <x:c r="D29" s="47" t="str">
        <x:v>Source</x:v>
      </x:c>
      <x:c r="E29" s="47" t="str">
        <x:v>H0</x:v>
      </x:c>
      <x:c r="F29" s="47" t="str">
        <x:v>Recoverable/harvested resource</x:v>
      </x:c>
      <x:c r="G29" s="47" t="str">
        <x:v>Usually</x:v>
      </x:c>
      <x:c r="H29" s="47" t="str">
        <x:v>Find / recover / harvest</x:v>
      </x:c>
      <x:c r="I29" s="47" t="str"/>
      <x:c r="J29" s="47" t="str">
        <x:v>find / inspect / recover</x:v>
      </x:c>
      <x:c r="K29" s="47" t="str"/>
      <x:c r="L29" s="47" t="str">
        <x:v>world</x:v>
      </x:c>
      <x:c r="M29" s="47" t="str">
        <x:v>observation / provenance</x:v>
      </x:c>
      <x:c r="N29" s="47" t="str">
        <x:v>variable</x:v>
      </x:c>
      <x:c r="O29" s="51" t="n">
        <x:v>0</x:v>
      </x:c>
      <x:c r="P29" s="51" t="n">
        <x:v>0</x:v>
      </x:c>
      <x:c r="Q29" s="47" t="str">
        <x:v>identity and condition evidence</x:v>
      </x:c>
      <x:c r="R29" s="47" t="str">
        <x:v>inaccessible / contaminated / degraded</x:v>
      </x:c>
      <x:c r="S29" s="47" t="str"/>
      <x:c r="T29" s="47" t="str"/>
      <x:c r="U29" s="47" t="str">
        <x:v>Compressed family/assembly</x:v>
      </x:c>
      <x:c r="V29" s="49"/>
      <x:c r="W29" s="49"/>
    </x:row>
    <x:row r="30">
      <x:c r="A30" s="47" t="str">
        <x:v>S-GLASS</x:v>
      </x:c>
      <x:c r="B30" s="47" t="str">
        <x:v>Glass/optics</x:v>
      </x:c>
      <x:c r="C30" s="47" t="str">
        <x:v>Salvage</x:v>
      </x:c>
      <x:c r="D30" s="47" t="str">
        <x:v>Source</x:v>
      </x:c>
      <x:c r="E30" s="47" t="str">
        <x:v>H0</x:v>
      </x:c>
      <x:c r="F30" s="47" t="str">
        <x:v>Recoverable/harvested resource</x:v>
      </x:c>
      <x:c r="G30" s="47" t="str">
        <x:v>Usually</x:v>
      </x:c>
      <x:c r="H30" s="47" t="str">
        <x:v>Find / recover / harvest</x:v>
      </x:c>
      <x:c r="I30" s="47" t="str"/>
      <x:c r="J30" s="47" t="str">
        <x:v>find / inspect / recover</x:v>
      </x:c>
      <x:c r="K30" s="47" t="str"/>
      <x:c r="L30" s="47" t="str">
        <x:v>world</x:v>
      </x:c>
      <x:c r="M30" s="47" t="str">
        <x:v>observation / provenance</x:v>
      </x:c>
      <x:c r="N30" s="47" t="str">
        <x:v>variable</x:v>
      </x:c>
      <x:c r="O30" s="51" t="n">
        <x:v>0</x:v>
      </x:c>
      <x:c r="P30" s="51" t="n">
        <x:v>0</x:v>
      </x:c>
      <x:c r="Q30" s="47" t="str">
        <x:v>identity and condition evidence</x:v>
      </x:c>
      <x:c r="R30" s="47" t="str">
        <x:v>inaccessible / contaminated / degraded</x:v>
      </x:c>
      <x:c r="S30" s="47" t="str"/>
      <x:c r="T30" s="47" t="str"/>
      <x:c r="U30" s="47" t="str">
        <x:v>Compressed family/assembly</x:v>
      </x:c>
      <x:c r="V30" s="49"/>
      <x:c r="W30" s="49"/>
    </x:row>
    <x:row r="31">
      <x:c r="A31" s="47" t="str">
        <x:v>S-RUBBER</x:v>
      </x:c>
      <x:c r="B31" s="47" t="str">
        <x:v>Rubber/hose/gasket</x:v>
      </x:c>
      <x:c r="C31" s="47" t="str">
        <x:v>Salvage</x:v>
      </x:c>
      <x:c r="D31" s="47" t="str">
        <x:v>Source</x:v>
      </x:c>
      <x:c r="E31" s="47" t="str">
        <x:v>H0</x:v>
      </x:c>
      <x:c r="F31" s="47" t="str">
        <x:v>Recoverable/harvested resource</x:v>
      </x:c>
      <x:c r="G31" s="47" t="str">
        <x:v>Usually</x:v>
      </x:c>
      <x:c r="H31" s="47" t="str">
        <x:v>Find / recover / harvest</x:v>
      </x:c>
      <x:c r="I31" s="47" t="str"/>
      <x:c r="J31" s="47" t="str">
        <x:v>find / inspect / recover</x:v>
      </x:c>
      <x:c r="K31" s="47" t="str"/>
      <x:c r="L31" s="47" t="str">
        <x:v>world</x:v>
      </x:c>
      <x:c r="M31" s="47" t="str">
        <x:v>observation / provenance</x:v>
      </x:c>
      <x:c r="N31" s="47" t="str">
        <x:v>variable</x:v>
      </x:c>
      <x:c r="O31" s="51" t="n">
        <x:v>0</x:v>
      </x:c>
      <x:c r="P31" s="51" t="n">
        <x:v>0</x:v>
      </x:c>
      <x:c r="Q31" s="47" t="str">
        <x:v>identity and condition evidence</x:v>
      </x:c>
      <x:c r="R31" s="47" t="str">
        <x:v>inaccessible / contaminated / degraded</x:v>
      </x:c>
      <x:c r="S31" s="47" t="str"/>
      <x:c r="T31" s="47" t="str"/>
      <x:c r="U31" s="47" t="str">
        <x:v>Compressed family/assembly</x:v>
      </x:c>
      <x:c r="V31" s="49"/>
      <x:c r="W31" s="49"/>
    </x:row>
    <x:row r="32">
      <x:c r="A32" s="47" t="str">
        <x:v>S-POLYMER</x:v>
      </x:c>
      <x:c r="B32" s="47" t="str">
        <x:v>Polymer/container stock</x:v>
      </x:c>
      <x:c r="C32" s="47" t="str">
        <x:v>Salvage</x:v>
      </x:c>
      <x:c r="D32" s="47" t="str">
        <x:v>Source</x:v>
      </x:c>
      <x:c r="E32" s="47" t="str">
        <x:v>H0</x:v>
      </x:c>
      <x:c r="F32" s="47" t="str">
        <x:v>Recoverable/harvested resource</x:v>
      </x:c>
      <x:c r="G32" s="47" t="str">
        <x:v>Usually</x:v>
      </x:c>
      <x:c r="H32" s="47" t="str">
        <x:v>Find / recover / harvest</x:v>
      </x:c>
      <x:c r="I32" s="47" t="str"/>
      <x:c r="J32" s="47" t="str">
        <x:v>find / inspect / recover</x:v>
      </x:c>
      <x:c r="K32" s="47" t="str"/>
      <x:c r="L32" s="47" t="str">
        <x:v>world</x:v>
      </x:c>
      <x:c r="M32" s="47" t="str">
        <x:v>observation / provenance</x:v>
      </x:c>
      <x:c r="N32" s="47" t="str">
        <x:v>variable</x:v>
      </x:c>
      <x:c r="O32" s="51" t="n">
        <x:v>0</x:v>
      </x:c>
      <x:c r="P32" s="51" t="n">
        <x:v>0</x:v>
      </x:c>
      <x:c r="Q32" s="47" t="str">
        <x:v>identity and condition evidence</x:v>
      </x:c>
      <x:c r="R32" s="47" t="str">
        <x:v>inaccessible / contaminated / degraded</x:v>
      </x:c>
      <x:c r="S32" s="47" t="str"/>
      <x:c r="T32" s="47" t="str"/>
      <x:c r="U32" s="47" t="str">
        <x:v>Compressed family/assembly</x:v>
      </x:c>
      <x:c r="V32" s="49"/>
      <x:c r="W32" s="49"/>
    </x:row>
    <x:row r="33">
      <x:c r="A33" s="47" t="str">
        <x:v>S-BOTTLE</x:v>
      </x:c>
      <x:c r="B33" s="47" t="str">
        <x:v>Recognized bottle/container</x:v>
      </x:c>
      <x:c r="C33" s="47" t="str">
        <x:v>Salvage</x:v>
      </x:c>
      <x:c r="D33" s="47" t="str">
        <x:v>Source</x:v>
      </x:c>
      <x:c r="E33" s="47" t="str">
        <x:v>H0</x:v>
      </x:c>
      <x:c r="F33" s="47" t="str">
        <x:v>Recoverable/harvested resource</x:v>
      </x:c>
      <x:c r="G33" s="47" t="str">
        <x:v>Usually</x:v>
      </x:c>
      <x:c r="H33" s="47" t="str">
        <x:v>Find / recover / harvest</x:v>
      </x:c>
      <x:c r="I33" s="47" t="str"/>
      <x:c r="J33" s="47" t="str">
        <x:v>find / inspect / recover</x:v>
      </x:c>
      <x:c r="K33" s="47" t="str"/>
      <x:c r="L33" s="47" t="str">
        <x:v>world</x:v>
      </x:c>
      <x:c r="M33" s="47" t="str">
        <x:v>observation / provenance</x:v>
      </x:c>
      <x:c r="N33" s="47" t="str">
        <x:v>variable</x:v>
      </x:c>
      <x:c r="O33" s="51" t="n">
        <x:v>0</x:v>
      </x:c>
      <x:c r="P33" s="51" t="n">
        <x:v>0</x:v>
      </x:c>
      <x:c r="Q33" s="47" t="str">
        <x:v>identity and condition evidence</x:v>
      </x:c>
      <x:c r="R33" s="47" t="str">
        <x:v>inaccessible / contaminated / degraded</x:v>
      </x:c>
      <x:c r="S33" s="47" t="str"/>
      <x:c r="T33" s="47" t="str"/>
      <x:c r="U33" s="47" t="str">
        <x:v>Compressed family/assembly</x:v>
      </x:c>
      <x:c r="V33" s="49"/>
      <x:c r="W33" s="49"/>
    </x:row>
    <x:row r="34">
      <x:c r="A34" s="47" t="str">
        <x:v>S-PAN</x:v>
      </x:c>
      <x:c r="B34" s="47" t="str">
        <x:v>Recognized food-grade pan</x:v>
      </x:c>
      <x:c r="C34" s="47" t="str">
        <x:v>Salvage</x:v>
      </x:c>
      <x:c r="D34" s="47" t="str">
        <x:v>Source</x:v>
      </x:c>
      <x:c r="E34" s="47" t="str">
        <x:v>H0</x:v>
      </x:c>
      <x:c r="F34" s="47" t="str">
        <x:v>Recoverable/harvested resource</x:v>
      </x:c>
      <x:c r="G34" s="47" t="str">
        <x:v>Usually</x:v>
      </x:c>
      <x:c r="H34" s="47" t="str">
        <x:v>Find / recover / harvest</x:v>
      </x:c>
      <x:c r="I34" s="47" t="str"/>
      <x:c r="J34" s="47" t="str">
        <x:v>find / inspect / recover</x:v>
      </x:c>
      <x:c r="K34" s="47" t="str"/>
      <x:c r="L34" s="47" t="str">
        <x:v>world</x:v>
      </x:c>
      <x:c r="M34" s="47" t="str">
        <x:v>observation / provenance</x:v>
      </x:c>
      <x:c r="N34" s="47" t="str">
        <x:v>variable</x:v>
      </x:c>
      <x:c r="O34" s="51" t="n">
        <x:v>0</x:v>
      </x:c>
      <x:c r="P34" s="51" t="n">
        <x:v>0</x:v>
      </x:c>
      <x:c r="Q34" s="47" t="str">
        <x:v>identity and condition evidence</x:v>
      </x:c>
      <x:c r="R34" s="47" t="str">
        <x:v>inaccessible / contaminated / degraded</x:v>
      </x:c>
      <x:c r="S34" s="47" t="str"/>
      <x:c r="T34" s="47" t="str"/>
      <x:c r="U34" s="47" t="str">
        <x:v>Governed node; variants not separated</x:v>
      </x:c>
      <x:c r="V34" s="49"/>
      <x:c r="W34" s="49"/>
    </x:row>
    <x:row r="35">
      <x:c r="A35" s="47" t="str">
        <x:v>S-FASTENER</x:v>
      </x:c>
      <x:c r="B35" s="47" t="str">
        <x:v>Recovered fasteners</x:v>
      </x:c>
      <x:c r="C35" s="47" t="str">
        <x:v>Salvage</x:v>
      </x:c>
      <x:c r="D35" s="47" t="str">
        <x:v>Source</x:v>
      </x:c>
      <x:c r="E35" s="47" t="str">
        <x:v>H0</x:v>
      </x:c>
      <x:c r="F35" s="47" t="str">
        <x:v>Recoverable/harvested resource</x:v>
      </x:c>
      <x:c r="G35" s="47" t="str">
        <x:v>Usually</x:v>
      </x:c>
      <x:c r="H35" s="47" t="str">
        <x:v>Find / recover / harvest</x:v>
      </x:c>
      <x:c r="I35" s="47" t="str"/>
      <x:c r="J35" s="47" t="str">
        <x:v>find / inspect / recover</x:v>
      </x:c>
      <x:c r="K35" s="47" t="str"/>
      <x:c r="L35" s="47" t="str">
        <x:v>world</x:v>
      </x:c>
      <x:c r="M35" s="47" t="str">
        <x:v>observation / provenance</x:v>
      </x:c>
      <x:c r="N35" s="47" t="str">
        <x:v>variable</x:v>
      </x:c>
      <x:c r="O35" s="51" t="n">
        <x:v>0</x:v>
      </x:c>
      <x:c r="P35" s="51" t="n">
        <x:v>0</x:v>
      </x:c>
      <x:c r="Q35" s="47" t="str">
        <x:v>identity and condition evidence</x:v>
      </x:c>
      <x:c r="R35" s="47" t="str">
        <x:v>inaccessible / contaminated / degraded</x:v>
      </x:c>
      <x:c r="S35" s="47" t="str"/>
      <x:c r="T35" s="47" t="str"/>
      <x:c r="U35" s="47" t="str">
        <x:v>Governed node; variants not separated</x:v>
      </x:c>
      <x:c r="V35" s="49"/>
      <x:c r="W35" s="49"/>
    </x:row>
    <x:row r="36">
      <x:c r="A36" s="47" t="str">
        <x:v>S-BEARING</x:v>
      </x:c>
      <x:c r="B36" s="47" t="str">
        <x:v>Bearing/pulley/gear module</x:v>
      </x:c>
      <x:c r="C36" s="47" t="str">
        <x:v>Salvage</x:v>
      </x:c>
      <x:c r="D36" s="47" t="str">
        <x:v>Source</x:v>
      </x:c>
      <x:c r="E36" s="47" t="str">
        <x:v>H0</x:v>
      </x:c>
      <x:c r="F36" s="47" t="str">
        <x:v>Recoverable/harvested resource</x:v>
      </x:c>
      <x:c r="G36" s="47" t="str">
        <x:v>Usually</x:v>
      </x:c>
      <x:c r="H36" s="47" t="str">
        <x:v>Find / recover / harvest</x:v>
      </x:c>
      <x:c r="I36" s="47" t="str"/>
      <x:c r="J36" s="47" t="str">
        <x:v>find / inspect / recover</x:v>
      </x:c>
      <x:c r="K36" s="47" t="str"/>
      <x:c r="L36" s="47" t="str">
        <x:v>world</x:v>
      </x:c>
      <x:c r="M36" s="47" t="str">
        <x:v>observation / provenance</x:v>
      </x:c>
      <x:c r="N36" s="47" t="str">
        <x:v>variable</x:v>
      </x:c>
      <x:c r="O36" s="51" t="n">
        <x:v>0</x:v>
      </x:c>
      <x:c r="P36" s="51" t="n">
        <x:v>0</x:v>
      </x:c>
      <x:c r="Q36" s="47" t="str">
        <x:v>identity and condition evidence</x:v>
      </x:c>
      <x:c r="R36" s="47" t="str">
        <x:v>inaccessible / contaminated / degraded</x:v>
      </x:c>
      <x:c r="S36" s="47" t="str"/>
      <x:c r="T36" s="47" t="str"/>
      <x:c r="U36" s="47" t="str">
        <x:v>Compressed family/assembly</x:v>
      </x:c>
      <x:c r="V36" s="49"/>
      <x:c r="W36" s="49"/>
    </x:row>
    <x:row r="37">
      <x:c r="A37" s="47" t="str">
        <x:v>S-ENGINE</x:v>
      </x:c>
      <x:c r="B37" s="47" t="str">
        <x:v>Repairable engine/motor</x:v>
      </x:c>
      <x:c r="C37" s="47" t="str">
        <x:v>Salvage</x:v>
      </x:c>
      <x:c r="D37" s="47" t="str">
        <x:v>Source</x:v>
      </x:c>
      <x:c r="E37" s="47" t="str">
        <x:v>H0</x:v>
      </x:c>
      <x:c r="F37" s="47" t="str">
        <x:v>Recoverable/harvested resource</x:v>
      </x:c>
      <x:c r="G37" s="47" t="str">
        <x:v>Usually</x:v>
      </x:c>
      <x:c r="H37" s="47" t="str">
        <x:v>Find / recover / harvest</x:v>
      </x:c>
      <x:c r="I37" s="47" t="str"/>
      <x:c r="J37" s="47" t="str">
        <x:v>find / inspect / recover</x:v>
      </x:c>
      <x:c r="K37" s="47" t="str"/>
      <x:c r="L37" s="47" t="str">
        <x:v>world</x:v>
      </x:c>
      <x:c r="M37" s="47" t="str">
        <x:v>observation / provenance</x:v>
      </x:c>
      <x:c r="N37" s="47" t="str">
        <x:v>variable</x:v>
      </x:c>
      <x:c r="O37" s="51" t="n">
        <x:v>0</x:v>
      </x:c>
      <x:c r="P37" s="51" t="n">
        <x:v>0</x:v>
      </x:c>
      <x:c r="Q37" s="47" t="str">
        <x:v>identity and condition evidence</x:v>
      </x:c>
      <x:c r="R37" s="47" t="str">
        <x:v>inaccessible / contaminated / degraded</x:v>
      </x:c>
      <x:c r="S37" s="47" t="str"/>
      <x:c r="T37" s="47" t="str"/>
      <x:c r="U37" s="47" t="str">
        <x:v>Compressed family/assembly</x:v>
      </x:c>
      <x:c r="V37" s="49"/>
      <x:c r="W37" s="49"/>
    </x:row>
    <x:row r="38">
      <x:c r="A38" s="47" t="str">
        <x:v>S-BATTERY</x:v>
      </x:c>
      <x:c r="B38" s="47" t="str">
        <x:v>Battery/cell</x:v>
      </x:c>
      <x:c r="C38" s="47" t="str">
        <x:v>Electrical</x:v>
      </x:c>
      <x:c r="D38" s="47" t="str">
        <x:v>Source</x:v>
      </x:c>
      <x:c r="E38" s="47" t="str">
        <x:v>H0</x:v>
      </x:c>
      <x:c r="F38" s="47" t="str">
        <x:v>Recoverable/harvested resource</x:v>
      </x:c>
      <x:c r="G38" s="47" t="str">
        <x:v>Usually</x:v>
      </x:c>
      <x:c r="H38" s="47" t="str">
        <x:v>Find / recover / harvest</x:v>
      </x:c>
      <x:c r="I38" s="47" t="str"/>
      <x:c r="J38" s="47" t="str">
        <x:v>find / inspect / recover</x:v>
      </x:c>
      <x:c r="K38" s="47" t="str"/>
      <x:c r="L38" s="47" t="str">
        <x:v>world</x:v>
      </x:c>
      <x:c r="M38" s="47" t="str">
        <x:v>observation / provenance</x:v>
      </x:c>
      <x:c r="N38" s="47" t="str">
        <x:v>variable</x:v>
      </x:c>
      <x:c r="O38" s="51" t="n">
        <x:v>0</x:v>
      </x:c>
      <x:c r="P38" s="51" t="n">
        <x:v>0</x:v>
      </x:c>
      <x:c r="Q38" s="47" t="str">
        <x:v>identity and condition evidence</x:v>
      </x:c>
      <x:c r="R38" s="47" t="str">
        <x:v>inaccessible / contaminated / degraded</x:v>
      </x:c>
      <x:c r="S38" s="47" t="str"/>
      <x:c r="T38" s="47" t="str"/>
      <x:c r="U38" s="47" t="str">
        <x:v>Compressed family/assembly</x:v>
      </x:c>
      <x:c r="V38" s="49"/>
      <x:c r="W38" s="49"/>
    </x:row>
    <x:row r="39">
      <x:c r="A39" s="47" t="str">
        <x:v>S-WIRE</x:v>
      </x:c>
      <x:c r="B39" s="47" t="str">
        <x:v>Wire/switch/fuse</x:v>
      </x:c>
      <x:c r="C39" s="47" t="str">
        <x:v>Electrical</x:v>
      </x:c>
      <x:c r="D39" s="47" t="str">
        <x:v>Source</x:v>
      </x:c>
      <x:c r="E39" s="47" t="str">
        <x:v>H0</x:v>
      </x:c>
      <x:c r="F39" s="47" t="str">
        <x:v>Recoverable/harvested resource</x:v>
      </x:c>
      <x:c r="G39" s="47" t="str">
        <x:v>Usually</x:v>
      </x:c>
      <x:c r="H39" s="47" t="str">
        <x:v>Find / recover / harvest</x:v>
      </x:c>
      <x:c r="I39" s="47" t="str"/>
      <x:c r="J39" s="47" t="str">
        <x:v>find / inspect / recover</x:v>
      </x:c>
      <x:c r="K39" s="47" t="str"/>
      <x:c r="L39" s="47" t="str">
        <x:v>world</x:v>
      </x:c>
      <x:c r="M39" s="47" t="str">
        <x:v>observation / provenance</x:v>
      </x:c>
      <x:c r="N39" s="47" t="str">
        <x:v>variable</x:v>
      </x:c>
      <x:c r="O39" s="51" t="n">
        <x:v>0</x:v>
      </x:c>
      <x:c r="P39" s="51" t="n">
        <x:v>0</x:v>
      </x:c>
      <x:c r="Q39" s="47" t="str">
        <x:v>identity and condition evidence</x:v>
      </x:c>
      <x:c r="R39" s="47" t="str">
        <x:v>inaccessible / contaminated / degraded</x:v>
      </x:c>
      <x:c r="S39" s="47" t="str"/>
      <x:c r="T39" s="47" t="str"/>
      <x:c r="U39" s="47" t="str">
        <x:v>Compressed family/assembly</x:v>
      </x:c>
      <x:c r="V39" s="49"/>
      <x:c r="W39" s="49"/>
    </x:row>
    <x:row r="40">
      <x:c r="A40" s="47" t="str">
        <x:v>S-RADIO</x:v>
      </x:c>
      <x:c r="B40" s="47" t="str">
        <x:v>Radio/electronic core</x:v>
      </x:c>
      <x:c r="C40" s="47" t="str">
        <x:v>Electrical</x:v>
      </x:c>
      <x:c r="D40" s="47" t="str">
        <x:v>Source</x:v>
      </x:c>
      <x:c r="E40" s="47" t="str">
        <x:v>H0</x:v>
      </x:c>
      <x:c r="F40" s="47" t="str">
        <x:v>Recoverable/harvested resource</x:v>
      </x:c>
      <x:c r="G40" s="47" t="str">
        <x:v>Usually</x:v>
      </x:c>
      <x:c r="H40" s="47" t="str">
        <x:v>Find / recover / harvest</x:v>
      </x:c>
      <x:c r="I40" s="47" t="str"/>
      <x:c r="J40" s="47" t="str">
        <x:v>find / inspect / recover</x:v>
      </x:c>
      <x:c r="K40" s="47" t="str"/>
      <x:c r="L40" s="47" t="str">
        <x:v>world</x:v>
      </x:c>
      <x:c r="M40" s="47" t="str">
        <x:v>observation / provenance</x:v>
      </x:c>
      <x:c r="N40" s="47" t="str">
        <x:v>variable</x:v>
      </x:c>
      <x:c r="O40" s="51" t="n">
        <x:v>0</x:v>
      </x:c>
      <x:c r="P40" s="51" t="n">
        <x:v>0</x:v>
      </x:c>
      <x:c r="Q40" s="47" t="str">
        <x:v>identity and condition evidence</x:v>
      </x:c>
      <x:c r="R40" s="47" t="str">
        <x:v>inaccessible / contaminated / degraded</x:v>
      </x:c>
      <x:c r="S40" s="47" t="str"/>
      <x:c r="T40" s="47" t="str"/>
      <x:c r="U40" s="47" t="str">
        <x:v>Compressed family/assembly</x:v>
      </x:c>
      <x:c r="V40" s="49"/>
      <x:c r="W40" s="49"/>
    </x:row>
    <x:row r="41">
      <x:c r="A41" s="47" t="str">
        <x:v>S-MEDICAL</x:v>
      </x:c>
      <x:c r="B41" s="47" t="str">
        <x:v>Sealed medical supply</x:v>
      </x:c>
      <x:c r="C41" s="47" t="str">
        <x:v>Medicine</x:v>
      </x:c>
      <x:c r="D41" s="47" t="str">
        <x:v>Source</x:v>
      </x:c>
      <x:c r="E41" s="47" t="str">
        <x:v>H0</x:v>
      </x:c>
      <x:c r="F41" s="47" t="str">
        <x:v>Recoverable/harvested resource</x:v>
      </x:c>
      <x:c r="G41" s="47" t="str">
        <x:v>Usually</x:v>
      </x:c>
      <x:c r="H41" s="47" t="str">
        <x:v>Find / recover / harvest</x:v>
      </x:c>
      <x:c r="I41" s="47" t="str"/>
      <x:c r="J41" s="47" t="str">
        <x:v>find / inspect / recover</x:v>
      </x:c>
      <x:c r="K41" s="47" t="str"/>
      <x:c r="L41" s="47" t="str">
        <x:v>world</x:v>
      </x:c>
      <x:c r="M41" s="47" t="str">
        <x:v>observation / provenance</x:v>
      </x:c>
      <x:c r="N41" s="47" t="str">
        <x:v>variable</x:v>
      </x:c>
      <x:c r="O41" s="51" t="n">
        <x:v>0</x:v>
      </x:c>
      <x:c r="P41" s="51" t="n">
        <x:v>0</x:v>
      </x:c>
      <x:c r="Q41" s="47" t="str">
        <x:v>identity and condition evidence</x:v>
      </x:c>
      <x:c r="R41" s="47" t="str">
        <x:v>inaccessible / contaminated / degraded</x:v>
      </x:c>
      <x:c r="S41" s="47" t="str"/>
      <x:c r="T41" s="47" t="str"/>
      <x:c r="U41" s="47" t="str">
        <x:v>Governed node; variants not separated</x:v>
      </x:c>
      <x:c r="V41" s="49"/>
      <x:c r="W41" s="49"/>
    </x:row>
    <x:row r="42">
      <x:c r="A42" s="47" t="str">
        <x:v>S-MANUAL</x:v>
      </x:c>
      <x:c r="B42" s="47" t="str">
        <x:v>Manual/label/diagram</x:v>
      </x:c>
      <x:c r="C42" s="47" t="str">
        <x:v>Knowledge</x:v>
      </x:c>
      <x:c r="D42" s="47" t="str">
        <x:v>Source</x:v>
      </x:c>
      <x:c r="E42" s="47" t="str">
        <x:v>H0</x:v>
      </x:c>
      <x:c r="F42" s="47" t="str">
        <x:v>Knowledge carrier</x:v>
      </x:c>
      <x:c r="G42" s="47" t="str">
        <x:v>Usually</x:v>
      </x:c>
      <x:c r="H42" s="47" t="str">
        <x:v>Find / recover / harvest</x:v>
      </x:c>
      <x:c r="I42" s="47" t="str"/>
      <x:c r="J42" s="47" t="str">
        <x:v>find / inspect / recover</x:v>
      </x:c>
      <x:c r="K42" s="47" t="str"/>
      <x:c r="L42" s="47" t="str">
        <x:v>world</x:v>
      </x:c>
      <x:c r="M42" s="47" t="str">
        <x:v>observation / provenance</x:v>
      </x:c>
      <x:c r="N42" s="47" t="str">
        <x:v>variable</x:v>
      </x:c>
      <x:c r="O42" s="51" t="n">
        <x:v>0</x:v>
      </x:c>
      <x:c r="P42" s="51" t="n">
        <x:v>0</x:v>
      </x:c>
      <x:c r="Q42" s="47" t="str">
        <x:v>identity and condition evidence</x:v>
      </x:c>
      <x:c r="R42" s="47" t="str">
        <x:v>inaccessible / contaminated / degraded</x:v>
      </x:c>
      <x:c r="S42" s="47" t="str"/>
      <x:c r="T42" s="47" t="str"/>
      <x:c r="U42" s="47" t="str">
        <x:v>Compressed family/assembly</x:v>
      </x:c>
      <x:c r="V42" s="49"/>
      <x:c r="W42" s="49"/>
    </x:row>
    <x:row r="43">
      <x:c r="A43" s="47" t="str">
        <x:v>S-ANOMALY</x:v>
      </x:c>
      <x:c r="B43" s="47" t="str">
        <x:v>Anomaly matter/evidence</x:v>
      </x:c>
      <x:c r="C43" s="47" t="str">
        <x:v>Anomaly</x:v>
      </x:c>
      <x:c r="D43" s="47" t="str">
        <x:v>Source</x:v>
      </x:c>
      <x:c r="E43" s="47" t="str">
        <x:v>H0</x:v>
      </x:c>
      <x:c r="F43" s="47" t="str">
        <x:v>Recoverable/harvested resource</x:v>
      </x:c>
      <x:c r="G43" s="47" t="str">
        <x:v>Usually</x:v>
      </x:c>
      <x:c r="H43" s="47" t="str">
        <x:v>Find / recover / harvest</x:v>
      </x:c>
      <x:c r="I43" s="47" t="str"/>
      <x:c r="J43" s="47" t="str">
        <x:v>find / inspect / recover</x:v>
      </x:c>
      <x:c r="K43" s="47" t="str"/>
      <x:c r="L43" s="47" t="str">
        <x:v>world</x:v>
      </x:c>
      <x:c r="M43" s="47" t="str">
        <x:v>observation / provenance</x:v>
      </x:c>
      <x:c r="N43" s="47" t="str">
        <x:v>variable</x:v>
      </x:c>
      <x:c r="O43" s="51" t="n">
        <x:v>0</x:v>
      </x:c>
      <x:c r="P43" s="51" t="n">
        <x:v>0</x:v>
      </x:c>
      <x:c r="Q43" s="47" t="str">
        <x:v>identity and condition evidence</x:v>
      </x:c>
      <x:c r="R43" s="47" t="str">
        <x:v>inaccessible / contaminated / degraded</x:v>
      </x:c>
      <x:c r="S43" s="47" t="str"/>
      <x:c r="T43" s="47" t="str"/>
      <x:c r="U43" s="47" t="str">
        <x:v>Compressed family/assembly</x:v>
      </x:c>
      <x:c r="V43" s="49"/>
      <x:c r="W43" s="49"/>
    </x:row>
    <x:row r="44">
      <x:c r="A44" s="47" t="str">
        <x:v>P-SHARP-EDGE</x:v>
      </x:c>
      <x:c r="B44" s="47" t="str">
        <x:v>Sharp edge/point</x:v>
      </x:c>
      <x:c r="C44" s="47" t="str">
        <x:v>Tools</x:v>
      </x:c>
      <x:c r="D44" s="47" t="str">
        <x:v>Processed</x:v>
      </x:c>
      <x:c r="E44" s="47" t="str">
        <x:v>H0</x:v>
      </x:c>
      <x:c r="F44" s="47" t="str">
        <x:v>Processed material/consumable</x:v>
      </x:c>
      <x:c r="G44" s="47" t="str">
        <x:v>Yes</x:v>
      </x:c>
      <x:c r="H44" s="47" t="str">
        <x:v>Make / assemble / qualify</x:v>
      </x:c>
      <x:c r="I44" s="47" t="str">
        <x:v>S-STONE</x:v>
      </x:c>
      <x:c r="J44" s="47" t="str">
        <x:v>strike / fracture / inspect</x:v>
      </x:c>
      <x:c r="K44" s="47" t="str">
        <x:v>T-HAMMERSTONE</x:v>
      </x:c>
      <x:c r="L44" s="47" t="str">
        <x:v>work mat</x:v>
      </x:c>
      <x:c r="M44" s="47" t="str">
        <x:v>stone / edge</x:v>
      </x:c>
      <x:c r="N44" s="47" t="str">
        <x:v>dexterity</x:v>
      </x:c>
      <x:c r="O44" s="51" t="n">
        <x:v>10</x:v>
      </x:c>
      <x:c r="P44" s="51" t="n">
        <x:v>0</x:v>
      </x:c>
      <x:c r="Q44" s="47" t="str">
        <x:v>controlled cut test</x:v>
      </x:c>
      <x:c r="R44" s="47" t="str">
        <x:v>cut hand / poor edge</x:v>
      </x:c>
      <x:c r="S44" s="47" t="str"/>
      <x:c r="T44" s="47" t="str"/>
      <x:c r="U44" s="47" t="str">
        <x:v>Compressed family/assembly</x:v>
      </x:c>
      <x:c r="V44" s="49"/>
      <x:c r="W44" s="49"/>
    </x:row>
    <x:row r="45">
      <x:c r="A45" s="47" t="str">
        <x:v>T-HAMMERSTONE</x:v>
      </x:c>
      <x:c r="B45" s="47" t="str">
        <x:v>Hammer stone</x:v>
      </x:c>
      <x:c r="C45" s="47" t="str">
        <x:v>Tools</x:v>
      </x:c>
      <x:c r="D45" s="47" t="str">
        <x:v>Tool</x:v>
      </x:c>
      <x:c r="E45" s="47" t="str">
        <x:v>H0</x:v>
      </x:c>
      <x:c r="F45" s="47" t="str">
        <x:v>Carryable tool/equipment</x:v>
      </x:c>
      <x:c r="G45" s="47" t="str">
        <x:v>Yes</x:v>
      </x:c>
      <x:c r="H45" s="47" t="str">
        <x:v>Make / assemble / qualify</x:v>
      </x:c>
      <x:c r="I45" s="47" t="str">
        <x:v>S-STONE</x:v>
      </x:c>
      <x:c r="J45" s="47" t="str">
        <x:v>select / grip / strike</x:v>
      </x:c>
      <x:c r="K45" s="47" t="str"/>
      <x:c r="L45" s="47" t="str">
        <x:v>world</x:v>
      </x:c>
      <x:c r="M45" s="47" t="str">
        <x:v>stone / striking</x:v>
      </x:c>
      <x:c r="N45" s="47" t="str">
        <x:v>grip</x:v>
      </x:c>
      <x:c r="O45" s="51" t="n">
        <x:v>5</x:v>
      </x:c>
      <x:c r="P45" s="51" t="n">
        <x:v>0</x:v>
      </x:c>
      <x:c r="Q45" s="47" t="str">
        <x:v>controlled strike</x:v>
      </x:c>
      <x:c r="R45" s="47" t="str">
        <x:v>hand injury / unsuitable stone</x:v>
      </x:c>
      <x:c r="S45" s="47" t="str">
        <x:v>Dual-use tool; no weapon model</x:v>
      </x:c>
      <x:c r="T45" s="47" t="str"/>
      <x:c r="U45" s="47" t="str">
        <x:v>Governed node; variants not separated</x:v>
      </x:c>
      <x:c r="V45" s="49"/>
      <x:c r="W45" s="49"/>
    </x:row>
    <x:row r="46">
      <x:c r="A46" s="47" t="str">
        <x:v>T-STONE-KNIFE</x:v>
      </x:c>
      <x:c r="B46" s="47" t="str">
        <x:v>Stone hand cutter</x:v>
      </x:c>
      <x:c r="C46" s="47" t="str">
        <x:v>Tools</x:v>
      </x:c>
      <x:c r="D46" s="47" t="str">
        <x:v>Tool</x:v>
      </x:c>
      <x:c r="E46" s="47" t="str">
        <x:v>H0</x:v>
      </x:c>
      <x:c r="F46" s="47" t="str">
        <x:v>Carryable tool/equipment</x:v>
      </x:c>
      <x:c r="G46" s="47" t="str">
        <x:v>Yes</x:v>
      </x:c>
      <x:c r="H46" s="47" t="str">
        <x:v>Make / assemble / qualify</x:v>
      </x:c>
      <x:c r="I46" s="47" t="str">
        <x:v>P-SHARP-EDGE; S-FIBER</x:v>
      </x:c>
      <x:c r="J46" s="47" t="str">
        <x:v>wrap / guard / cut / test</x:v>
      </x:c>
      <x:c r="K46" s="47" t="str">
        <x:v>T-HAMMERSTONE</x:v>
      </x:c>
      <x:c r="L46" s="47" t="str">
        <x:v>W-WORKMAT</x:v>
      </x:c>
      <x:c r="M46" s="47" t="str">
        <x:v>edge / binding</x:v>
      </x:c>
      <x:c r="N46" s="47" t="str">
        <x:v>dexterity</x:v>
      </x:c>
      <x:c r="O46" s="51" t="n">
        <x:v>20</x:v>
      </x:c>
      <x:c r="P46" s="51" t="n">
        <x:v>0</x:v>
      </x:c>
      <x:c r="Q46" s="47" t="str">
        <x:v>safe varied cutting</x:v>
      </x:c>
      <x:c r="R46" s="47" t="str">
        <x:v>edge shifts / cut</x:v>
      </x:c>
      <x:c r="S46" s="47" t="str">
        <x:v>Dual-use tool; no weapon model</x:v>
      </x:c>
      <x:c r="T46" s="47" t="str"/>
      <x:c r="U46" s="47" t="str">
        <x:v>Governed node; variants not separated</x:v>
      </x:c>
      <x:c r="V46" s="49"/>
      <x:c r="W46" s="49"/>
    </x:row>
    <x:row r="47">
      <x:c r="A47" s="47" t="str">
        <x:v>P-CORD</x:v>
      </x:c>
      <x:c r="B47" s="47" t="str">
        <x:v>Hand cordage</x:v>
      </x:c>
      <x:c r="C47" s="47" t="str">
        <x:v>Textile</x:v>
      </x:c>
      <x:c r="D47" s="47" t="str">
        <x:v>Processed</x:v>
      </x:c>
      <x:c r="E47" s="47" t="str">
        <x:v>H1</x:v>
      </x:c>
      <x:c r="F47" s="47" t="str">
        <x:v>Processed material/consumable</x:v>
      </x:c>
      <x:c r="G47" s="47" t="str">
        <x:v>Yes</x:v>
      </x:c>
      <x:c r="H47" s="47" t="str">
        <x:v>Make / assemble / qualify</x:v>
      </x:c>
      <x:c r="I47" s="47" t="str">
        <x:v>S-FIBER</x:v>
      </x:c>
      <x:c r="J47" s="47" t="str">
        <x:v>prepare / twist / splice</x:v>
      </x:c>
      <x:c r="K47" s="47" t="str">
        <x:v>T-STONE-KNIFE</x:v>
      </x:c>
      <x:c r="L47" s="47" t="str">
        <x:v>W-WORKMAT</x:v>
      </x:c>
      <x:c r="M47" s="47" t="str">
        <x:v>fiber / cordage</x:v>
      </x:c>
      <x:c r="N47" s="47" t="str">
        <x:v>dexterity</x:v>
      </x:c>
      <x:c r="O47" s="51" t="n">
        <x:v>30</x:v>
      </x:c>
      <x:c r="P47" s="51" t="n">
        <x:v>0</x:v>
      </x:c>
      <x:c r="Q47" s="47" t="str">
        <x:v>tension and knot test</x:v>
      </x:c>
      <x:c r="R47" s="47" t="str">
        <x:v>uneven / wet / break</x:v>
      </x:c>
      <x:c r="S47" s="47" t="str"/>
      <x:c r="T47" s="47" t="str"/>
      <x:c r="U47" s="47" t="str">
        <x:v>Governed node; variants not separated</x:v>
      </x:c>
      <x:c r="V47" s="49"/>
      <x:c r="W47" s="49"/>
    </x:row>
    <x:row r="48">
      <x:c r="A48" s="47" t="str">
        <x:v>P-ROPE</x:v>
      </x:c>
      <x:c r="B48" s="47" t="str">
        <x:v>Rated rope</x:v>
      </x:c>
      <x:c r="C48" s="47" t="str">
        <x:v>Textile</x:v>
      </x:c>
      <x:c r="D48" s="47" t="str">
        <x:v>Processed</x:v>
      </x:c>
      <x:c r="E48" s="47" t="str">
        <x:v>H2</x:v>
      </x:c>
      <x:c r="F48" s="47" t="str">
        <x:v>Processed material/consumable</x:v>
      </x:c>
      <x:c r="G48" s="47" t="str">
        <x:v>Yes</x:v>
      </x:c>
      <x:c r="H48" s="47" t="str">
        <x:v>Make / assemble / qualify</x:v>
      </x:c>
      <x:c r="I48" s="47" t="str">
        <x:v>P-CORD</x:v>
      </x:c>
      <x:c r="J48" s="47" t="str">
        <x:v>lay / splice / test</x:v>
      </x:c>
      <x:c r="K48" s="47" t="str">
        <x:v>T-MEASURE</x:v>
      </x:c>
      <x:c r="L48" s="47" t="str">
        <x:v>W-BENCH</x:v>
      </x:c>
      <x:c r="M48" s="47" t="str">
        <x:v>fiber / rigging</x:v>
      </x:c>
      <x:c r="N48" s="47" t="str">
        <x:v>endurance + dexterity</x:v>
      </x:c>
      <x:c r="O48" s="51" t="n">
        <x:v>120</x:v>
      </x:c>
      <x:c r="P48" s="51" t="n">
        <x:v>0</x:v>
      </x:c>
      <x:c r="Q48" s="47" t="str">
        <x:v>proof load and inspection</x:v>
      </x:c>
      <x:c r="R48" s="47" t="str">
        <x:v>strand failure</x:v>
      </x:c>
      <x:c r="S48" s="47" t="str"/>
      <x:c r="T48" s="47" t="str"/>
      <x:c r="U48" s="47" t="str">
        <x:v>Governed node; variants not separated</x:v>
      </x:c>
      <x:c r="V48" s="49"/>
      <x:c r="W48" s="49"/>
    </x:row>
    <x:row r="49">
      <x:c r="A49" s="47" t="str">
        <x:v>P-MAT</x:v>
      </x:c>
      <x:c r="B49" s="47" t="str">
        <x:v>Woven mat/basket stock</x:v>
      </x:c>
      <x:c r="C49" s="47" t="str">
        <x:v>Textile</x:v>
      </x:c>
      <x:c r="D49" s="47" t="str">
        <x:v>Processed</x:v>
      </x:c>
      <x:c r="E49" s="47" t="str">
        <x:v>H1</x:v>
      </x:c>
      <x:c r="F49" s="47" t="str">
        <x:v>Processed material/consumable</x:v>
      </x:c>
      <x:c r="G49" s="47" t="str">
        <x:v>Yes</x:v>
      </x:c>
      <x:c r="H49" s="47" t="str">
        <x:v>Make / assemble / qualify</x:v>
      </x:c>
      <x:c r="I49" s="47" t="str">
        <x:v>S-FIBER; P-CORD</x:v>
      </x:c>
      <x:c r="J49" s="47" t="str">
        <x:v>split / weave / edge</x:v>
      </x:c>
      <x:c r="K49" s="47" t="str">
        <x:v>T-STONE-KNIFE</x:v>
      </x:c>
      <x:c r="L49" s="47" t="str">
        <x:v>W-WORKMAT</x:v>
      </x:c>
      <x:c r="M49" s="47" t="str">
        <x:v>weaving</x:v>
      </x:c>
      <x:c r="N49" s="47" t="str">
        <x:v>dexterity</x:v>
      </x:c>
      <x:c r="O49" s="51" t="n">
        <x:v>90</x:v>
      </x:c>
      <x:c r="P49" s="51" t="n">
        <x:v>0</x:v>
      </x:c>
      <x:c r="Q49" s="47" t="str">
        <x:v>load/coverage test</x:v>
      </x:c>
      <x:c r="R49" s="47" t="str">
        <x:v>gap / tear</x:v>
      </x:c>
      <x:c r="S49" s="47" t="str"/>
      <x:c r="T49" s="47" t="str"/>
      <x:c r="U49" s="47" t="str">
        <x:v>Compressed family/assembly</x:v>
      </x:c>
      <x:c r="V49" s="49"/>
      <x:c r="W49" s="49"/>
    </x:row>
    <x:row r="50">
      <x:c r="A50" s="47" t="str">
        <x:v>P-STRAIGHT-POLE</x:v>
      </x:c>
      <x:c r="B50" s="47" t="str">
        <x:v>Prepared pole/member</x:v>
      </x:c>
      <x:c r="C50" s="47" t="str">
        <x:v>Timber</x:v>
      </x:c>
      <x:c r="D50" s="47" t="str">
        <x:v>Processed</x:v>
      </x:c>
      <x:c r="E50" s="47" t="str">
        <x:v>H1</x:v>
      </x:c>
      <x:c r="F50" s="47" t="str">
        <x:v>Processed material/consumable</x:v>
      </x:c>
      <x:c r="G50" s="47" t="str">
        <x:v>Yes</x:v>
      </x:c>
      <x:c r="H50" s="47" t="str">
        <x:v>Make / assemble / qualify</x:v>
      </x:c>
      <x:c r="I50" s="47" t="str">
        <x:v>S-TIMBER; T-STONE-KNIFE</x:v>
      </x:c>
      <x:c r="J50" s="47" t="str">
        <x:v>select / trim / straighten</x:v>
      </x:c>
      <x:c r="K50" s="47" t="str">
        <x:v>T-STONE-KNIFE</x:v>
      </x:c>
      <x:c r="L50" s="47" t="str">
        <x:v>world</x:v>
      </x:c>
      <x:c r="M50" s="47" t="str">
        <x:v>timber</x:v>
      </x:c>
      <x:c r="N50" s="47" t="str">
        <x:v>strength + dexterity</x:v>
      </x:c>
      <x:c r="O50" s="51" t="n">
        <x:v>45</x:v>
      </x:c>
      <x:c r="P50" s="51" t="n">
        <x:v>0</x:v>
      </x:c>
      <x:c r="Q50" s="47" t="str">
        <x:v>straight/load inspection</x:v>
      </x:c>
      <x:c r="R50" s="47" t="str">
        <x:v>split / rot</x:v>
      </x:c>
      <x:c r="S50" s="47" t="str"/>
      <x:c r="T50" s="47" t="str"/>
      <x:c r="U50" s="47" t="str">
        <x:v>Compressed family/assembly</x:v>
      </x:c>
      <x:c r="V50" s="49"/>
      <x:c r="W50" s="49"/>
    </x:row>
    <x:row r="51">
      <x:c r="A51" s="47" t="str">
        <x:v>P-PLANK</x:v>
      </x:c>
      <x:c r="B51" s="47" t="str">
        <x:v>Plank/board stock</x:v>
      </x:c>
      <x:c r="C51" s="47" t="str">
        <x:v>Timber</x:v>
      </x:c>
      <x:c r="D51" s="47" t="str">
        <x:v>Processed</x:v>
      </x:c>
      <x:c r="E51" s="47" t="str">
        <x:v>H3</x:v>
      </x:c>
      <x:c r="F51" s="47" t="str">
        <x:v>Processed material/consumable</x:v>
      </x:c>
      <x:c r="G51" s="47" t="str">
        <x:v>Yes</x:v>
      </x:c>
      <x:c r="H51" s="47" t="str">
        <x:v>Make / assemble / qualify</x:v>
      </x:c>
      <x:c r="I51" s="47" t="str">
        <x:v>S-TIMBER; T-AXE; T-SAW</x:v>
      </x:c>
      <x:c r="J51" s="47" t="str">
        <x:v>split / saw / plane</x:v>
      </x:c>
      <x:c r="K51" s="47" t="str">
        <x:v>T-SAW</x:v>
      </x:c>
      <x:c r="L51" s="47" t="str">
        <x:v>W-BENCH</x:v>
      </x:c>
      <x:c r="M51" s="47" t="str">
        <x:v>timber / layout</x:v>
      </x:c>
      <x:c r="N51" s="47" t="str">
        <x:v>strength + endurance</x:v>
      </x:c>
      <x:c r="O51" s="51" t="n">
        <x:v>180</x:v>
      </x:c>
      <x:c r="P51" s="51" t="n">
        <x:v>0</x:v>
      </x:c>
      <x:c r="Q51" s="47" t="str">
        <x:v>flatness and defect test</x:v>
      </x:c>
      <x:c r="R51" s="47" t="str">
        <x:v>waste / warp</x:v>
      </x:c>
      <x:c r="S51" s="47" t="str"/>
      <x:c r="T51" s="47" t="str"/>
      <x:c r="U51" s="47" t="str">
        <x:v>Compressed family/assembly</x:v>
      </x:c>
      <x:c r="V51" s="49"/>
      <x:c r="W51" s="49"/>
    </x:row>
    <x:row r="52">
      <x:c r="A52" s="47" t="str">
        <x:v>P-PEG</x:v>
      </x:c>
      <x:c r="B52" s="47" t="str">
        <x:v>Peg/wedge/wood fastener</x:v>
      </x:c>
      <x:c r="C52" s="47" t="str">
        <x:v>Joining</x:v>
      </x:c>
      <x:c r="D52" s="47" t="str">
        <x:v>Processed</x:v>
      </x:c>
      <x:c r="E52" s="47" t="str">
        <x:v>H1</x:v>
      </x:c>
      <x:c r="F52" s="47" t="str">
        <x:v>Processed material/consumable</x:v>
      </x:c>
      <x:c r="G52" s="47" t="str">
        <x:v>Yes</x:v>
      </x:c>
      <x:c r="H52" s="47" t="str">
        <x:v>Make / assemble / qualify</x:v>
      </x:c>
      <x:c r="I52" s="47" t="str">
        <x:v>P-STRAIGHT-POLE; T-STONE-KNIFE</x:v>
      </x:c>
      <x:c r="J52" s="47" t="str">
        <x:v>cut / taper / fit</x:v>
      </x:c>
      <x:c r="K52" s="47" t="str">
        <x:v>T-STONE-KNIFE</x:v>
      </x:c>
      <x:c r="L52" s="47" t="str">
        <x:v>W-WORKMAT</x:v>
      </x:c>
      <x:c r="M52" s="47" t="str">
        <x:v>joinery</x:v>
      </x:c>
      <x:c r="N52" s="47" t="str">
        <x:v>dexterity</x:v>
      </x:c>
      <x:c r="O52" s="51" t="n">
        <x:v>15</x:v>
      </x:c>
      <x:c r="P52" s="51" t="n">
        <x:v>0</x:v>
      </x:c>
      <x:c r="Q52" s="47" t="str">
        <x:v>fit/pull test</x:v>
      </x:c>
      <x:c r="R52" s="47" t="str">
        <x:v>split / loose</x:v>
      </x:c>
      <x:c r="S52" s="47" t="str"/>
      <x:c r="T52" s="47" t="str"/>
      <x:c r="U52" s="47" t="str">
        <x:v>Compressed family/assembly</x:v>
      </x:c>
      <x:c r="V52" s="49"/>
      <x:c r="W52" s="49"/>
    </x:row>
    <x:row r="53">
      <x:c r="A53" s="47" t="str">
        <x:v>P-PITCH</x:v>
      </x:c>
      <x:c r="B53" s="47" t="str">
        <x:v>Prepared sealant</x:v>
      </x:c>
      <x:c r="C53" s="47" t="str">
        <x:v>Joining</x:v>
      </x:c>
      <x:c r="D53" s="47" t="str">
        <x:v>Processed</x:v>
      </x:c>
      <x:c r="E53" s="47" t="str">
        <x:v>H2</x:v>
      </x:c>
      <x:c r="F53" s="47" t="str">
        <x:v>Processed material/consumable</x:v>
      </x:c>
      <x:c r="G53" s="47" t="str">
        <x:v>Yes</x:v>
      </x:c>
      <x:c r="H53" s="47" t="str">
        <x:v>Make / assemble / qualify</x:v>
      </x:c>
      <x:c r="I53" s="47" t="str">
        <x:v>S-RESIN; W-HEARTH</x:v>
      </x:c>
      <x:c r="J53" s="47" t="str">
        <x:v>collect / heat / mix / test</x:v>
      </x:c>
      <x:c r="K53" s="47" t="str">
        <x:v>C-FOUND-PAN</x:v>
      </x:c>
      <x:c r="L53" s="47" t="str">
        <x:v>W-HEARTH</x:v>
      </x:c>
      <x:c r="M53" s="47" t="str">
        <x:v>seal / thermal</x:v>
      </x:c>
      <x:c r="N53" s="47" t="str">
        <x:v>heat control</x:v>
      </x:c>
      <x:c r="O53" s="51" t="n">
        <x:v>60</x:v>
      </x:c>
      <x:c r="P53" s="51" t="n">
        <x:v>30</x:v>
      </x:c>
      <x:c r="Q53" s="47" t="str">
        <x:v>adhesion/water test</x:v>
      </x:c>
      <x:c r="R53" s="47" t="str">
        <x:v>burn / brittle / contaminate</x:v>
      </x:c>
      <x:c r="S53" s="47" t="str"/>
      <x:c r="T53" s="47" t="str"/>
      <x:c r="U53" s="47" t="str">
        <x:v>Governed node; variants not separated</x:v>
      </x:c>
      <x:c r="V53" s="49"/>
      <x:c r="W53" s="49"/>
    </x:row>
    <x:row r="54">
      <x:c r="A54" s="47" t="str">
        <x:v>P-CHARCOAL</x:v>
      </x:c>
      <x:c r="B54" s="47" t="str">
        <x:v>Charcoal</x:v>
      </x:c>
      <x:c r="C54" s="47" t="str">
        <x:v>Thermal</x:v>
      </x:c>
      <x:c r="D54" s="47" t="str">
        <x:v>Processed</x:v>
      </x:c>
      <x:c r="E54" s="47" t="str">
        <x:v>H3</x:v>
      </x:c>
      <x:c r="F54" s="47" t="str">
        <x:v>Processed material/consumable</x:v>
      </x:c>
      <x:c r="G54" s="47" t="str">
        <x:v>Yes</x:v>
      </x:c>
      <x:c r="H54" s="47" t="str">
        <x:v>Make / assemble / qualify</x:v>
      </x:c>
      <x:c r="I54" s="47" t="str">
        <x:v>S-WOODFUEL; W-CHARCOAL</x:v>
      </x:c>
      <x:c r="J54" s="47" t="str">
        <x:v>grade / load / restrict / cool</x:v>
      </x:c>
      <x:c r="K54" s="47" t="str">
        <x:v>T-SHOVEL</x:v>
      </x:c>
      <x:c r="L54" s="47" t="str">
        <x:v>W-CHARCOAL</x:v>
      </x:c>
      <x:c r="M54" s="47" t="str">
        <x:v>firecraft</x:v>
      </x:c>
      <x:c r="N54" s="47" t="str">
        <x:v>heat endurance</x:v>
      </x:c>
      <x:c r="O54" s="51" t="n">
        <x:v>120</x:v>
      </x:c>
      <x:c r="P54" s="51" t="n">
        <x:v>480</x:v>
      </x:c>
      <x:c r="Q54" s="47" t="str">
        <x:v>yield and burn test</x:v>
      </x:c>
      <x:c r="R54" s="47" t="str">
        <x:v>fire / ash / undercarbonize</x:v>
      </x:c>
      <x:c r="S54" s="47" t="str"/>
      <x:c r="T54" s="47" t="str"/>
      <x:c r="U54" s="47" t="str">
        <x:v>Governed node; variants not separated</x:v>
      </x:c>
      <x:c r="V54" s="49"/>
      <x:c r="W54" s="49"/>
    </x:row>
    <x:row r="55">
      <x:c r="A55" s="47" t="str">
        <x:v>P-CLAY-BODY</x:v>
      </x:c>
      <x:c r="B55" s="47" t="str">
        <x:v>Prepared clay body</x:v>
      </x:c>
      <x:c r="C55" s="47" t="str">
        <x:v>Ceramic</x:v>
      </x:c>
      <x:c r="D55" s="47" t="str">
        <x:v>Processed</x:v>
      </x:c>
      <x:c r="E55" s="47" t="str">
        <x:v>H2</x:v>
      </x:c>
      <x:c r="F55" s="47" t="str">
        <x:v>Processed material/consumable</x:v>
      </x:c>
      <x:c r="G55" s="47" t="str">
        <x:v>Yes</x:v>
      </x:c>
      <x:c r="H55" s="47" t="str">
        <x:v>Make / assemble / qualify</x:v>
      </x:c>
      <x:c r="I55" s="47" t="str">
        <x:v>S-CLAY; S-SAND</x:v>
      </x:c>
      <x:c r="J55" s="47" t="str">
        <x:v>clean / temper / wedge</x:v>
      </x:c>
      <x:c r="K55" s="47" t="str">
        <x:v>T-DIG</x:v>
      </x:c>
      <x:c r="L55" s="47" t="str">
        <x:v>W-WORKMAT</x:v>
      </x:c>
      <x:c r="M55" s="47" t="str">
        <x:v>clay</x:v>
      </x:c>
      <x:c r="N55" s="47" t="str">
        <x:v>dexterity</x:v>
      </x:c>
      <x:c r="O55" s="51" t="n">
        <x:v>60</x:v>
      </x:c>
      <x:c r="P55" s="51" t="n">
        <x:v>60</x:v>
      </x:c>
      <x:c r="Q55" s="47" t="str">
        <x:v>forming sample</x:v>
      </x:c>
      <x:c r="R55" s="47" t="str">
        <x:v>crack / contamination</x:v>
      </x:c>
      <x:c r="S55" s="47" t="str"/>
      <x:c r="T55" s="47" t="str"/>
      <x:c r="U55" s="47" t="str">
        <x:v>Governed node; variants not separated</x:v>
      </x:c>
      <x:c r="V55" s="49"/>
      <x:c r="W55" s="49"/>
    </x:row>
    <x:row r="56">
      <x:c r="A56" s="47" t="str">
        <x:v>P-FIRED-CERAMIC</x:v>
      </x:c>
      <x:c r="B56" s="47" t="str">
        <x:v>Fired ceramic/refractory</x:v>
      </x:c>
      <x:c r="C56" s="47" t="str">
        <x:v>Ceramic</x:v>
      </x:c>
      <x:c r="D56" s="47" t="str">
        <x:v>Processed</x:v>
      </x:c>
      <x:c r="E56" s="47" t="str">
        <x:v>H4</x:v>
      </x:c>
      <x:c r="F56" s="47" t="str">
        <x:v>Processed material/consumable</x:v>
      </x:c>
      <x:c r="G56" s="47" t="str">
        <x:v>Yes</x:v>
      </x:c>
      <x:c r="H56" s="47" t="str">
        <x:v>Make / assemble / qualify</x:v>
      </x:c>
      <x:c r="I56" s="47" t="str">
        <x:v>P-CLAY-BODY; W-KILN</x:v>
      </x:c>
      <x:c r="J56" s="47" t="str">
        <x:v>form / dry / fire / cool</x:v>
      </x:c>
      <x:c r="K56" s="47" t="str">
        <x:v>T-TONGS</x:v>
      </x:c>
      <x:c r="L56" s="47" t="str">
        <x:v>W-KILN</x:v>
      </x:c>
      <x:c r="M56" s="47" t="str">
        <x:v>clay / heat</x:v>
      </x:c>
      <x:c r="N56" s="47" t="str">
        <x:v>dexterity + heat</x:v>
      </x:c>
      <x:c r="O56" s="51" t="n">
        <x:v>120</x:v>
      </x:c>
      <x:c r="P56" s="51" t="n">
        <x:v>720</x:v>
      </x:c>
      <x:c r="Q56" s="47" t="str">
        <x:v>ring/leak/heat test</x:v>
      </x:c>
      <x:c r="R56" s="47" t="str">
        <x:v>crack / spall</x:v>
      </x:c>
      <x:c r="S56" s="47" t="str"/>
      <x:c r="T56" s="47" t="str"/>
      <x:c r="U56" s="47" t="str">
        <x:v>Compressed family/assembly</x:v>
      </x:c>
      <x:c r="V56" s="49"/>
      <x:c r="W56" s="49"/>
    </x:row>
    <x:row r="57">
      <x:c r="A57" s="47" t="str">
        <x:v>P-METAL-STOCK</x:v>
      </x:c>
      <x:c r="B57" s="47" t="str">
        <x:v>Sorted cleaned metal stock</x:v>
      </x:c>
      <x:c r="C57" s="47" t="str">
        <x:v>Metal</x:v>
      </x:c>
      <x:c r="D57" s="47" t="str">
        <x:v>Processed</x:v>
      </x:c>
      <x:c r="E57" s="47" t="str">
        <x:v>H3</x:v>
      </x:c>
      <x:c r="F57" s="47" t="str">
        <x:v>Processed material/consumable</x:v>
      </x:c>
      <x:c r="G57" s="47" t="str">
        <x:v>Yes</x:v>
      </x:c>
      <x:c r="H57" s="47" t="str">
        <x:v>Make / assemble / qualify</x:v>
      </x:c>
      <x:c r="I57" s="47" t="str">
        <x:v>S-FERROUS</x:v>
      </x:c>
      <x:c r="J57" s="47" t="str">
        <x:v>isolate / clean / grade</x:v>
      </x:c>
      <x:c r="K57" s="47" t="str">
        <x:v>T-PRY</x:v>
      </x:c>
      <x:c r="L57" s="47" t="str">
        <x:v>W-BENCH</x:v>
      </x:c>
      <x:c r="M57" s="47" t="str">
        <x:v>salvage / metal</x:v>
      </x:c>
      <x:c r="N57" s="47" t="str">
        <x:v>moderate</x:v>
      </x:c>
      <x:c r="O57" s="51" t="n">
        <x:v>90</x:v>
      </x:c>
      <x:c r="P57" s="51" t="n">
        <x:v>0</x:v>
      </x:c>
      <x:c r="Q57" s="47" t="str">
        <x:v>coupon/condition test</x:v>
      </x:c>
      <x:c r="R57" s="47" t="str">
        <x:v>contamination / crack</x:v>
      </x:c>
      <x:c r="S57" s="47" t="str"/>
      <x:c r="T57" s="47" t="str"/>
      <x:c r="U57" s="47" t="str">
        <x:v>Compressed family/assembly</x:v>
      </x:c>
      <x:c r="V57" s="49"/>
      <x:c r="W57" s="49"/>
    </x:row>
    <x:row r="58">
      <x:c r="A58" s="47" t="str">
        <x:v>P-DEBURRED-AL</x:v>
      </x:c>
      <x:c r="B58" s="47" t="str">
        <x:v>Qualified deburred aluminum sheet</x:v>
      </x:c>
      <x:c r="C58" s="47" t="str">
        <x:v>Metal</x:v>
      </x:c>
      <x:c r="D58" s="47" t="str">
        <x:v>Processed</x:v>
      </x:c>
      <x:c r="E58" s="47" t="str">
        <x:v>H4</x:v>
      </x:c>
      <x:c r="F58" s="47" t="str">
        <x:v>Processed material/consumable</x:v>
      </x:c>
      <x:c r="G58" s="47" t="str">
        <x:v>Yes</x:v>
      </x:c>
      <x:c r="H58" s="47" t="str">
        <x:v>Make / assemble / qualify</x:v>
      </x:c>
      <x:c r="I58" s="47" t="str">
        <x:v>S-ALUMINUM; T-SNIPS; T-FILE</x:v>
      </x:c>
      <x:c r="J58" s="47" t="str">
        <x:v>provenance / detach / clean / coupon</x:v>
      </x:c>
      <x:c r="K58" s="47" t="str">
        <x:v>T-SNIPS; T-FILE</x:v>
      </x:c>
      <x:c r="L58" s="47" t="str">
        <x:v>W-BENCH</x:v>
      </x:c>
      <x:c r="M58" s="47" t="str">
        <x:v>salvage / food-contact / metal</x:v>
      </x:c>
      <x:c r="N58" s="47" t="str">
        <x:v>dexterity</x:v>
      </x:c>
      <x:c r="O58" s="51" t="n">
        <x:v>240</x:v>
      </x:c>
      <x:c r="P58" s="51" t="n">
        <x:v>0</x:v>
      </x:c>
      <x:c r="Q58" s="47" t="str">
        <x:v>bend/surface coupon</x:v>
      </x:c>
      <x:c r="R58" s="47" t="str">
        <x:v>coating / fuel / crack</x:v>
      </x:c>
      <x:c r="S58" s="47" t="str"/>
      <x:c r="T58" s="47" t="str"/>
      <x:c r="U58" s="47" t="str">
        <x:v>Governed node; variants not separated</x:v>
      </x:c>
      <x:c r="V58" s="49"/>
      <x:c r="W58" s="49"/>
    </x:row>
    <x:row r="59">
      <x:c r="A59" s="47" t="str">
        <x:v>P-RIVET</x:v>
      </x:c>
      <x:c r="B59" s="47" t="str">
        <x:v>Suitable rivet/fastener</x:v>
      </x:c>
      <x:c r="C59" s="47" t="str">
        <x:v>Joining</x:v>
      </x:c>
      <x:c r="D59" s="47" t="str">
        <x:v>Processed</x:v>
      </x:c>
      <x:c r="E59" s="47" t="str">
        <x:v>H4</x:v>
      </x:c>
      <x:c r="F59" s="47" t="str">
        <x:v>Processed material/consumable</x:v>
      </x:c>
      <x:c r="G59" s="47" t="str">
        <x:v>Yes</x:v>
      </x:c>
      <x:c r="H59" s="47" t="str">
        <x:v>Make / assemble / qualify</x:v>
      </x:c>
      <x:c r="I59" s="47" t="str">
        <x:v>S-FASTENER</x:v>
      </x:c>
      <x:c r="J59" s="47" t="str">
        <x:v>sort / clean / test</x:v>
      </x:c>
      <x:c r="K59" s="47" t="str">
        <x:v>T-MEASURE</x:v>
      </x:c>
      <x:c r="L59" s="47" t="str">
        <x:v>W-BENCH</x:v>
      </x:c>
      <x:c r="M59" s="47" t="str">
        <x:v>fastener</x:v>
      </x:c>
      <x:c r="N59" s="47" t="str">
        <x:v>dexterity</x:v>
      </x:c>
      <x:c r="O59" s="51" t="n">
        <x:v>30</x:v>
      </x:c>
      <x:c r="P59" s="51" t="n">
        <x:v>0</x:v>
      </x:c>
      <x:c r="Q59" s="47" t="str">
        <x:v>shear/pull sample</x:v>
      </x:c>
      <x:c r="R59" s="47" t="str">
        <x:v>mixed alloy / weak</x:v>
      </x:c>
      <x:c r="S59" s="47" t="str"/>
      <x:c r="T59" s="47" t="str"/>
      <x:c r="U59" s="47" t="str">
        <x:v>Compressed family/assembly</x:v>
      </x:c>
      <x:c r="V59" s="49"/>
      <x:c r="W59" s="49"/>
    </x:row>
    <x:row r="60">
      <x:c r="A60" s="47" t="str">
        <x:v>P-GASKET</x:v>
      </x:c>
      <x:c r="B60" s="47" t="str">
        <x:v>Seal/gasket set</x:v>
      </x:c>
      <x:c r="C60" s="47" t="str">
        <x:v>Joining</x:v>
      </x:c>
      <x:c r="D60" s="47" t="str">
        <x:v>Processed</x:v>
      </x:c>
      <x:c r="E60" s="47" t="str">
        <x:v>H4</x:v>
      </x:c>
      <x:c r="F60" s="47" t="str">
        <x:v>Processed material/consumable</x:v>
      </x:c>
      <x:c r="G60" s="47" t="str">
        <x:v>Yes</x:v>
      </x:c>
      <x:c r="H60" s="47" t="str">
        <x:v>Make / assemble / qualify</x:v>
      </x:c>
      <x:c r="I60" s="47" t="str">
        <x:v>S-RUBBER; T-STONE-KNIFE</x:v>
      </x:c>
      <x:c r="J60" s="47" t="str">
        <x:v>clean / cut / fit / compress</x:v>
      </x:c>
      <x:c r="K60" s="47" t="str">
        <x:v>T-STONE-KNIFE</x:v>
      </x:c>
      <x:c r="L60" s="47" t="str">
        <x:v>W-BENCH</x:v>
      </x:c>
      <x:c r="M60" s="47" t="str">
        <x:v>sealing</x:v>
      </x:c>
      <x:c r="N60" s="47" t="str">
        <x:v>dexterity</x:v>
      </x:c>
      <x:c r="O60" s="51" t="n">
        <x:v>45</x:v>
      </x:c>
      <x:c r="P60" s="51" t="n">
        <x:v>0</x:v>
      </x:c>
      <x:c r="Q60" s="47" t="str">
        <x:v>leak/compatibility test</x:v>
      </x:c>
      <x:c r="R60" s="47" t="str">
        <x:v>swell / crack</x:v>
      </x:c>
      <x:c r="S60" s="47" t="str"/>
      <x:c r="T60" s="47" t="str"/>
      <x:c r="U60" s="47" t="str">
        <x:v>Compressed family/assembly</x:v>
      </x:c>
      <x:c r="V60" s="49"/>
      <x:c r="W60" s="49"/>
    </x:row>
    <x:row r="61">
      <x:c r="A61" s="47" t="str">
        <x:v>P-CONDUCTOR</x:v>
      </x:c>
      <x:c r="B61" s="47" t="str">
        <x:v>Protected conductor/terminal</x:v>
      </x:c>
      <x:c r="C61" s="47" t="str">
        <x:v>Electrical</x:v>
      </x:c>
      <x:c r="D61" s="47" t="str">
        <x:v>Processed</x:v>
      </x:c>
      <x:c r="E61" s="47" t="str">
        <x:v>H4</x:v>
      </x:c>
      <x:c r="F61" s="47" t="str">
        <x:v>Processed material/consumable</x:v>
      </x:c>
      <x:c r="G61" s="47" t="str">
        <x:v>Yes</x:v>
      </x:c>
      <x:c r="H61" s="47" t="str">
        <x:v>Make / assemble / qualify</x:v>
      </x:c>
      <x:c r="I61" s="47" t="str">
        <x:v>S-WIRE; S-COPPER</x:v>
      </x:c>
      <x:c r="J61" s="47" t="str">
        <x:v>clean / join / insulate / test</x:v>
      </x:c>
      <x:c r="K61" s="47" t="str">
        <x:v>T-METER</x:v>
      </x:c>
      <x:c r="L61" s="47" t="str">
        <x:v>W-ELECTRICAL</x:v>
      </x:c>
      <x:c r="M61" s="47" t="str">
        <x:v>electrical</x:v>
      </x:c>
      <x:c r="N61" s="47" t="str">
        <x:v>dexterity</x:v>
      </x:c>
      <x:c r="O61" s="51" t="n">
        <x:v>45</x:v>
      </x:c>
      <x:c r="P61" s="51" t="n">
        <x:v>0</x:v>
      </x:c>
      <x:c r="Q61" s="47" t="str">
        <x:v>continuity/isolation</x:v>
      </x:c>
      <x:c r="R61" s="47" t="str">
        <x:v>short / corrosion</x:v>
      </x:c>
      <x:c r="S61" s="47" t="str"/>
      <x:c r="T61" s="47" t="str">
        <x:v>Steam/electric supporting chain</x:v>
      </x:c>
      <x:c r="U61" s="47" t="str">
        <x:v>Compressed family/assembly</x:v>
      </x:c>
      <x:c r="V61" s="49"/>
      <x:c r="W61" s="49"/>
    </x:row>
    <x:row r="62">
      <x:c r="A62" s="47" t="str">
        <x:v>P-CLEAN-WATER</x:v>
      </x:c>
      <x:c r="B62" s="47" t="str">
        <x:v>Treated protected water lot</x:v>
      </x:c>
      <x:c r="C62" s="47" t="str">
        <x:v>Water</x:v>
      </x:c>
      <x:c r="D62" s="47" t="str">
        <x:v>Processed</x:v>
      </x:c>
      <x:c r="E62" s="47" t="str">
        <x:v>H2</x:v>
      </x:c>
      <x:c r="F62" s="47" t="str">
        <x:v>Processed material/consumable</x:v>
      </x:c>
      <x:c r="G62" s="47" t="str">
        <x:v>Yes</x:v>
      </x:c>
      <x:c r="H62" s="47" t="str">
        <x:v>Make / assemble / qualify</x:v>
      </x:c>
      <x:c r="I62" s="47" t="str">
        <x:v>S-POND; C-FOUND-PAN; W-HEARTH</x:v>
      </x:c>
      <x:c r="J62" s="47" t="str">
        <x:v>collect / clarify / boil / cool / cover</x:v>
      </x:c>
      <x:c r="K62" s="47" t="str">
        <x:v>C-FOUND-PAN</x:v>
      </x:c>
      <x:c r="L62" s="47" t="str">
        <x:v>W-WATER</x:v>
      </x:c>
      <x:c r="M62" s="47" t="str">
        <x:v>water / hygiene</x:v>
      </x:c>
      <x:c r="N62" s="47" t="str">
        <x:v>moderate</x:v>
      </x:c>
      <x:c r="O62" s="51" t="n">
        <x:v>30</x:v>
      </x:c>
      <x:c r="P62" s="51" t="n">
        <x:v>15</x:v>
      </x:c>
      <x:c r="Q62" s="47" t="str">
        <x:v>treatment + container history</x:v>
      </x:c>
      <x:c r="R62" s="47" t="str">
        <x:v>recontamination</x:v>
      </x:c>
      <x:c r="S62" s="47" t="str"/>
      <x:c r="T62" s="47" t="str"/>
      <x:c r="U62" s="47" t="str">
        <x:v>Governed node; variants not separated</x:v>
      </x:c>
      <x:c r="V62" s="49"/>
      <x:c r="W62" s="49"/>
    </x:row>
    <x:row r="63">
      <x:c r="A63" s="47" t="str">
        <x:v>P-ORS</x:v>
      </x:c>
      <x:c r="B63" s="47" t="str">
        <x:v>Measured oral rehydration solution</x:v>
      </x:c>
      <x:c r="C63" s="47" t="str">
        <x:v>Medicine</x:v>
      </x:c>
      <x:c r="D63" s="47" t="str">
        <x:v>Processed</x:v>
      </x:c>
      <x:c r="E63" s="47" t="str">
        <x:v>H3</x:v>
      </x:c>
      <x:c r="F63" s="47" t="str">
        <x:v>Processed material/consumable</x:v>
      </x:c>
      <x:c r="G63" s="47" t="str">
        <x:v>Yes</x:v>
      </x:c>
      <x:c r="H63" s="47" t="str">
        <x:v>Make / assemble / qualify</x:v>
      </x:c>
      <x:c r="I63" s="47" t="str">
        <x:v>P-CLEAN-WATER; S-SALT; S-SUGAR; T-MEASURE</x:v>
      </x:c>
      <x:c r="J63" s="47" t="str">
        <x:v>measure / mix / label</x:v>
      </x:c>
      <x:c r="K63" s="47" t="str">
        <x:v>T-MEASURE</x:v>
      </x:c>
      <x:c r="L63" s="47" t="str">
        <x:v>W-CLEAN</x:v>
      </x:c>
      <x:c r="M63" s="47" t="str">
        <x:v>medicine / measurement</x:v>
      </x:c>
      <x:c r="N63" s="47" t="str">
        <x:v>low</x:v>
      </x:c>
      <x:c r="O63" s="51" t="n">
        <x:v>10</x:v>
      </x:c>
      <x:c r="P63" s="51" t="n">
        <x:v>0</x:v>
      </x:c>
      <x:c r="Q63" s="47" t="str">
        <x:v>correct measure and taste warning</x:v>
      </x:c>
      <x:c r="R63" s="47" t="str">
        <x:v>too concentrated / dirty</x:v>
      </x:c>
      <x:c r="S63" s="47" t="str"/>
      <x:c r="T63" s="47" t="str"/>
      <x:c r="U63" s="47" t="str">
        <x:v>Governed node; variants not separated</x:v>
      </x:c>
      <x:c r="V63" s="49"/>
      <x:c r="W63" s="49"/>
    </x:row>
    <x:row r="64">
      <x:c r="A64" s="47" t="str">
        <x:v>P-DRESSING</x:v>
      </x:c>
      <x:c r="B64" s="47" t="str">
        <x:v>Clean dressing</x:v>
      </x:c>
      <x:c r="C64" s="47" t="str">
        <x:v>Medicine</x:v>
      </x:c>
      <x:c r="D64" s="47" t="str">
        <x:v>Processed</x:v>
      </x:c>
      <x:c r="E64" s="47" t="str">
        <x:v>H2</x:v>
      </x:c>
      <x:c r="F64" s="47" t="str">
        <x:v>Processed material/consumable</x:v>
      </x:c>
      <x:c r="G64" s="47" t="str">
        <x:v>Yes</x:v>
      </x:c>
      <x:c r="H64" s="47" t="str">
        <x:v>Make / assemble / qualify</x:v>
      </x:c>
      <x:c r="I64" s="47" t="str">
        <x:v>S-CANVAS; P-CLEAN-WATER; T-STONE-KNIFE</x:v>
      </x:c>
      <x:c r="J64" s="47" t="str">
        <x:v>clean / cut / dry / store</x:v>
      </x:c>
      <x:c r="K64" s="47" t="str">
        <x:v>T-STONE-KNIFE</x:v>
      </x:c>
      <x:c r="L64" s="47" t="str">
        <x:v>W-CLEAN</x:v>
      </x:c>
      <x:c r="M64" s="47" t="str">
        <x:v>hygiene / medicine</x:v>
      </x:c>
      <x:c r="N64" s="47" t="str">
        <x:v>dexterity</x:v>
      </x:c>
      <x:c r="O64" s="51" t="n">
        <x:v>30</x:v>
      </x:c>
      <x:c r="P64" s="51" t="n">
        <x:v>60</x:v>
      </x:c>
      <x:c r="Q64" s="47" t="str">
        <x:v>clean/fit inspection</x:v>
      </x:c>
      <x:c r="R64" s="47" t="str">
        <x:v>contaminate / fray</x:v>
      </x:c>
      <x:c r="S64" s="47" t="str"/>
      <x:c r="T64" s="47" t="str"/>
      <x:c r="U64" s="47" t="str">
        <x:v>Governed node; variants not separated</x:v>
      </x:c>
      <x:c r="V64" s="49"/>
      <x:c r="W64" s="49"/>
    </x:row>
    <x:row r="65">
      <x:c r="A65" s="47" t="str">
        <x:v>P-SPLINT-STOCK</x:v>
      </x:c>
      <x:c r="B65" s="47" t="str">
        <x:v>Padded splint stock</x:v>
      </x:c>
      <x:c r="C65" s="47" t="str">
        <x:v>Medicine</x:v>
      </x:c>
      <x:c r="D65" s="47" t="str">
        <x:v>Processed</x:v>
      </x:c>
      <x:c r="E65" s="47" t="str">
        <x:v>H2</x:v>
      </x:c>
      <x:c r="F65" s="47" t="str">
        <x:v>Processed material/consumable</x:v>
      </x:c>
      <x:c r="G65" s="47" t="str">
        <x:v>Yes</x:v>
      </x:c>
      <x:c r="H65" s="47" t="str">
        <x:v>Make / assemble / qualify</x:v>
      </x:c>
      <x:c r="I65" s="47" t="str">
        <x:v>P-STRAIGHT-POLE; S-CANVAS; P-CORD</x:v>
      </x:c>
      <x:c r="J65" s="47" t="str">
        <x:v>shape / pad / bind</x:v>
      </x:c>
      <x:c r="K65" s="47" t="str">
        <x:v>T-STONE-KNIFE</x:v>
      </x:c>
      <x:c r="L65" s="47" t="str">
        <x:v>W-CLEAN</x:v>
      </x:c>
      <x:c r="M65" s="47" t="str">
        <x:v>medicine / fit</x:v>
      </x:c>
      <x:c r="N65" s="47" t="str">
        <x:v>dexterity</x:v>
      </x:c>
      <x:c r="O65" s="51" t="n">
        <x:v>30</x:v>
      </x:c>
      <x:c r="P65" s="51" t="n">
        <x:v>0</x:v>
      </x:c>
      <x:c r="Q65" s="47" t="str">
        <x:v>fit/circulation check</x:v>
      </x:c>
      <x:c r="R65" s="47" t="str">
        <x:v>pressure / slip</x:v>
      </x:c>
      <x:c r="S65" s="47" t="str"/>
      <x:c r="T65" s="47" t="str"/>
      <x:c r="U65" s="47" t="str">
        <x:v>Compressed family/assembly</x:v>
      </x:c>
      <x:c r="V65" s="49"/>
      <x:c r="W65" s="49"/>
    </x:row>
    <x:row r="66">
      <x:c r="A66" s="47" t="str">
        <x:v>P-PRESERVED-FOOD</x:v>
      </x:c>
      <x:c r="B66" s="47" t="str">
        <x:v>Preserved food lot</x:v>
      </x:c>
      <x:c r="C66" s="47" t="str">
        <x:v>Food</x:v>
      </x:c>
      <x:c r="D66" s="47" t="str">
        <x:v>Processed</x:v>
      </x:c>
      <x:c r="E66" s="47" t="str">
        <x:v>H3</x:v>
      </x:c>
      <x:c r="F66" s="47" t="str">
        <x:v>Processed material/consumable</x:v>
      </x:c>
      <x:c r="G66" s="47" t="str">
        <x:v>Yes</x:v>
      </x:c>
      <x:c r="H66" s="47" t="str">
        <x:v>Make / assemble / qualify</x:v>
      </x:c>
      <x:c r="I66" s="47" t="str">
        <x:v>S-FOOD; A-SMOKER</x:v>
      </x:c>
      <x:c r="J66" s="47" t="str">
        <x:v>clean / cut / smoke / inspect</x:v>
      </x:c>
      <x:c r="K66" s="47" t="str">
        <x:v>T-STONE-KNIFE</x:v>
      </x:c>
      <x:c r="L66" s="47" t="str">
        <x:v>A-SMOKER</x:v>
      </x:c>
      <x:c r="M66" s="47" t="str">
        <x:v>food / hygiene</x:v>
      </x:c>
      <x:c r="N66" s="47" t="str">
        <x:v>moderate</x:v>
      </x:c>
      <x:c r="O66" s="51" t="n">
        <x:v>60</x:v>
      </x:c>
      <x:c r="P66" s="51" t="n">
        <x:v>480</x:v>
      </x:c>
      <x:c r="Q66" s="47" t="str">
        <x:v>dryness/spoilage history</x:v>
      </x:c>
      <x:c r="R66" s="47" t="str">
        <x:v>false preserve</x:v>
      </x:c>
      <x:c r="S66" s="47" t="str"/>
      <x:c r="T66" s="47" t="str"/>
      <x:c r="U66" s="47" t="str">
        <x:v>Governed node; variants not separated</x:v>
      </x:c>
      <x:c r="V66" s="49"/>
      <x:c r="W66" s="49"/>
    </x:row>
    <x:row r="67">
      <x:c r="A67" s="47" t="str">
        <x:v>P-SEED-LOT</x:v>
      </x:c>
      <x:c r="B67" s="47" t="str">
        <x:v>Documented seed lot</x:v>
      </x:c>
      <x:c r="C67" s="47" t="str">
        <x:v>Food</x:v>
      </x:c>
      <x:c r="D67" s="47" t="str">
        <x:v>Processed</x:v>
      </x:c>
      <x:c r="E67" s="47" t="str">
        <x:v>H3</x:v>
      </x:c>
      <x:c r="F67" s="47" t="str">
        <x:v>Processed material/consumable</x:v>
      </x:c>
      <x:c r="G67" s="47" t="str">
        <x:v>Yes</x:v>
      </x:c>
      <x:c r="H67" s="47" t="str">
        <x:v>Make / assemble / qualify</x:v>
      </x:c>
      <x:c r="I67" s="47" t="str">
        <x:v>S-FOOD; W-ARCHIVE</x:v>
      </x:c>
      <x:c r="J67" s="47" t="str">
        <x:v>select / clean / dry / label</x:v>
      </x:c>
      <x:c r="K67" s="47" t="str">
        <x:v>T-STONE-KNIFE</x:v>
      </x:c>
      <x:c r="L67" s="47" t="str">
        <x:v>W-ARCHIVE</x:v>
      </x:c>
      <x:c r="M67" s="47" t="str">
        <x:v>cultivation / record</x:v>
      </x:c>
      <x:c r="N67" s="47" t="str">
        <x:v>low</x:v>
      </x:c>
      <x:c r="O67" s="51" t="n">
        <x:v>30</x:v>
      </x:c>
      <x:c r="P67" s="51" t="n">
        <x:v>240</x:v>
      </x:c>
      <x:c r="Q67" s="47" t="str">
        <x:v>germination test</x:v>
      </x:c>
      <x:c r="R67" s="47" t="str">
        <x:v>mold / low viability</x:v>
      </x:c>
      <x:c r="S67" s="47" t="str"/>
      <x:c r="T67" s="47" t="str"/>
      <x:c r="U67" s="47" t="str">
        <x:v>Governed node; variants not separated</x:v>
      </x:c>
      <x:c r="V67" s="49"/>
      <x:c r="W67" s="49"/>
    </x:row>
    <x:row r="68">
      <x:c r="A68" s="47" t="str">
        <x:v>T-MEASURE</x:v>
      </x:c>
      <x:c r="B68" s="47" t="str">
        <x:v>Marked cord/gauge/level</x:v>
      </x:c>
      <x:c r="C68" s="47" t="str">
        <x:v>Tools</x:v>
      </x:c>
      <x:c r="D68" s="47" t="str">
        <x:v>Tool</x:v>
      </x:c>
      <x:c r="E68" s="47" t="str">
        <x:v>H2</x:v>
      </x:c>
      <x:c r="F68" s="47" t="str">
        <x:v>Carryable tool/equipment</x:v>
      </x:c>
      <x:c r="G68" s="47" t="str">
        <x:v>Yes</x:v>
      </x:c>
      <x:c r="H68" s="47" t="str">
        <x:v>Make / assemble / qualify</x:v>
      </x:c>
      <x:c r="I68" s="47" t="str">
        <x:v>P-CORD; P-STRAIGHT-POLE; P-CLEAN-WATER</x:v>
      </x:c>
      <x:c r="J68" s="47" t="str">
        <x:v>mark / compare / calibrate</x:v>
      </x:c>
      <x:c r="K68" s="47" t="str">
        <x:v>T-STONE-KNIFE</x:v>
      </x:c>
      <x:c r="L68" s="47" t="str">
        <x:v>W-WORKMAT</x:v>
      </x:c>
      <x:c r="M68" s="47" t="str">
        <x:v>measurement</x:v>
      </x:c>
      <x:c r="N68" s="47" t="str">
        <x:v>dexterity</x:v>
      </x:c>
      <x:c r="O68" s="51" t="n">
        <x:v>45</x:v>
      </x:c>
      <x:c r="P68" s="51" t="n">
        <x:v>0</x:v>
      </x:c>
      <x:c r="Q68" s="47" t="str">
        <x:v>known-length/level test</x:v>
      </x:c>
      <x:c r="R68" s="47" t="str">
        <x:v>bad datum</x:v>
      </x:c>
      <x:c r="S68" s="47" t="str"/>
      <x:c r="T68" s="47" t="str"/>
      <x:c r="U68" s="47" t="str">
        <x:v>Compressed family/assembly</x:v>
      </x:c>
      <x:c r="V68" s="49"/>
      <x:c r="W68" s="49"/>
    </x:row>
    <x:row r="69">
      <x:c r="A69" s="47" t="str">
        <x:v>T-AXE</x:v>
      </x:c>
      <x:c r="B69" s="47" t="str">
        <x:v>Handled chopping tool</x:v>
      </x:c>
      <x:c r="C69" s="47" t="str">
        <x:v>Tools</x:v>
      </x:c>
      <x:c r="D69" s="47" t="str">
        <x:v>Tool</x:v>
      </x:c>
      <x:c r="E69" s="47" t="str">
        <x:v>H2</x:v>
      </x:c>
      <x:c r="F69" s="47" t="str">
        <x:v>Carryable tool/equipment</x:v>
      </x:c>
      <x:c r="G69" s="47" t="str">
        <x:v>Yes</x:v>
      </x:c>
      <x:c r="H69" s="47" t="str">
        <x:v>Make / assemble / qualify</x:v>
      </x:c>
      <x:c r="I69" s="47" t="str">
        <x:v>P-SHARP-EDGE; P-STRAIGHT-POLE; P-CORD; P-PEG</x:v>
      </x:c>
      <x:c r="J69" s="47" t="str">
        <x:v>fit / bind / wedge / balance / test</x:v>
      </x:c>
      <x:c r="K69" s="47" t="str">
        <x:v>T-MALLET</x:v>
      </x:c>
      <x:c r="L69" s="47" t="str">
        <x:v>W-BENCH</x:v>
      </x:c>
      <x:c r="M69" s="47" t="str">
        <x:v>toolmaking / timber</x:v>
      </x:c>
      <x:c r="N69" s="47" t="str">
        <x:v>strength + dexterity</x:v>
      </x:c>
      <x:c r="O69" s="51" t="n">
        <x:v>120</x:v>
      </x:c>
      <x:c r="P69" s="51" t="n">
        <x:v>0</x:v>
      </x:c>
      <x:c r="Q69" s="47" t="str">
        <x:v>repeated strike/haft test</x:v>
      </x:c>
      <x:c r="R69" s="47" t="str">
        <x:v>head shift / break</x:v>
      </x:c>
      <x:c r="S69" s="47" t="str">
        <x:v>Dual-use tool; no weapon model</x:v>
      </x:c>
      <x:c r="T69" s="47" t="str"/>
      <x:c r="U69" s="47" t="str">
        <x:v>Governed node; variants not separated</x:v>
      </x:c>
      <x:c r="V69" s="49"/>
      <x:c r="W69" s="49"/>
    </x:row>
    <x:row r="70">
      <x:c r="A70" s="47" t="str">
        <x:v>T-ADZE</x:v>
      </x:c>
      <x:c r="B70" s="47" t="str">
        <x:v>Adze/hewing tool</x:v>
      </x:c>
      <x:c r="C70" s="47" t="str">
        <x:v>Tools</x:v>
      </x:c>
      <x:c r="D70" s="47" t="str">
        <x:v>Tool</x:v>
      </x:c>
      <x:c r="E70" s="47" t="str">
        <x:v>H3</x:v>
      </x:c>
      <x:c r="F70" s="47" t="str">
        <x:v>Carryable tool/equipment</x:v>
      </x:c>
      <x:c r="G70" s="47" t="str">
        <x:v>Yes</x:v>
      </x:c>
      <x:c r="H70" s="47" t="str">
        <x:v>Make / assemble / qualify</x:v>
      </x:c>
      <x:c r="I70" s="47" t="str">
        <x:v>P-METAL-STOCK; P-STRAIGHT-POLE; P-PEG</x:v>
      </x:c>
      <x:c r="J70" s="47" t="str">
        <x:v>shape / haft / angle / test</x:v>
      </x:c>
      <x:c r="K70" s="47" t="str">
        <x:v>T-HAMMER</x:v>
      </x:c>
      <x:c r="L70" s="47" t="str">
        <x:v>W-BENCH</x:v>
      </x:c>
      <x:c r="M70" s="47" t="str">
        <x:v>metal / timber</x:v>
      </x:c>
      <x:c r="N70" s="47" t="str">
        <x:v>strength + dexterity</x:v>
      </x:c>
      <x:c r="O70" s="51" t="n">
        <x:v>180</x:v>
      </x:c>
      <x:c r="P70" s="51" t="n">
        <x:v>0</x:v>
      </x:c>
      <x:c r="Q70" s="47" t="str">
        <x:v>controlled hew</x:v>
      </x:c>
      <x:c r="R70" s="47" t="str">
        <x:v>head shift / cut</x:v>
      </x:c>
      <x:c r="S70" s="47" t="str"/>
      <x:c r="T70" s="47" t="str"/>
      <x:c r="U70" s="47" t="str">
        <x:v>Compressed family/assembly</x:v>
      </x:c>
      <x:c r="V70" s="49"/>
      <x:c r="W70" s="49"/>
    </x:row>
    <x:row r="71">
      <x:c r="A71" s="47" t="str">
        <x:v>T-MALLET</x:v>
      </x:c>
      <x:c r="B71" s="47" t="str">
        <x:v>Wood/stone mallet</x:v>
      </x:c>
      <x:c r="C71" s="47" t="str">
        <x:v>Tools</x:v>
      </x:c>
      <x:c r="D71" s="47" t="str">
        <x:v>Tool</x:v>
      </x:c>
      <x:c r="E71" s="47" t="str">
        <x:v>H1</x:v>
      </x:c>
      <x:c r="F71" s="47" t="str">
        <x:v>Carryable tool/equipment</x:v>
      </x:c>
      <x:c r="G71" s="47" t="str">
        <x:v>Yes</x:v>
      </x:c>
      <x:c r="H71" s="47" t="str">
        <x:v>Make / assemble / qualify</x:v>
      </x:c>
      <x:c r="I71" s="47" t="str">
        <x:v>P-STRAIGHT-POLE; P-PEG</x:v>
      </x:c>
      <x:c r="J71" s="47" t="str">
        <x:v>shape / haft / test</x:v>
      </x:c>
      <x:c r="K71" s="47" t="str">
        <x:v>T-STONE-KNIFE</x:v>
      </x:c>
      <x:c r="L71" s="47" t="str">
        <x:v>W-WORKMAT</x:v>
      </x:c>
      <x:c r="M71" s="47" t="str">
        <x:v>toolmaking</x:v>
      </x:c>
      <x:c r="N71" s="47" t="str">
        <x:v>strength</x:v>
      </x:c>
      <x:c r="O71" s="51" t="n">
        <x:v>45</x:v>
      </x:c>
      <x:c r="P71" s="51" t="n">
        <x:v>0</x:v>
      </x:c>
      <x:c r="Q71" s="47" t="str">
        <x:v>strike/haft test</x:v>
      </x:c>
      <x:c r="R71" s="47" t="str">
        <x:v>split</x:v>
      </x:c>
      <x:c r="S71" s="47" t="str"/>
      <x:c r="T71" s="47" t="str"/>
      <x:c r="U71" s="47" t="str">
        <x:v>Compressed family/assembly</x:v>
      </x:c>
      <x:c r="V71" s="49"/>
      <x:c r="W71" s="49"/>
    </x:row>
    <x:row r="72">
      <x:c r="A72" s="47" t="str">
        <x:v>T-HAMMER</x:v>
      </x:c>
      <x:c r="B72" s="47" t="str">
        <x:v>Fitted metal hammer</x:v>
      </x:c>
      <x:c r="C72" s="47" t="str">
        <x:v>Tools</x:v>
      </x:c>
      <x:c r="D72" s="47" t="str">
        <x:v>Tool</x:v>
      </x:c>
      <x:c r="E72" s="47" t="str">
        <x:v>H4</x:v>
      </x:c>
      <x:c r="F72" s="47" t="str">
        <x:v>Carryable tool/equipment</x:v>
      </x:c>
      <x:c r="G72" s="47" t="str">
        <x:v>Yes</x:v>
      </x:c>
      <x:c r="H72" s="47" t="str">
        <x:v>Make / assemble / qualify</x:v>
      </x:c>
      <x:c r="I72" s="47" t="str">
        <x:v>P-METAL-STOCK; P-STRAIGHT-POLE; P-PEG; W-FORGE</x:v>
      </x:c>
      <x:c r="J72" s="47" t="str">
        <x:v>forge / fit / wedge / temper / test</x:v>
      </x:c>
      <x:c r="K72" s="47" t="str">
        <x:v>T-TONGS</x:v>
      </x:c>
      <x:c r="L72" s="47" t="str">
        <x:v>W-FORGE</x:v>
      </x:c>
      <x:c r="M72" s="47" t="str">
        <x:v>metal / toolmaking</x:v>
      </x:c>
      <x:c r="N72" s="47" t="str">
        <x:v>strength + heat</x:v>
      </x:c>
      <x:c r="O72" s="51" t="n">
        <x:v>240</x:v>
      </x:c>
      <x:c r="P72" s="51" t="n">
        <x:v>0</x:v>
      </x:c>
      <x:c r="Q72" s="47" t="str">
        <x:v>face/haft/load test</x:v>
      </x:c>
      <x:c r="R72" s="47" t="str">
        <x:v>crack / mushroom</x:v>
      </x:c>
      <x:c r="S72" s="47" t="str"/>
      <x:c r="T72" s="47" t="str"/>
      <x:c r="U72" s="47" t="str">
        <x:v>Governed node; variants not separated</x:v>
      </x:c>
      <x:c r="V72" s="49"/>
      <x:c r="W72" s="49"/>
    </x:row>
    <x:row r="73">
      <x:c r="A73" s="47" t="str">
        <x:v>T-CHISEL</x:v>
      </x:c>
      <x:c r="B73" s="47" t="str">
        <x:v>Chisel/wedge set</x:v>
      </x:c>
      <x:c r="C73" s="47" t="str">
        <x:v>Tools</x:v>
      </x:c>
      <x:c r="D73" s="47" t="str">
        <x:v>Tool</x:v>
      </x:c>
      <x:c r="E73" s="47" t="str">
        <x:v>H3</x:v>
      </x:c>
      <x:c r="F73" s="47" t="str">
        <x:v>Carryable tool/equipment</x:v>
      </x:c>
      <x:c r="G73" s="47" t="str">
        <x:v>Yes</x:v>
      </x:c>
      <x:c r="H73" s="47" t="str">
        <x:v>Make / assemble / qualify</x:v>
      </x:c>
      <x:c r="I73" s="47" t="str">
        <x:v>P-METAL-STOCK; W-FORGE</x:v>
      </x:c>
      <x:c r="J73" s="47" t="str">
        <x:v>forge / grind / temper</x:v>
      </x:c>
      <x:c r="K73" s="47" t="str">
        <x:v>T-HAMMER</x:v>
      </x:c>
      <x:c r="L73" s="47" t="str">
        <x:v>W-FORGE</x:v>
      </x:c>
      <x:c r="M73" s="47" t="str">
        <x:v>metal / fracture</x:v>
      </x:c>
      <x:c r="N73" s="47" t="str">
        <x:v>heat + dexterity</x:v>
      </x:c>
      <x:c r="O73" s="51" t="n">
        <x:v>180</x:v>
      </x:c>
      <x:c r="P73" s="51" t="n">
        <x:v>0</x:v>
      </x:c>
      <x:c r="Q73" s="47" t="str">
        <x:v>edge and strike test</x:v>
      </x:c>
      <x:c r="R73" s="47" t="str">
        <x:v>chip / bend</x:v>
      </x:c>
      <x:c r="S73" s="47" t="str"/>
      <x:c r="T73" s="47" t="str"/>
      <x:c r="U73" s="47" t="str">
        <x:v>Compressed family/assembly</x:v>
      </x:c>
      <x:c r="V73" s="49"/>
      <x:c r="W73" s="49"/>
    </x:row>
    <x:row r="74">
      <x:c r="A74" s="47" t="str">
        <x:v>T-PRY</x:v>
      </x:c>
      <x:c r="B74" s="47" t="str">
        <x:v>Pry bar/leverage tool</x:v>
      </x:c>
      <x:c r="C74" s="47" t="str">
        <x:v>Tools</x:v>
      </x:c>
      <x:c r="D74" s="47" t="str">
        <x:v>Tool</x:v>
      </x:c>
      <x:c r="E74" s="47" t="str">
        <x:v>H3</x:v>
      </x:c>
      <x:c r="F74" s="47" t="str">
        <x:v>Carryable tool/equipment</x:v>
      </x:c>
      <x:c r="G74" s="47" t="str">
        <x:v>Yes</x:v>
      </x:c>
      <x:c r="H74" s="47" t="str">
        <x:v>Make / assemble / qualify</x:v>
      </x:c>
      <x:c r="I74" s="47" t="str">
        <x:v>P-METAL-STOCK; W-FORGE</x:v>
      </x:c>
      <x:c r="J74" s="47" t="str">
        <x:v>select / bend / shape / test</x:v>
      </x:c>
      <x:c r="K74" s="47" t="str">
        <x:v>T-HAMMER</x:v>
      </x:c>
      <x:c r="L74" s="47" t="str">
        <x:v>W-FORGE</x:v>
      </x:c>
      <x:c r="M74" s="47" t="str">
        <x:v>metal / leverage</x:v>
      </x:c>
      <x:c r="N74" s="47" t="str">
        <x:v>strength</x:v>
      </x:c>
      <x:c r="O74" s="51" t="n">
        <x:v>120</x:v>
      </x:c>
      <x:c r="P74" s="51" t="n">
        <x:v>0</x:v>
      </x:c>
      <x:c r="Q74" s="47" t="str">
        <x:v>proof bend</x:v>
      </x:c>
      <x:c r="R74" s="47" t="str">
        <x:v>springback / fracture</x:v>
      </x:c>
      <x:c r="S74" s="47" t="str">
        <x:v>Dual-use tool; no weapon model</x:v>
      </x:c>
      <x:c r="T74" s="47" t="str"/>
      <x:c r="U74" s="47" t="str">
        <x:v>Compressed family/assembly</x:v>
      </x:c>
      <x:c r="V74" s="49"/>
      <x:c r="W74" s="49"/>
    </x:row>
    <x:row r="75">
      <x:c r="A75" s="47" t="str">
        <x:v>T-AWL</x:v>
      </x:c>
      <x:c r="B75" s="47" t="str">
        <x:v>Awl/piercer</x:v>
      </x:c>
      <x:c r="C75" s="47" t="str">
        <x:v>Tools</x:v>
      </x:c>
      <x:c r="D75" s="47" t="str">
        <x:v>Tool</x:v>
      </x:c>
      <x:c r="E75" s="47" t="str">
        <x:v>H1</x:v>
      </x:c>
      <x:c r="F75" s="47" t="str">
        <x:v>Carryable tool/equipment</x:v>
      </x:c>
      <x:c r="G75" s="47" t="str">
        <x:v>Yes</x:v>
      </x:c>
      <x:c r="H75" s="47" t="str">
        <x:v>Make / assemble / qualify</x:v>
      </x:c>
      <x:c r="I75" s="47" t="str">
        <x:v>S-BONE; P-SHARP-EDGE</x:v>
      </x:c>
      <x:c r="J75" s="47" t="str">
        <x:v>shape / polish / grip</x:v>
      </x:c>
      <x:c r="K75" s="47" t="str">
        <x:v>T-STONE-KNIFE</x:v>
      </x:c>
      <x:c r="L75" s="47" t="str">
        <x:v>W-WORKMAT</x:v>
      </x:c>
      <x:c r="M75" s="47" t="str">
        <x:v>bone / sewing</x:v>
      </x:c>
      <x:c r="N75" s="47" t="str">
        <x:v>dexterity</x:v>
      </x:c>
      <x:c r="O75" s="51" t="n">
        <x:v>30</x:v>
      </x:c>
      <x:c r="P75" s="51" t="n">
        <x:v>0</x:v>
      </x:c>
      <x:c r="Q75" s="47" t="str">
        <x:v>pierce sample</x:v>
      </x:c>
      <x:c r="R75" s="47" t="str">
        <x:v>snap / puncture</x:v>
      </x:c>
      <x:c r="S75" s="47" t="str"/>
      <x:c r="T75" s="47" t="str"/>
      <x:c r="U75" s="47" t="str">
        <x:v>Compressed family/assembly</x:v>
      </x:c>
      <x:c r="V75" s="49"/>
      <x:c r="W75" s="49"/>
    </x:row>
    <x:row r="76">
      <x:c r="A76" s="47" t="str">
        <x:v>T-BOW-DRILL</x:v>
      </x:c>
      <x:c r="B76" s="47" t="str">
        <x:v>Bow/hand drill</x:v>
      </x:c>
      <x:c r="C76" s="47" t="str">
        <x:v>Tools</x:v>
      </x:c>
      <x:c r="D76" s="47" t="str">
        <x:v>Tool</x:v>
      </x:c>
      <x:c r="E76" s="47" t="str">
        <x:v>H2</x:v>
      </x:c>
      <x:c r="F76" s="47" t="str">
        <x:v>Carryable tool/equipment</x:v>
      </x:c>
      <x:c r="G76" s="47" t="str">
        <x:v>Yes</x:v>
      </x:c>
      <x:c r="H76" s="47" t="str">
        <x:v>Make / assemble / qualify</x:v>
      </x:c>
      <x:c r="I76" s="47" t="str">
        <x:v>P-STRAIGHT-POLE; P-CORD; P-SHARP-EDGE</x:v>
      </x:c>
      <x:c r="J76" s="47" t="str">
        <x:v>shape / assemble / brace / test</x:v>
      </x:c>
      <x:c r="K76" s="47" t="str">
        <x:v>T-STONE-KNIFE</x:v>
      </x:c>
      <x:c r="L76" s="47" t="str">
        <x:v>W-WORKMAT</x:v>
      </x:c>
      <x:c r="M76" s="47" t="str">
        <x:v>boring / fire</x:v>
      </x:c>
      <x:c r="N76" s="47" t="str">
        <x:v>coordination</x:v>
      </x:c>
      <x:c r="O76" s="51" t="n">
        <x:v>90</x:v>
      </x:c>
      <x:c r="P76" s="51" t="n">
        <x:v>0</x:v>
      </x:c>
      <x:c r="Q76" s="47" t="str">
        <x:v>controlled bore/ember</x:v>
      </x:c>
      <x:c r="R76" s="47" t="str">
        <x:v>slip / friction burn</x:v>
      </x:c>
      <x:c r="S76" s="47" t="str"/>
      <x:c r="T76" s="47" t="str"/>
      <x:c r="U76" s="47" t="str">
        <x:v>Compressed family/assembly</x:v>
      </x:c>
      <x:c r="V76" s="49"/>
      <x:c r="W76" s="49"/>
    </x:row>
    <x:row r="77">
      <x:c r="A77" s="47" t="str">
        <x:v>T-DRILL</x:v>
      </x:c>
      <x:c r="B77" s="47" t="str">
        <x:v>Brace/drill and bits</x:v>
      </x:c>
      <x:c r="C77" s="47" t="str">
        <x:v>Tools</x:v>
      </x:c>
      <x:c r="D77" s="47" t="str">
        <x:v>Tool</x:v>
      </x:c>
      <x:c r="E77" s="47" t="str">
        <x:v>H4</x:v>
      </x:c>
      <x:c r="F77" s="47" t="str">
        <x:v>Carryable tool/equipment</x:v>
      </x:c>
      <x:c r="G77" s="47" t="str">
        <x:v>Yes</x:v>
      </x:c>
      <x:c r="H77" s="47" t="str">
        <x:v>Make / assemble / qualify</x:v>
      </x:c>
      <x:c r="I77" s="47" t="str">
        <x:v>P-METAL-STOCK; P-STRAIGHT-POLE; W-FORGE</x:v>
      </x:c>
      <x:c r="J77" s="47" t="str">
        <x:v>forge bit / make brace / align</x:v>
      </x:c>
      <x:c r="K77" s="47" t="str">
        <x:v>T-HAMMER</x:v>
      </x:c>
      <x:c r="L77" s="47" t="str">
        <x:v>W-BENCH</x:v>
      </x:c>
      <x:c r="M77" s="47" t="str">
        <x:v>metal / boring</x:v>
      </x:c>
      <x:c r="N77" s="47" t="str">
        <x:v>dexterity</x:v>
      </x:c>
      <x:c r="O77" s="51" t="n">
        <x:v>300</x:v>
      </x:c>
      <x:c r="P77" s="51" t="n">
        <x:v>0</x:v>
      </x:c>
      <x:c r="Q77" s="47" t="str">
        <x:v>round/aligned hole</x:v>
      </x:c>
      <x:c r="R77" s="47" t="str">
        <x:v>bit break</x:v>
      </x:c>
      <x:c r="S77" s="47" t="str"/>
      <x:c r="T77" s="47" t="str"/>
      <x:c r="U77" s="47" t="str">
        <x:v>Compressed family/assembly</x:v>
      </x:c>
      <x:c r="V77" s="49"/>
      <x:c r="W77" s="49"/>
    </x:row>
    <x:row r="78">
      <x:c r="A78" s="47" t="str">
        <x:v>T-SAW</x:v>
      </x:c>
      <x:c r="B78" s="47" t="str">
        <x:v>Saw/hacksaw route</x:v>
      </x:c>
      <x:c r="C78" s="47" t="str">
        <x:v>Tools</x:v>
      </x:c>
      <x:c r="D78" s="47" t="str">
        <x:v>Tool</x:v>
      </x:c>
      <x:c r="E78" s="47" t="str">
        <x:v>H4</x:v>
      </x:c>
      <x:c r="F78" s="47" t="str">
        <x:v>Carryable tool/equipment</x:v>
      </x:c>
      <x:c r="G78" s="47" t="str">
        <x:v>Yes</x:v>
      </x:c>
      <x:c r="H78" s="47" t="str">
        <x:v>Make / assemble / qualify</x:v>
      </x:c>
      <x:c r="I78" s="47" t="str">
        <x:v>P-METAL-STOCK; P-STRAIGHT-POLE; W-FORGE</x:v>
      </x:c>
      <x:c r="J78" s="47" t="str">
        <x:v>tooth / tension / handle / test</x:v>
      </x:c>
      <x:c r="K78" s="47" t="str">
        <x:v>T-FILE</x:v>
      </x:c>
      <x:c r="L78" s="47" t="str">
        <x:v>W-BENCH</x:v>
      </x:c>
      <x:c r="M78" s="47" t="str">
        <x:v>metal / timber</x:v>
      </x:c>
      <x:c r="N78" s="47" t="str">
        <x:v>endurance + dexterity</x:v>
      </x:c>
      <x:c r="O78" s="51" t="n">
        <x:v>360</x:v>
      </x:c>
      <x:c r="P78" s="51" t="n">
        <x:v>0</x:v>
      </x:c>
      <x:c r="Q78" s="47" t="str">
        <x:v>straight cut</x:v>
      </x:c>
      <x:c r="R78" s="47" t="str">
        <x:v>bind / tooth loss</x:v>
      </x:c>
      <x:c r="S78" s="47" t="str"/>
      <x:c r="T78" s="47" t="str"/>
      <x:c r="U78" s="47" t="str">
        <x:v>Compressed family/assembly</x:v>
      </x:c>
      <x:c r="V78" s="49"/>
      <x:c r="W78" s="49"/>
    </x:row>
    <x:row r="79">
      <x:c r="A79" s="47" t="str">
        <x:v>T-FILE</x:v>
      </x:c>
      <x:c r="B79" s="47" t="str">
        <x:v>File/abrasive tool</x:v>
      </x:c>
      <x:c r="C79" s="47" t="str">
        <x:v>Tools</x:v>
      </x:c>
      <x:c r="D79" s="47" t="str">
        <x:v>Tool</x:v>
      </x:c>
      <x:c r="E79" s="47" t="str">
        <x:v>H3</x:v>
      </x:c>
      <x:c r="F79" s="47" t="str">
        <x:v>Carryable tool/equipment</x:v>
      </x:c>
      <x:c r="G79" s="47" t="str">
        <x:v>Yes</x:v>
      </x:c>
      <x:c r="H79" s="47" t="str">
        <x:v>Make / assemble / qualify</x:v>
      </x:c>
      <x:c r="I79" s="47" t="str">
        <x:v>S-STONE; P-METAL-STOCK</x:v>
      </x:c>
      <x:c r="J79" s="47" t="str">
        <x:v>select / groove / harden / handle</x:v>
      </x:c>
      <x:c r="K79" s="47" t="str">
        <x:v>T-HAMMER</x:v>
      </x:c>
      <x:c r="L79" s="47" t="str">
        <x:v>W-FORGE</x:v>
      </x:c>
      <x:c r="M79" s="47" t="str">
        <x:v>abrasion / metal</x:v>
      </x:c>
      <x:c r="N79" s="47" t="str">
        <x:v>dexterity</x:v>
      </x:c>
      <x:c r="O79" s="51" t="n">
        <x:v>180</x:v>
      </x:c>
      <x:c r="P79" s="51" t="n">
        <x:v>0</x:v>
      </x:c>
      <x:c r="Q79" s="47" t="str">
        <x:v>controlled deburr</x:v>
      </x:c>
      <x:c r="R79" s="47" t="str">
        <x:v>clog / scratch</x:v>
      </x:c>
      <x:c r="S79" s="47" t="str"/>
      <x:c r="T79" s="47" t="str"/>
      <x:c r="U79" s="47" t="str">
        <x:v>Compressed family/assembly</x:v>
      </x:c>
      <x:c r="V79" s="49"/>
      <x:c r="W79" s="49"/>
    </x:row>
    <x:row r="80">
      <x:c r="A80" s="47" t="str">
        <x:v>T-TONGS</x:v>
      </x:c>
      <x:c r="B80" s="47" t="str">
        <x:v>Tongs/gripping tool</x:v>
      </x:c>
      <x:c r="C80" s="47" t="str">
        <x:v>Tools</x:v>
      </x:c>
      <x:c r="D80" s="47" t="str">
        <x:v>Tool</x:v>
      </x:c>
      <x:c r="E80" s="47" t="str">
        <x:v>H3</x:v>
      </x:c>
      <x:c r="F80" s="47" t="str">
        <x:v>Carryable tool/equipment</x:v>
      </x:c>
      <x:c r="G80" s="47" t="str">
        <x:v>Yes</x:v>
      </x:c>
      <x:c r="H80" s="47" t="str">
        <x:v>Make / assemble / qualify</x:v>
      </x:c>
      <x:c r="I80" s="47" t="str">
        <x:v>P-METAL-STOCK; W-FORGE</x:v>
      </x:c>
      <x:c r="J80" s="47" t="str">
        <x:v>forge / pivot / fit</x:v>
      </x:c>
      <x:c r="K80" s="47" t="str">
        <x:v>T-HAMMER</x:v>
      </x:c>
      <x:c r="L80" s="47" t="str">
        <x:v>W-FORGE</x:v>
      </x:c>
      <x:c r="M80" s="47" t="str">
        <x:v>metal / holding</x:v>
      </x:c>
      <x:c r="N80" s="47" t="str">
        <x:v>dexterity</x:v>
      </x:c>
      <x:c r="O80" s="51" t="n">
        <x:v>180</x:v>
      </x:c>
      <x:c r="P80" s="51" t="n">
        <x:v>0</x:v>
      </x:c>
      <x:c r="Q80" s="47" t="str">
        <x:v>hot-object grip</x:v>
      </x:c>
      <x:c r="R80" s="47" t="str">
        <x:v>slip / pinch</x:v>
      </x:c>
      <x:c r="S80" s="47" t="str"/>
      <x:c r="T80" s="47" t="str"/>
      <x:c r="U80" s="47" t="str">
        <x:v>Compressed family/assembly</x:v>
      </x:c>
      <x:c r="V80" s="49"/>
      <x:c r="W80" s="49"/>
    </x:row>
    <x:row r="81">
      <x:c r="A81" s="47" t="str">
        <x:v>T-CLAMP</x:v>
      </x:c>
      <x:c r="B81" s="47" t="str">
        <x:v>Clamp/vice/jig</x:v>
      </x:c>
      <x:c r="C81" s="47" t="str">
        <x:v>Tools</x:v>
      </x:c>
      <x:c r="D81" s="47" t="str">
        <x:v>Tool</x:v>
      </x:c>
      <x:c r="E81" s="47" t="str">
        <x:v>H3</x:v>
      </x:c>
      <x:c r="F81" s="47" t="str">
        <x:v>Carryable tool/equipment</x:v>
      </x:c>
      <x:c r="G81" s="47" t="str">
        <x:v>Yes</x:v>
      </x:c>
      <x:c r="H81" s="47" t="str">
        <x:v>Make / assemble / qualify</x:v>
      </x:c>
      <x:c r="I81" s="47" t="str">
        <x:v>P-PLANK; P-PEG; S-FASTENER</x:v>
      </x:c>
      <x:c r="J81" s="47" t="str">
        <x:v>frame / screw/wedge / align</x:v>
      </x:c>
      <x:c r="K81" s="47" t="str">
        <x:v>T-DRILL</x:v>
      </x:c>
      <x:c r="L81" s="47" t="str">
        <x:v>W-BENCH</x:v>
      </x:c>
      <x:c r="M81" s="47" t="str">
        <x:v>workholding</x:v>
      </x:c>
      <x:c r="N81" s="47" t="str">
        <x:v>dexterity</x:v>
      </x:c>
      <x:c r="O81" s="51" t="n">
        <x:v>180</x:v>
      </x:c>
      <x:c r="P81" s="51" t="n">
        <x:v>0</x:v>
      </x:c>
      <x:c r="Q81" s="47" t="str">
        <x:v>holding force/alignment</x:v>
      </x:c>
      <x:c r="R81" s="47" t="str">
        <x:v>rack / crush</x:v>
      </x:c>
      <x:c r="S81" s="47" t="str"/>
      <x:c r="T81" s="47" t="str"/>
      <x:c r="U81" s="47" t="str">
        <x:v>Compressed family/assembly</x:v>
      </x:c>
      <x:c r="V81" s="49"/>
      <x:c r="W81" s="49"/>
    </x:row>
    <x:row r="82">
      <x:c r="A82" s="47" t="str">
        <x:v>T-DIG</x:v>
      </x:c>
      <x:c r="B82" s="47" t="str">
        <x:v>Digging stick/scoop</x:v>
      </x:c>
      <x:c r="C82" s="47" t="str">
        <x:v>Tools</x:v>
      </x:c>
      <x:c r="D82" s="47" t="str">
        <x:v>Tool</x:v>
      </x:c>
      <x:c r="E82" s="47" t="str">
        <x:v>H1</x:v>
      </x:c>
      <x:c r="F82" s="47" t="str">
        <x:v>Carryable tool/equipment</x:v>
      </x:c>
      <x:c r="G82" s="47" t="str">
        <x:v>Yes</x:v>
      </x:c>
      <x:c r="H82" s="47" t="str">
        <x:v>Make / assemble / qualify</x:v>
      </x:c>
      <x:c r="I82" s="47" t="str">
        <x:v>P-STRAIGHT-POLE; P-SHARP-EDGE</x:v>
      </x:c>
      <x:c r="J82" s="47" t="str">
        <x:v>shape / harden / test</x:v>
      </x:c>
      <x:c r="K82" s="47" t="str">
        <x:v>T-STONE-KNIFE</x:v>
      </x:c>
      <x:c r="L82" s="47" t="str">
        <x:v>W-WORKMAT</x:v>
      </x:c>
      <x:c r="M82" s="47" t="str">
        <x:v>earthwork</x:v>
      </x:c>
      <x:c r="N82" s="47" t="str">
        <x:v>strength</x:v>
      </x:c>
      <x:c r="O82" s="51" t="n">
        <x:v>45</x:v>
      </x:c>
      <x:c r="P82" s="51" t="n">
        <x:v>0</x:v>
      </x:c>
      <x:c r="Q82" s="47" t="str">
        <x:v>soil penetration</x:v>
      </x:c>
      <x:c r="R82" s="47" t="str">
        <x:v>break / blister</x:v>
      </x:c>
      <x:c r="S82" s="47" t="str"/>
      <x:c r="T82" s="47" t="str"/>
      <x:c r="U82" s="47" t="str">
        <x:v>Compressed family/assembly</x:v>
      </x:c>
      <x:c r="V82" s="49"/>
      <x:c r="W82" s="49"/>
    </x:row>
    <x:row r="83">
      <x:c r="A83" s="47" t="str">
        <x:v>T-SHOVEL</x:v>
      </x:c>
      <x:c r="B83" s="47" t="str">
        <x:v>Fitted shovel/mattock</x:v>
      </x:c>
      <x:c r="C83" s="47" t="str">
        <x:v>Tools</x:v>
      </x:c>
      <x:c r="D83" s="47" t="str">
        <x:v>Tool</x:v>
      </x:c>
      <x:c r="E83" s="47" t="str">
        <x:v>H3</x:v>
      </x:c>
      <x:c r="F83" s="47" t="str">
        <x:v>Carryable tool/equipment</x:v>
      </x:c>
      <x:c r="G83" s="47" t="str">
        <x:v>Yes</x:v>
      </x:c>
      <x:c r="H83" s="47" t="str">
        <x:v>Make / assemble / qualify</x:v>
      </x:c>
      <x:c r="I83" s="47" t="str">
        <x:v>P-METAL-STOCK; P-STRAIGHT-POLE; S-FASTENER</x:v>
      </x:c>
      <x:c r="J83" s="47" t="str">
        <x:v>shape / haft / test</x:v>
      </x:c>
      <x:c r="K83" s="47" t="str">
        <x:v>T-HAMMER</x:v>
      </x:c>
      <x:c r="L83" s="47" t="str">
        <x:v>W-BENCH</x:v>
      </x:c>
      <x:c r="M83" s="47" t="str">
        <x:v>earthwork / metal</x:v>
      </x:c>
      <x:c r="N83" s="47" t="str">
        <x:v>strength + endurance</x:v>
      </x:c>
      <x:c r="O83" s="51" t="n">
        <x:v>240</x:v>
      </x:c>
      <x:c r="P83" s="51" t="n">
        <x:v>0</x:v>
      </x:c>
      <x:c r="Q83" s="47" t="str">
        <x:v>dig/lift test</x:v>
      </x:c>
      <x:c r="R83" s="47" t="str">
        <x:v>bend / loose</x:v>
      </x:c>
      <x:c r="S83" s="47" t="str"/>
      <x:c r="T83" s="47" t="str"/>
      <x:c r="U83" s="47" t="str">
        <x:v>Compressed family/assembly</x:v>
      </x:c>
      <x:c r="V83" s="49"/>
      <x:c r="W83" s="49"/>
    </x:row>
    <x:row r="84">
      <x:c r="A84" s="47" t="str">
        <x:v>T-NEEDLE</x:v>
      </x:c>
      <x:c r="B84" s="47" t="str">
        <x:v>Needle/sewing set</x:v>
      </x:c>
      <x:c r="C84" s="47" t="str">
        <x:v>Tools</x:v>
      </x:c>
      <x:c r="D84" s="47" t="str">
        <x:v>Tool</x:v>
      </x:c>
      <x:c r="E84" s="47" t="str">
        <x:v>H2</x:v>
      </x:c>
      <x:c r="F84" s="47" t="str">
        <x:v>Carryable tool/equipment</x:v>
      </x:c>
      <x:c r="G84" s="47" t="str">
        <x:v>Yes</x:v>
      </x:c>
      <x:c r="H84" s="47" t="str">
        <x:v>Make / assemble / qualify</x:v>
      </x:c>
      <x:c r="I84" s="47" t="str">
        <x:v>S-BONE; T-AWL</x:v>
      </x:c>
      <x:c r="J84" s="47" t="str">
        <x:v>shape / polish / eye</x:v>
      </x:c>
      <x:c r="K84" s="47" t="str">
        <x:v>T-STONE-KNIFE</x:v>
      </x:c>
      <x:c r="L84" s="47" t="str">
        <x:v>W-WORKMAT</x:v>
      </x:c>
      <x:c r="M84" s="47" t="str">
        <x:v>sewing</x:v>
      </x:c>
      <x:c r="N84" s="47" t="str">
        <x:v>dexterity</x:v>
      </x:c>
      <x:c r="O84" s="51" t="n">
        <x:v>45</x:v>
      </x:c>
      <x:c r="P84" s="51" t="n">
        <x:v>0</x:v>
      </x:c>
      <x:c r="Q84" s="47" t="str">
        <x:v>seam sample</x:v>
      </x:c>
      <x:c r="R84" s="47" t="str">
        <x:v>snap / puncture</x:v>
      </x:c>
      <x:c r="S84" s="47" t="str"/>
      <x:c r="T84" s="47" t="str"/>
      <x:c r="U84" s="47" t="str">
        <x:v>Compressed family/assembly</x:v>
      </x:c>
      <x:c r="V84" s="49"/>
      <x:c r="W84" s="49"/>
    </x:row>
    <x:row r="85">
      <x:c r="A85" s="47" t="str">
        <x:v>T-SNIPS</x:v>
      </x:c>
      <x:c r="B85" s="47" t="str">
        <x:v>Sheet cutting tool</x:v>
      </x:c>
      <x:c r="C85" s="47" t="str">
        <x:v>Tools</x:v>
      </x:c>
      <x:c r="D85" s="47" t="str">
        <x:v>Tool</x:v>
      </x:c>
      <x:c r="E85" s="47" t="str">
        <x:v>H4</x:v>
      </x:c>
      <x:c r="F85" s="47" t="str">
        <x:v>Carryable tool/equipment</x:v>
      </x:c>
      <x:c r="G85" s="47" t="str">
        <x:v>Yes</x:v>
      </x:c>
      <x:c r="H85" s="47" t="str">
        <x:v>Make / assemble / qualify</x:v>
      </x:c>
      <x:c r="I85" s="47" t="str">
        <x:v>P-METAL-STOCK; W-FORGE</x:v>
      </x:c>
      <x:c r="J85" s="47" t="str">
        <x:v>forge / pivot / sharpen / test</x:v>
      </x:c>
      <x:c r="K85" s="47" t="str">
        <x:v>T-HAMMER</x:v>
      </x:c>
      <x:c r="L85" s="47" t="str">
        <x:v>W-FORGE</x:v>
      </x:c>
      <x:c r="M85" s="47" t="str">
        <x:v>metal / sheet</x:v>
      </x:c>
      <x:c r="N85" s="47" t="str">
        <x:v>strength + dexterity</x:v>
      </x:c>
      <x:c r="O85" s="51" t="n">
        <x:v>300</x:v>
      </x:c>
      <x:c r="P85" s="51" t="n">
        <x:v>0</x:v>
      </x:c>
      <x:c r="Q85" s="47" t="str">
        <x:v>clean sheet cut</x:v>
      </x:c>
      <x:c r="R85" s="47" t="str">
        <x:v>burr / jaw spread</x:v>
      </x:c>
      <x:c r="S85" s="47" t="str"/>
      <x:c r="T85" s="47" t="str"/>
      <x:c r="U85" s="47" t="str">
        <x:v>Governed node; variants not separated</x:v>
      </x:c>
      <x:c r="V85" s="49"/>
      <x:c r="W85" s="49"/>
    </x:row>
    <x:row r="86">
      <x:c r="A86" s="47" t="str">
        <x:v>T-PUNCH</x:v>
      </x:c>
      <x:c r="B86" s="47" t="str">
        <x:v>Punch/rivet set</x:v>
      </x:c>
      <x:c r="C86" s="47" t="str">
        <x:v>Tools</x:v>
      </x:c>
      <x:c r="D86" s="47" t="str">
        <x:v>Tool</x:v>
      </x:c>
      <x:c r="E86" s="47" t="str">
        <x:v>H4</x:v>
      </x:c>
      <x:c r="F86" s="47" t="str">
        <x:v>Carryable tool/equipment</x:v>
      </x:c>
      <x:c r="G86" s="47" t="str">
        <x:v>Yes</x:v>
      </x:c>
      <x:c r="H86" s="47" t="str">
        <x:v>Make / assemble / qualify</x:v>
      </x:c>
      <x:c r="I86" s="47" t="str">
        <x:v>P-METAL-STOCK; W-FORGE</x:v>
      </x:c>
      <x:c r="J86" s="47" t="str">
        <x:v>forge / temper / size</x:v>
      </x:c>
      <x:c r="K86" s="47" t="str">
        <x:v>T-HAMMER</x:v>
      </x:c>
      <x:c r="L86" s="47" t="str">
        <x:v>W-FORGE</x:v>
      </x:c>
      <x:c r="M86" s="47" t="str">
        <x:v>metal / fastening</x:v>
      </x:c>
      <x:c r="N86" s="47" t="str">
        <x:v>dexterity</x:v>
      </x:c>
      <x:c r="O86" s="51" t="n">
        <x:v>180</x:v>
      </x:c>
      <x:c r="P86" s="51" t="n">
        <x:v>0</x:v>
      </x:c>
      <x:c r="Q86" s="47" t="str">
        <x:v>hole/rivet sample</x:v>
      </x:c>
      <x:c r="R86" s="47" t="str">
        <x:v>mushroom / misalign</x:v>
      </x:c>
      <x:c r="S86" s="47" t="str"/>
      <x:c r="T86" s="47" t="str"/>
      <x:c r="U86" s="47" t="str">
        <x:v>Compressed family/assembly</x:v>
      </x:c>
      <x:c r="V86" s="49"/>
      <x:c r="W86" s="49"/>
    </x:row>
    <x:row r="87">
      <x:c r="A87" s="47" t="str">
        <x:v>T-METER</x:v>
      </x:c>
      <x:c r="B87" s="47" t="str">
        <x:v>Electrical test meter</x:v>
      </x:c>
      <x:c r="C87" s="47" t="str">
        <x:v>Tools</x:v>
      </x:c>
      <x:c r="D87" s="47" t="str">
        <x:v>Tool</x:v>
      </x:c>
      <x:c r="E87" s="47" t="str">
        <x:v>H5</x:v>
      </x:c>
      <x:c r="F87" s="47" t="str">
        <x:v>Carryable tool/equipment</x:v>
      </x:c>
      <x:c r="G87" s="47" t="str">
        <x:v>Yes</x:v>
      </x:c>
      <x:c r="H87" s="47" t="str">
        <x:v>Recover / repair / qualify</x:v>
      </x:c>
      <x:c r="I87" s="47" t="str">
        <x:v>S-BATTERY; S-WIRE; S-RADIO</x:v>
      </x:c>
      <x:c r="J87" s="47" t="str">
        <x:v>recover / protect / calibrate</x:v>
      </x:c>
      <x:c r="K87" s="47" t="str"/>
      <x:c r="L87" s="47" t="str">
        <x:v>W-ELECTRICAL</x:v>
      </x:c>
      <x:c r="M87" s="47" t="str">
        <x:v>electrical / measurement</x:v>
      </x:c>
      <x:c r="N87" s="47" t="str">
        <x:v>dexterity + knowledge</x:v>
      </x:c>
      <x:c r="O87" s="51" t="n">
        <x:v>240</x:v>
      </x:c>
      <x:c r="P87" s="51" t="n">
        <x:v>0</x:v>
      </x:c>
      <x:c r="Q87" s="47" t="str">
        <x:v>known reference test</x:v>
      </x:c>
      <x:c r="R87" s="47" t="str">
        <x:v>short / false reading</x:v>
      </x:c>
      <x:c r="S87" s="47" t="str"/>
      <x:c r="T87" s="47" t="str">
        <x:v>Steam/electric supporting chain</x:v>
      </x:c>
      <x:c r="U87" s="47" t="str">
        <x:v>Governed node; variants not separated</x:v>
      </x:c>
      <x:c r="V87" s="49"/>
      <x:c r="W87" s="49"/>
    </x:row>
    <x:row r="88">
      <x:c r="A88" s="47" t="str">
        <x:v>W-WORKMAT</x:v>
      </x:c>
      <x:c r="B88" s="47" t="str">
        <x:v>Work mat/support</x:v>
      </x:c>
      <x:c r="C88" s="47" t="str">
        <x:v>Workspace</x:v>
      </x:c>
      <x:c r="D88" s="47" t="str">
        <x:v>Workspace</x:v>
      </x:c>
      <x:c r="E88" s="47" t="str">
        <x:v>H1</x:v>
      </x:c>
      <x:c r="F88" s="47" t="str">
        <x:v>Placeable workspace</x:v>
      </x:c>
      <x:c r="G88" s="47" t="str">
        <x:v>No</x:v>
      </x:c>
      <x:c r="H88" s="47" t="str">
        <x:v>Make / assemble / qualify</x:v>
      </x:c>
      <x:c r="I88" s="47" t="str">
        <x:v>P-MAT</x:v>
      </x:c>
      <x:c r="J88" s="47" t="str">
        <x:v>place / clean / support</x:v>
      </x:c>
      <x:c r="K88" s="47" t="str"/>
      <x:c r="L88" s="47" t="str">
        <x:v>sheltered ground</x:v>
      </x:c>
      <x:c r="M88" s="47" t="str">
        <x:v>workholding / hygiene</x:v>
      </x:c>
      <x:c r="N88" s="47" t="str">
        <x:v>low</x:v>
      </x:c>
      <x:c r="O88" s="51" t="n">
        <x:v>10</x:v>
      </x:c>
      <x:c r="P88" s="51" t="n">
        <x:v>0</x:v>
      </x:c>
      <x:c r="Q88" s="47" t="str">
        <x:v>dry/stable surface</x:v>
      </x:c>
      <x:c r="R88" s="47" t="str">
        <x:v>dirty / unstable</x:v>
      </x:c>
      <x:c r="S88" s="47" t="str"/>
      <x:c r="T88" s="47" t="str"/>
      <x:c r="U88" s="47" t="str">
        <x:v>Compressed family/assembly</x:v>
      </x:c>
      <x:c r="V88" s="49"/>
      <x:c r="W88" s="49"/>
    </x:row>
    <x:row r="89">
      <x:c r="A89" s="47" t="str">
        <x:v>W-HEARTH</x:v>
      </x:c>
      <x:c r="B89" s="47" t="str">
        <x:v>Controlled hearth</x:v>
      </x:c>
      <x:c r="C89" s="47" t="str">
        <x:v>Thermal</x:v>
      </x:c>
      <x:c r="D89" s="47" t="str">
        <x:v>Workspace</x:v>
      </x:c>
      <x:c r="E89" s="47" t="str">
        <x:v>H2</x:v>
      </x:c>
      <x:c r="F89" s="47" t="str">
        <x:v>Placeable workspace</x:v>
      </x:c>
      <x:c r="G89" s="47" t="str">
        <x:v>No</x:v>
      </x:c>
      <x:c r="H89" s="47" t="str">
        <x:v>Make / assemble / qualify</x:v>
      </x:c>
      <x:c r="I89" s="47" t="str">
        <x:v>S-STONE; S-WOODFUEL; P-CORD</x:v>
      </x:c>
      <x:c r="J89" s="47" t="str">
        <x:v>site / contain / ignite / manage / extinguish</x:v>
      </x:c>
      <x:c r="K89" s="47" t="str">
        <x:v>T-DIG</x:v>
      </x:c>
      <x:c r="L89" s="47" t="str">
        <x:v>safe exterior</x:v>
      </x:c>
      <x:c r="M89" s="47" t="str">
        <x:v>firecraft</x:v>
      </x:c>
      <x:c r="N89" s="47" t="str">
        <x:v>moderate</x:v>
      </x:c>
      <x:c r="O89" s="51" t="n">
        <x:v>90</x:v>
      </x:c>
      <x:c r="P89" s="51" t="n">
        <x:v>0</x:v>
      </x:c>
      <x:c r="Q89" s="47" t="str">
        <x:v>sustained heat/smoke/escape</x:v>
      </x:c>
      <x:c r="R89" s="47" t="str">
        <x:v>fire / smoke / extinction</x:v>
      </x:c>
      <x:c r="S89" s="47" t="str"/>
      <x:c r="T89" s="47" t="str"/>
      <x:c r="U89" s="47" t="str">
        <x:v>Governed node; variants not separated</x:v>
      </x:c>
      <x:c r="V89" s="49"/>
      <x:c r="W89" s="49"/>
    </x:row>
    <x:row r="90">
      <x:c r="A90" s="47" t="str">
        <x:v>W-BENCH</x:v>
      </x:c>
      <x:c r="B90" s="47" t="str">
        <x:v>Workbench with holding</x:v>
      </x:c>
      <x:c r="C90" s="47" t="str">
        <x:v>Workspace</x:v>
      </x:c>
      <x:c r="D90" s="47" t="str">
        <x:v>Workspace</x:v>
      </x:c>
      <x:c r="E90" s="47" t="str">
        <x:v>H3</x:v>
      </x:c>
      <x:c r="F90" s="47" t="str">
        <x:v>Placeable workspace</x:v>
      </x:c>
      <x:c r="G90" s="47" t="str">
        <x:v>No</x:v>
      </x:c>
      <x:c r="H90" s="47" t="str">
        <x:v>Make / assemble / qualify</x:v>
      </x:c>
      <x:c r="I90" s="47" t="str">
        <x:v>P-PLANK; P-STRAIGHT-POLE; P-PEG; T-MEASURE</x:v>
      </x:c>
      <x:c r="J90" s="47" t="str">
        <x:v>frame / brace / level / test</x:v>
      </x:c>
      <x:c r="K90" s="47" t="str">
        <x:v>T-AXE</x:v>
      </x:c>
      <x:c r="L90" s="47" t="str">
        <x:v>working home</x:v>
      </x:c>
      <x:c r="M90" s="47" t="str">
        <x:v>construction / workholding</x:v>
      </x:c>
      <x:c r="N90" s="47" t="str">
        <x:v>strength + dexterity</x:v>
      </x:c>
      <x:c r="O90" s="51" t="n">
        <x:v>360</x:v>
      </x:c>
      <x:c r="P90" s="51" t="n">
        <x:v>0</x:v>
      </x:c>
      <x:c r="Q90" s="47" t="str">
        <x:v>rack/load/clamp test</x:v>
      </x:c>
      <x:c r="R90" s="47" t="str">
        <x:v>rack / overturn</x:v>
      </x:c>
      <x:c r="S90" s="47" t="str"/>
      <x:c r="T90" s="47" t="str"/>
      <x:c r="U90" s="47" t="str">
        <x:v>Governed node; variants not separated</x:v>
      </x:c>
      <x:c r="V90" s="49"/>
      <x:c r="W90" s="49"/>
    </x:row>
    <x:row r="91">
      <x:c r="A91" s="47" t="str">
        <x:v>W-CHARCOAL</x:v>
      </x:c>
      <x:c r="B91" s="47" t="str">
        <x:v>Charcoal pit/retort</x:v>
      </x:c>
      <x:c r="C91" s="47" t="str">
        <x:v>Thermal</x:v>
      </x:c>
      <x:c r="D91" s="47" t="str">
        <x:v>Workspace</x:v>
      </x:c>
      <x:c r="E91" s="47" t="str">
        <x:v>H3</x:v>
      </x:c>
      <x:c r="F91" s="47" t="str">
        <x:v>Placeable workspace</x:v>
      </x:c>
      <x:c r="G91" s="47" t="str">
        <x:v>No</x:v>
      </x:c>
      <x:c r="H91" s="47" t="str">
        <x:v>Make / assemble / qualify</x:v>
      </x:c>
      <x:c r="I91" s="47" t="str">
        <x:v>S-STONE; P-CLAY-BODY; S-WOODFUEL</x:v>
      </x:c>
      <x:c r="J91" s="47" t="str">
        <x:v>build / seal / vent / control</x:v>
      </x:c>
      <x:c r="K91" s="47" t="str">
        <x:v>T-DIG</x:v>
      </x:c>
      <x:c r="L91" s="47" t="str">
        <x:v>safe yard</x:v>
      </x:c>
      <x:c r="M91" s="47" t="str">
        <x:v>firecraft</x:v>
      </x:c>
      <x:c r="N91" s="47" t="str">
        <x:v>heat</x:v>
      </x:c>
      <x:c r="O91" s="51" t="n">
        <x:v>240</x:v>
      </x:c>
      <x:c r="P91" s="51" t="n">
        <x:v>0</x:v>
      </x:c>
      <x:c r="Q91" s="47" t="str">
        <x:v>controlled low-oxygen burn</x:v>
      </x:c>
      <x:c r="R91" s="47" t="str">
        <x:v>wildfire / ash</x:v>
      </x:c>
      <x:c r="S91" s="47" t="str"/>
      <x:c r="T91" s="47" t="str"/>
      <x:c r="U91" s="47" t="str">
        <x:v>Compressed family/assembly</x:v>
      </x:c>
      <x:c r="V91" s="49"/>
      <x:c r="W91" s="49"/>
    </x:row>
    <x:row r="92">
      <x:c r="A92" s="47" t="str">
        <x:v>W-KILN</x:v>
      </x:c>
      <x:c r="B92" s="47" t="str">
        <x:v>Kiln/firing hearth</x:v>
      </x:c>
      <x:c r="C92" s="47" t="str">
        <x:v>Ceramic</x:v>
      </x:c>
      <x:c r="D92" s="47" t="str">
        <x:v>Workspace</x:v>
      </x:c>
      <x:c r="E92" s="47" t="str">
        <x:v>H4</x:v>
      </x:c>
      <x:c r="F92" s="47" t="str">
        <x:v>Placeable workspace</x:v>
      </x:c>
      <x:c r="G92" s="47" t="str">
        <x:v>No</x:v>
      </x:c>
      <x:c r="H92" s="47" t="str">
        <x:v>Make / assemble / qualify</x:v>
      </x:c>
      <x:c r="I92" s="47" t="str">
        <x:v>P-FIRED-CERAMIC; S-STONE; P-CHARCOAL</x:v>
      </x:c>
      <x:c r="J92" s="47" t="str">
        <x:v>build / draft / fire / cool</x:v>
      </x:c>
      <x:c r="K92" s="47" t="str">
        <x:v>T-TONGS</x:v>
      </x:c>
      <x:c r="L92" s="47" t="str">
        <x:v>safe yard</x:v>
      </x:c>
      <x:c r="M92" s="47" t="str">
        <x:v>ceramic / thermal</x:v>
      </x:c>
      <x:c r="N92" s="47" t="str">
        <x:v>heat</x:v>
      </x:c>
      <x:c r="O92" s="51" t="n">
        <x:v>720</x:v>
      </x:c>
      <x:c r="P92" s="51" t="n">
        <x:v>0</x:v>
      </x:c>
      <x:c r="Q92" s="47" t="str">
        <x:v>fired test pieces</x:v>
      </x:c>
      <x:c r="R92" s="47" t="str">
        <x:v>collapse / uneven heat</x:v>
      </x:c>
      <x:c r="S92" s="47" t="str"/>
      <x:c r="T92" s="47" t="str"/>
      <x:c r="U92" s="47" t="str">
        <x:v>Compressed family/assembly</x:v>
      </x:c>
      <x:c r="V92" s="49"/>
      <x:c r="W92" s="49"/>
    </x:row>
    <x:row r="93">
      <x:c r="A93" s="47" t="str">
        <x:v>W-FORGE</x:v>
      </x:c>
      <x:c r="B93" s="47" t="str">
        <x:v>Forge/anvil station</x:v>
      </x:c>
      <x:c r="C93" s="47" t="str">
        <x:v>Metal</x:v>
      </x:c>
      <x:c r="D93" s="47" t="str">
        <x:v>Workspace</x:v>
      </x:c>
      <x:c r="E93" s="47" t="str">
        <x:v>H4</x:v>
      </x:c>
      <x:c r="F93" s="47" t="str">
        <x:v>Placeable workspace</x:v>
      </x:c>
      <x:c r="G93" s="47" t="str">
        <x:v>No</x:v>
      </x:c>
      <x:c r="H93" s="47" t="str">
        <x:v>Make / assemble / qualify</x:v>
      </x:c>
      <x:c r="I93" s="47" t="str">
        <x:v>P-FIRED-CERAMIC; P-CHARCOAL; T-TONGS; T-HAMMER</x:v>
      </x:c>
      <x:c r="J93" s="47" t="str">
        <x:v>build / draft / heat / form</x:v>
      </x:c>
      <x:c r="K93" s="47" t="str">
        <x:v>T-TONGS</x:v>
      </x:c>
      <x:c r="L93" s="47" t="str">
        <x:v>ventilated yard</x:v>
      </x:c>
      <x:c r="M93" s="47" t="str">
        <x:v>metal / thermal</x:v>
      </x:c>
      <x:c r="N93" s="47" t="str">
        <x:v>strength + heat</x:v>
      </x:c>
      <x:c r="O93" s="51" t="n">
        <x:v>720</x:v>
      </x:c>
      <x:c r="P93" s="51" t="n">
        <x:v>0</x:v>
      </x:c>
      <x:c r="Q93" s="47" t="str">
        <x:v>forged test stock</x:v>
      </x:c>
      <x:c r="R93" s="47" t="str">
        <x:v>burn / fume / crack</x:v>
      </x:c>
      <x:c r="S93" s="47" t="str"/>
      <x:c r="T93" s="47" t="str"/>
      <x:c r="U93" s="47" t="str">
        <x:v>Compressed family/assembly</x:v>
      </x:c>
      <x:c r="V93" s="49"/>
      <x:c r="W93" s="49"/>
    </x:row>
    <x:row r="94">
      <x:c r="A94" s="47" t="str">
        <x:v>W-CLEAN</x:v>
      </x:c>
      <x:c r="B94" s="47" t="str">
        <x:v>Clean treatment surface</x:v>
      </x:c>
      <x:c r="C94" s="47" t="str">
        <x:v>Medicine</x:v>
      </x:c>
      <x:c r="D94" s="47" t="str">
        <x:v>Workspace</x:v>
      </x:c>
      <x:c r="E94" s="47" t="str">
        <x:v>H2</x:v>
      </x:c>
      <x:c r="F94" s="47" t="str">
        <x:v>Placeable workspace</x:v>
      </x:c>
      <x:c r="G94" s="47" t="str">
        <x:v>No</x:v>
      </x:c>
      <x:c r="H94" s="47" t="str">
        <x:v>Make / assemble / qualify</x:v>
      </x:c>
      <x:c r="I94" s="47" t="str">
        <x:v>P-CLEAN-WATER; P-MAT; A-ROOF</x:v>
      </x:c>
      <x:c r="J94" s="47" t="str">
        <x:v>clean / separate / light / store</x:v>
      </x:c>
      <x:c r="K94" s="47" t="str"/>
      <x:c r="L94" s="47" t="str">
        <x:v>refuge</x:v>
      </x:c>
      <x:c r="M94" s="47" t="str">
        <x:v>hygiene / medicine</x:v>
      </x:c>
      <x:c r="N94" s="47" t="str">
        <x:v>low</x:v>
      </x:c>
      <x:c r="O94" s="51" t="n">
        <x:v>60</x:v>
      </x:c>
      <x:c r="P94" s="51" t="n">
        <x:v>0</x:v>
      </x:c>
      <x:c r="Q94" s="47" t="str">
        <x:v>clean/dirty separation</x:v>
      </x:c>
      <x:c r="R94" s="47" t="str">
        <x:v>recontaminate</x:v>
      </x:c>
      <x:c r="S94" s="47" t="str"/>
      <x:c r="T94" s="47" t="str"/>
      <x:c r="U94" s="47" t="str">
        <x:v>Governed node; variants not separated</x:v>
      </x:c>
      <x:c r="V94" s="49"/>
      <x:c r="W94" s="49"/>
    </x:row>
    <x:row r="95">
      <x:c r="A95" s="47" t="str">
        <x:v>W-WATER</x:v>
      </x:c>
      <x:c r="B95" s="47" t="str">
        <x:v>Water treatment station</x:v>
      </x:c>
      <x:c r="C95" s="47" t="str">
        <x:v>Water</x:v>
      </x:c>
      <x:c r="D95" s="47" t="str">
        <x:v>Workspace</x:v>
      </x:c>
      <x:c r="E95" s="47" t="str">
        <x:v>H2</x:v>
      </x:c>
      <x:c r="F95" s="47" t="str">
        <x:v>Placeable workspace</x:v>
      </x:c>
      <x:c r="G95" s="47" t="str">
        <x:v>No</x:v>
      </x:c>
      <x:c r="H95" s="47" t="str">
        <x:v>Make / assemble / qualify</x:v>
      </x:c>
      <x:c r="I95" s="47" t="str">
        <x:v>W-HEARTH; W-CLEAN; C-COVERED-STORE</x:v>
      </x:c>
      <x:c r="J95" s="47" t="str">
        <x:v>separate raw/treated / heat / cool / label</x:v>
      </x:c>
      <x:c r="K95" s="47" t="str"/>
      <x:c r="L95" s="47" t="str">
        <x:v>working shelter</x:v>
      </x:c>
      <x:c r="M95" s="47" t="str">
        <x:v>water / hygiene</x:v>
      </x:c>
      <x:c r="N95" s="47" t="str">
        <x:v>moderate</x:v>
      </x:c>
      <x:c r="O95" s="51" t="n">
        <x:v>120</x:v>
      </x:c>
      <x:c r="P95" s="51" t="n">
        <x:v>0</x:v>
      </x:c>
      <x:c r="Q95" s="47" t="str">
        <x:v>no cross-contamination</x:v>
      </x:c>
      <x:c r="R95" s="47" t="str">
        <x:v>mix / spill</x:v>
      </x:c>
      <x:c r="S95" s="47" t="str"/>
      <x:c r="T95" s="47" t="str"/>
      <x:c r="U95" s="47" t="str">
        <x:v>Compressed family/assembly</x:v>
      </x:c>
      <x:c r="V95" s="49"/>
      <x:c r="W95" s="49"/>
    </x:row>
    <x:row r="96">
      <x:c r="A96" s="47" t="str">
        <x:v>A-SMOKER</x:v>
      </x:c>
      <x:c r="B96" s="47" t="str">
        <x:v>Smoking/drying station</x:v>
      </x:c>
      <x:c r="C96" s="47" t="str">
        <x:v>Food</x:v>
      </x:c>
      <x:c r="D96" s="47" t="str">
        <x:v>Workspace</x:v>
      </x:c>
      <x:c r="E96" s="47" t="str">
        <x:v>H3</x:v>
      </x:c>
      <x:c r="F96" s="47" t="str">
        <x:v>Placeable workspace</x:v>
      </x:c>
      <x:c r="G96" s="47" t="str">
        <x:v>No</x:v>
      </x:c>
      <x:c r="H96" s="47" t="str">
        <x:v>Make / assemble / qualify</x:v>
      </x:c>
      <x:c r="I96" s="47" t="str">
        <x:v>P-STRAIGHT-POLE; P-MAT; W-HEARTH</x:v>
      </x:c>
      <x:c r="J96" s="47" t="str">
        <x:v>frame / rack / draft / smoke</x:v>
      </x:c>
      <x:c r="K96" s="47" t="str">
        <x:v>T-STONE-KNIFE</x:v>
      </x:c>
      <x:c r="L96" s="47" t="str">
        <x:v>safe food yard</x:v>
      </x:c>
      <x:c r="M96" s="47" t="str">
        <x:v>food / thermal</x:v>
      </x:c>
      <x:c r="N96" s="47" t="str">
        <x:v>moderate</x:v>
      </x:c>
      <x:c r="O96" s="51" t="n">
        <x:v>240</x:v>
      </x:c>
      <x:c r="P96" s="51" t="n">
        <x:v>0</x:v>
      </x:c>
      <x:c r="Q96" s="47" t="str">
        <x:v>time/condition test</x:v>
      </x:c>
      <x:c r="R96" s="47" t="str">
        <x:v>spoil / fire</x:v>
      </x:c>
      <x:c r="S96" s="47" t="str"/>
      <x:c r="T96" s="47" t="str"/>
      <x:c r="U96" s="47" t="str">
        <x:v>Compressed family/assembly</x:v>
      </x:c>
      <x:c r="V96" s="49"/>
      <x:c r="W96" s="49"/>
    </x:row>
    <x:row r="97">
      <x:c r="A97" s="47" t="str">
        <x:v>W-CLINIC</x:v>
      </x:c>
      <x:c r="B97" s="47" t="str">
        <x:v>Clinic/recovery station</x:v>
      </x:c>
      <x:c r="C97" s="47" t="str">
        <x:v>Medicine</x:v>
      </x:c>
      <x:c r="D97" s="47" t="str">
        <x:v>Workspace</x:v>
      </x:c>
      <x:c r="E97" s="47" t="str">
        <x:v>H5</x:v>
      </x:c>
      <x:c r="F97" s="47" t="str">
        <x:v>Placeable workspace</x:v>
      </x:c>
      <x:c r="G97" s="47" t="str">
        <x:v>No</x:v>
      </x:c>
      <x:c r="H97" s="47" t="str">
        <x:v>Make / assemble / qualify</x:v>
      </x:c>
      <x:c r="I97" s="47" t="str">
        <x:v>W-CLEAN; A-RAISED-BED; A-COVERED-STORE; A-LAMP</x:v>
      </x:c>
      <x:c r="J97" s="47" t="str">
        <x:v>separate / treat / monitor / record</x:v>
      </x:c>
      <x:c r="K97" s="47" t="str"/>
      <x:c r="L97" s="47" t="str">
        <x:v>legacy home</x:v>
      </x:c>
      <x:c r="M97" s="47" t="str">
        <x:v>medicine / archive</x:v>
      </x:c>
      <x:c r="N97" s="47" t="str">
        <x:v>low</x:v>
      </x:c>
      <x:c r="O97" s="51" t="n">
        <x:v>720</x:v>
      </x:c>
      <x:c r="P97" s="51" t="n">
        <x:v>0</x:v>
      </x:c>
      <x:c r="Q97" s="47" t="str">
        <x:v>care/recovery drill</x:v>
      </x:c>
      <x:c r="R97" s="47" t="str">
        <x:v>contamination / power loss</x:v>
      </x:c>
      <x:c r="S97" s="47" t="str"/>
      <x:c r="T97" s="47" t="str"/>
      <x:c r="U97" s="47" t="str">
        <x:v>Compressed family/assembly</x:v>
      </x:c>
      <x:c r="V97" s="49"/>
      <x:c r="W97" s="49"/>
    </x:row>
    <x:row r="98">
      <x:c r="A98" s="47" t="str">
        <x:v>W-BOATYARD</x:v>
      </x:c>
      <x:c r="B98" s="47" t="str">
        <x:v>Boatyard</x:v>
      </x:c>
      <x:c r="C98" s="47" t="str">
        <x:v>Maritime</x:v>
      </x:c>
      <x:c r="D98" s="47" t="str">
        <x:v>Workspace</x:v>
      </x:c>
      <x:c r="E98" s="47" t="str">
        <x:v>H5</x:v>
      </x:c>
      <x:c r="F98" s="47" t="str">
        <x:v>Placeable workspace</x:v>
      </x:c>
      <x:c r="G98" s="47" t="str">
        <x:v>No</x:v>
      </x:c>
      <x:c r="H98" s="47" t="str">
        <x:v>Make / assemble / qualify</x:v>
      </x:c>
      <x:c r="I98" s="47" t="str">
        <x:v>W-BENCH; A-TRIPOD; A-DOCK; W-ARCHIVE</x:v>
      </x:c>
      <x:c r="J98" s="47" t="str">
        <x:v>support / dry / fit / launch</x:v>
      </x:c>
      <x:c r="K98" s="47" t="str">
        <x:v>T-MEASURE</x:v>
      </x:c>
      <x:c r="L98" s="47" t="str">
        <x:v>shore</x:v>
      </x:c>
      <x:c r="M98" s="47" t="str">
        <x:v>boat / rigging</x:v>
      </x:c>
      <x:c r="N98" s="47" t="str">
        <x:v>high</x:v>
      </x:c>
      <x:c r="O98" s="51" t="n">
        <x:v>1200</x:v>
      </x:c>
      <x:c r="P98" s="51" t="n">
        <x:v>0</x:v>
      </x:c>
      <x:c r="Q98" s="47" t="str">
        <x:v>hull/load/launch tests</x:v>
      </x:c>
      <x:c r="R98" s="47" t="str">
        <x:v>collapse / contamination</x:v>
      </x:c>
      <x:c r="S98" s="47" t="str"/>
      <x:c r="T98" s="47" t="str"/>
      <x:c r="U98" s="47" t="str">
        <x:v>Governed node; variants not separated</x:v>
      </x:c>
      <x:c r="V98" s="49"/>
      <x:c r="W98" s="49"/>
    </x:row>
    <x:row r="99">
      <x:c r="A99" s="47" t="str">
        <x:v>W-ELECTRICAL</x:v>
      </x:c>
      <x:c r="B99" s="47" t="str">
        <x:v>Protected electrical bench</x:v>
      </x:c>
      <x:c r="C99" s="47" t="str">
        <x:v>Electrical</x:v>
      </x:c>
      <x:c r="D99" s="47" t="str">
        <x:v>Workspace</x:v>
      </x:c>
      <x:c r="E99" s="47" t="str">
        <x:v>H5</x:v>
      </x:c>
      <x:c r="F99" s="47" t="str">
        <x:v>Placeable workspace</x:v>
      </x:c>
      <x:c r="G99" s="47" t="str">
        <x:v>No</x:v>
      </x:c>
      <x:c r="H99" s="47" t="str">
        <x:v>Make / assemble / qualify</x:v>
      </x:c>
      <x:c r="I99" s="47" t="str">
        <x:v>W-BENCH; A-ROOF; T-METER; P-CONDUCTOR</x:v>
      </x:c>
      <x:c r="J99" s="47" t="str">
        <x:v>isolate / dry / fuse / test</x:v>
      </x:c>
      <x:c r="K99" s="47" t="str">
        <x:v>T-METER</x:v>
      </x:c>
      <x:c r="L99" s="47" t="str">
        <x:v>working home</x:v>
      </x:c>
      <x:c r="M99" s="47" t="str">
        <x:v>electrical</x:v>
      </x:c>
      <x:c r="N99" s="47" t="str">
        <x:v>dexterity</x:v>
      </x:c>
      <x:c r="O99" s="51" t="n">
        <x:v>600</x:v>
      </x:c>
      <x:c r="P99" s="51" t="n">
        <x:v>0</x:v>
      </x:c>
      <x:c r="Q99" s="47" t="str">
        <x:v>known-reference/isolation</x:v>
      </x:c>
      <x:c r="R99" s="47" t="str">
        <x:v>short / fire</x:v>
      </x:c>
      <x:c r="S99" s="47" t="str"/>
      <x:c r="T99" s="47" t="str">
        <x:v>Steam/electric supporting chain</x:v>
      </x:c>
      <x:c r="U99" s="47" t="str">
        <x:v>Governed node; variants not separated</x:v>
      </x:c>
      <x:c r="V99" s="49"/>
      <x:c r="W99" s="49"/>
    </x:row>
    <x:row r="100">
      <x:c r="A100" s="47" t="str">
        <x:v>W-ARCHIVE</x:v>
      </x:c>
      <x:c r="B100" s="47" t="str">
        <x:v>Continuity archive</x:v>
      </x:c>
      <x:c r="C100" s="47" t="str">
        <x:v>Legacy</x:v>
      </x:c>
      <x:c r="D100" s="47" t="str">
        <x:v>Workspace</x:v>
      </x:c>
      <x:c r="E100" s="47" t="str">
        <x:v>H6</x:v>
      </x:c>
      <x:c r="F100" s="47" t="str">
        <x:v>Placeable workspace</x:v>
      </x:c>
      <x:c r="G100" s="47" t="str">
        <x:v>No</x:v>
      </x:c>
      <x:c r="H100" s="47" t="str">
        <x:v>Make / assemble / qualify</x:v>
      </x:c>
      <x:c r="I100" s="47" t="str">
        <x:v>A-COVERED-STORE; S-MANUAL; T-MEASURE</x:v>
      </x:c>
      <x:c r="J100" s="47" t="str">
        <x:v>document / label / sample / index</x:v>
      </x:c>
      <x:c r="K100" s="47" t="str"/>
      <x:c r="L100" s="47" t="str">
        <x:v>legacy home</x:v>
      </x:c>
      <x:c r="M100" s="47" t="str">
        <x:v>documentation / teaching</x:v>
      </x:c>
      <x:c r="N100" s="47" t="str">
        <x:v>low</x:v>
      </x:c>
      <x:c r="O100" s="51" t="n">
        <x:v>480</x:v>
      </x:c>
      <x:c r="P100" s="51" t="n">
        <x:v>0</x:v>
      </x:c>
      <x:c r="Q100" s="47" t="str">
        <x:v>successor reproduction drill</x:v>
      </x:c>
      <x:c r="R100" s="47" t="str">
        <x:v>loss / ambiguity</x:v>
      </x:c>
      <x:c r="S100" s="47" t="str"/>
      <x:c r="T100" s="47" t="str"/>
      <x:c r="U100" s="47" t="str">
        <x:v>Governed node; variants not separated</x:v>
      </x:c>
      <x:c r="V100" s="49"/>
      <x:c r="W100" s="49"/>
    </x:row>
    <x:row r="101">
      <x:c r="A101" s="47" t="str">
        <x:v>C-COCONUT-CUP</x:v>
      </x:c>
      <x:c r="B101" s="47" t="str">
        <x:v>Coconut shell cup</x:v>
      </x:c>
      <x:c r="C101" s="47" t="str">
        <x:v>Water</x:v>
      </x:c>
      <x:c r="D101" s="47" t="str">
        <x:v>Container</x:v>
      </x:c>
      <x:c r="E101" s="47" t="str">
        <x:v>H1</x:v>
      </x:c>
      <x:c r="F101" s="47" t="str">
        <x:v>Carryable container</x:v>
      </x:c>
      <x:c r="G101" s="47" t="str">
        <x:v>Yes</x:v>
      </x:c>
      <x:c r="H101" s="47" t="str">
        <x:v>Make / assemble / qualify</x:v>
      </x:c>
      <x:c r="I101" s="47" t="str">
        <x:v>S-COCONUT; T-STONE-KNIFE</x:v>
      </x:c>
      <x:c r="J101" s="47" t="str">
        <x:v>open / clean / stabilize</x:v>
      </x:c>
      <x:c r="K101" s="47" t="str">
        <x:v>T-STONE-KNIFE</x:v>
      </x:c>
      <x:c r="L101" s="47" t="str">
        <x:v>W-WORKMAT</x:v>
      </x:c>
      <x:c r="M101" s="47" t="str">
        <x:v>water / hygiene</x:v>
      </x:c>
      <x:c r="N101" s="47" t="str">
        <x:v>dexterity</x:v>
      </x:c>
      <x:c r="O101" s="51" t="n">
        <x:v>15</x:v>
      </x:c>
      <x:c r="P101" s="51" t="n">
        <x:v>0</x:v>
      </x:c>
      <x:c r="Q101" s="47" t="str">
        <x:v>leak/stability</x:v>
      </x:c>
      <x:c r="R101" s="47" t="str">
        <x:v>crack / spill</x:v>
      </x:c>
      <x:c r="S101" s="47" t="str"/>
      <x:c r="T101" s="47" t="str"/>
      <x:c r="U101" s="47" t="str">
        <x:v>Governed node; variants not separated</x:v>
      </x:c>
      <x:c r="V101" s="49"/>
      <x:c r="W101" s="49"/>
    </x:row>
    <x:row r="102">
      <x:c r="A102" s="47" t="str">
        <x:v>C-COCONUT-BOILER</x:v>
      </x:c>
      <x:c r="B102" s="47" t="str">
        <x:v>Coconut emergency boiler</x:v>
      </x:c>
      <x:c r="C102" s="47" t="str">
        <x:v>Water</x:v>
      </x:c>
      <x:c r="D102" s="47" t="str">
        <x:v>Container</x:v>
      </x:c>
      <x:c r="E102" s="47" t="str">
        <x:v>H2</x:v>
      </x:c>
      <x:c r="F102" s="47" t="str">
        <x:v>Carryable container</x:v>
      </x:c>
      <x:c r="G102" s="47" t="str">
        <x:v>Yes</x:v>
      </x:c>
      <x:c r="H102" s="47" t="str">
        <x:v>Make / assemble / qualify</x:v>
      </x:c>
      <x:c r="I102" s="47" t="str">
        <x:v>C-COCONUT-CUP; W-HEARTH; S-STONE</x:v>
      </x:c>
      <x:c r="J102" s="47" t="str">
        <x:v>support / heat / manage / cool</x:v>
      </x:c>
      <x:c r="K102" s="47" t="str">
        <x:v>T-TONGS</x:v>
      </x:c>
      <x:c r="L102" s="47" t="str">
        <x:v>W-HEARTH</x:v>
      </x:c>
      <x:c r="M102" s="47" t="str">
        <x:v>water / thermal</x:v>
      </x:c>
      <x:c r="N102" s="47" t="str">
        <x:v>heat control</x:v>
      </x:c>
      <x:c r="O102" s="51" t="n">
        <x:v>30</x:v>
      </x:c>
      <x:c r="P102" s="51" t="n">
        <x:v>0</x:v>
      </x:c>
      <x:c r="Q102" s="47" t="str">
        <x:v>small-batch boil</x:v>
      </x:c>
      <x:c r="R102" s="47" t="str">
        <x:v>crack / scald</x:v>
      </x:c>
      <x:c r="S102" s="47" t="str"/>
      <x:c r="T102" s="47" t="str"/>
      <x:c r="U102" s="47" t="str">
        <x:v>Governed node; variants not separated</x:v>
      </x:c>
      <x:c r="V102" s="49"/>
      <x:c r="W102" s="49"/>
    </x:row>
    <x:row r="103">
      <x:c r="A103" s="47" t="str">
        <x:v>C-HIDE-POUCH</x:v>
      </x:c>
      <x:c r="B103" s="47" t="str">
        <x:v>Organic/hide water pouch</x:v>
      </x:c>
      <x:c r="C103" s="47" t="str">
        <x:v>Water</x:v>
      </x:c>
      <x:c r="D103" s="47" t="str">
        <x:v>Container</x:v>
      </x:c>
      <x:c r="E103" s="47" t="str">
        <x:v>H2</x:v>
      </x:c>
      <x:c r="F103" s="47" t="str">
        <x:v>Carryable container</x:v>
      </x:c>
      <x:c r="G103" s="47" t="str">
        <x:v>Yes</x:v>
      </x:c>
      <x:c r="H103" s="47" t="str">
        <x:v>Make / assemble / qualify</x:v>
      </x:c>
      <x:c r="I103" s="47" t="str">
        <x:v>S-HIDE; P-CORD; T-NEEDLE</x:v>
      </x:c>
      <x:c r="J103" s="47" t="str">
        <x:v>clean / scrape / sew / seal / support</x:v>
      </x:c>
      <x:c r="K103" s="47" t="str">
        <x:v>T-NEEDLE</x:v>
      </x:c>
      <x:c r="L103" s="47" t="str">
        <x:v>W-CLEAN</x:v>
      </x:c>
      <x:c r="M103" s="47" t="str">
        <x:v>hide / hygiene</x:v>
      </x:c>
      <x:c r="N103" s="47" t="str">
        <x:v>dexterity</x:v>
      </x:c>
      <x:c r="O103" s="51" t="n">
        <x:v>240</x:v>
      </x:c>
      <x:c r="P103" s="51" t="n">
        <x:v>120</x:v>
      </x:c>
      <x:c r="Q103" s="47" t="str">
        <x:v>leak and heat-route test</x:v>
      </x:c>
      <x:c r="R103" s="47" t="str">
        <x:v>leak / contamination</x:v>
      </x:c>
      <x:c r="S103" s="47" t="str"/>
      <x:c r="T103" s="47" t="str"/>
      <x:c r="U103" s="47" t="str">
        <x:v>Compressed family/assembly</x:v>
      </x:c>
      <x:c r="V103" s="49"/>
      <x:c r="W103" s="49"/>
    </x:row>
    <x:row r="104">
      <x:c r="A104" s="47" t="str">
        <x:v>C-FOUND-PAN</x:v>
      </x:c>
      <x:c r="B104" s="47" t="str">
        <x:v>Qualified found pan</x:v>
      </x:c>
      <x:c r="C104" s="47" t="str">
        <x:v>Water</x:v>
      </x:c>
      <x:c r="D104" s="47" t="str">
        <x:v>Container</x:v>
      </x:c>
      <x:c r="E104" s="47" t="str">
        <x:v>H2</x:v>
      </x:c>
      <x:c r="F104" s="47" t="str">
        <x:v>Carryable container</x:v>
      </x:c>
      <x:c r="G104" s="47" t="str">
        <x:v>Yes</x:v>
      </x:c>
      <x:c r="H104" s="47" t="str">
        <x:v>Recover / repair / qualify</x:v>
      </x:c>
      <x:c r="I104" s="47" t="str">
        <x:v>S-PAN; P-CLEAN-WATER</x:v>
      </x:c>
      <x:c r="J104" s="47" t="str">
        <x:v>recover / clean / inspect / leak / heat test</x:v>
      </x:c>
      <x:c r="K104" s="47" t="str">
        <x:v>T-STONE-KNIFE</x:v>
      </x:c>
      <x:c r="L104" s="47" t="str">
        <x:v>W-CLEAN</x:v>
      </x:c>
      <x:c r="M104" s="47" t="str">
        <x:v>salvage / hygiene</x:v>
      </x:c>
      <x:c r="N104" s="47" t="str">
        <x:v>low</x:v>
      </x:c>
      <x:c r="O104" s="51" t="n">
        <x:v>60</x:v>
      </x:c>
      <x:c r="P104" s="51" t="n">
        <x:v>0</x:v>
      </x:c>
      <x:c r="Q104" s="47" t="str">
        <x:v>repeated boil/leak</x:v>
      </x:c>
      <x:c r="R104" s="47" t="str">
        <x:v>coating / corrosion</x:v>
      </x:c>
      <x:c r="S104" s="47" t="str"/>
      <x:c r="T104" s="47" t="str"/>
      <x:c r="U104" s="47" t="str">
        <x:v>Governed node; variants not separated</x:v>
      </x:c>
      <x:c r="V104" s="49"/>
      <x:c r="W104" s="49"/>
    </x:row>
    <x:row r="105">
      <x:c r="A105" s="47" t="str">
        <x:v>C-CLAY-POT</x:v>
      </x:c>
      <x:c r="B105" s="47" t="str">
        <x:v>Fired clay pot</x:v>
      </x:c>
      <x:c r="C105" s="47" t="str">
        <x:v>Water</x:v>
      </x:c>
      <x:c r="D105" s="47" t="str">
        <x:v>Container</x:v>
      </x:c>
      <x:c r="E105" s="47" t="str">
        <x:v>H4</x:v>
      </x:c>
      <x:c r="F105" s="47" t="str">
        <x:v>Carryable container</x:v>
      </x:c>
      <x:c r="G105" s="47" t="str">
        <x:v>Yes</x:v>
      </x:c>
      <x:c r="H105" s="47" t="str">
        <x:v>Make / assemble / qualify</x:v>
      </x:c>
      <x:c r="I105" s="47" t="str">
        <x:v>P-FIRED-CERAMIC</x:v>
      </x:c>
      <x:c r="J105" s="47" t="str">
        <x:v>form / fire / leak / heat test</x:v>
      </x:c>
      <x:c r="K105" s="47" t="str">
        <x:v>T-TONGS</x:v>
      </x:c>
      <x:c r="L105" s="47" t="str">
        <x:v>W-KILN</x:v>
      </x:c>
      <x:c r="M105" s="47" t="str">
        <x:v>ceramic / water</x:v>
      </x:c>
      <x:c r="N105" s="47" t="str">
        <x:v>dexterity + heat</x:v>
      </x:c>
      <x:c r="O105" s="51" t="n">
        <x:v>180</x:v>
      </x:c>
      <x:c r="P105" s="51" t="n">
        <x:v>720</x:v>
      </x:c>
      <x:c r="Q105" s="47" t="str">
        <x:v>leak/thermal cycle</x:v>
      </x:c>
      <x:c r="R105" s="47" t="str">
        <x:v>crack / spall</x:v>
      </x:c>
      <x:c r="S105" s="47" t="str"/>
      <x:c r="T105" s="47" t="str"/>
      <x:c r="U105" s="47" t="str">
        <x:v>Governed node; variants not separated</x:v>
      </x:c>
      <x:c r="V105" s="49"/>
      <x:c r="W105" s="49"/>
    </x:row>
    <x:row r="106">
      <x:c r="A106" s="47" t="str">
        <x:v>C-AL-POT</x:v>
      </x:c>
      <x:c r="B106" s="47" t="str">
        <x:v>Qualified aluminum boiling vessel</x:v>
      </x:c>
      <x:c r="C106" s="47" t="str">
        <x:v>Water</x:v>
      </x:c>
      <x:c r="D106" s="47" t="str">
        <x:v>Container</x:v>
      </x:c>
      <x:c r="E106" s="47" t="str">
        <x:v>H5</x:v>
      </x:c>
      <x:c r="F106" s="47" t="str">
        <x:v>Carryable container</x:v>
      </x:c>
      <x:c r="G106" s="47" t="str">
        <x:v>Yes</x:v>
      </x:c>
      <x:c r="H106" s="47" t="str">
        <x:v>Make / assemble / qualify</x:v>
      </x:c>
      <x:c r="I106" s="47" t="str">
        <x:v>P-DEBURRED-AL; P-RIVET; T-PUNCH; T-CLAMP</x:v>
      </x:c>
      <x:c r="J106" s="47" t="str">
        <x:v>form / join / deburr / leak / heat test</x:v>
      </x:c>
      <x:c r="K106" s="47" t="str">
        <x:v>T-SNIPS; T-FILE; T-PUNCH</x:v>
      </x:c>
      <x:c r="L106" s="47" t="str">
        <x:v>W-BENCH</x:v>
      </x:c>
      <x:c r="M106" s="47" t="str">
        <x:v>metal / food-contact / water</x:v>
      </x:c>
      <x:c r="N106" s="47" t="str">
        <x:v>dexterity</x:v>
      </x:c>
      <x:c r="O106" s="51" t="n">
        <x:v>480</x:v>
      </x:c>
      <x:c r="P106" s="51" t="n">
        <x:v>60</x:v>
      </x:c>
      <x:c r="Q106" s="47" t="str">
        <x:v>cold/hot leak and surface</x:v>
      </x:c>
      <x:c r="R106" s="47" t="str">
        <x:v>leak / coating / distort</x:v>
      </x:c>
      <x:c r="S106" s="47" t="str"/>
      <x:c r="T106" s="47" t="str"/>
      <x:c r="U106" s="47" t="str">
        <x:v>Governed node; variants not separated</x:v>
      </x:c>
      <x:c r="V106" s="49"/>
      <x:c r="W106" s="49"/>
    </x:row>
    <x:row r="107">
      <x:c r="A107" s="47" t="str">
        <x:v>C-COVERED-STORE</x:v>
      </x:c>
      <x:c r="B107" s="47" t="str">
        <x:v>Covered water reserve</x:v>
      </x:c>
      <x:c r="C107" s="47" t="str">
        <x:v>Water</x:v>
      </x:c>
      <x:c r="D107" s="47" t="str">
        <x:v>Assembly</x:v>
      </x:c>
      <x:c r="E107" s="47" t="str">
        <x:v>H2</x:v>
      </x:c>
      <x:c r="F107" s="47" t="str">
        <x:v>Placeable/deployable assembly</x:v>
      </x:c>
      <x:c r="G107" s="47" t="str">
        <x:v>No</x:v>
      </x:c>
      <x:c r="H107" s="47" t="str">
        <x:v>Make / assemble / qualify</x:v>
      </x:c>
      <x:c r="I107" s="47" t="str">
        <x:v>C-FOUND-PAN; P-MAT; P-CORD</x:v>
      </x:c>
      <x:c r="J107" s="47" t="str">
        <x:v>clean / fill / cover / controlled draw</x:v>
      </x:c>
      <x:c r="K107" s="47" t="str"/>
      <x:c r="L107" s="47" t="str">
        <x:v>W-CLEAN</x:v>
      </x:c>
      <x:c r="M107" s="47" t="str">
        <x:v>water / storage</x:v>
      </x:c>
      <x:c r="N107" s="47" t="str">
        <x:v>low</x:v>
      </x:c>
      <x:c r="O107" s="51" t="n">
        <x:v>30</x:v>
      </x:c>
      <x:c r="P107" s="51" t="n">
        <x:v>0</x:v>
      </x:c>
      <x:c r="Q107" s="47" t="str">
        <x:v>protected draw</x:v>
      </x:c>
      <x:c r="R107" s="47" t="str">
        <x:v>recontamination</x:v>
      </x:c>
      <x:c r="S107" s="47" t="str"/>
      <x:c r="T107" s="47" t="str"/>
      <x:c r="U107" s="47" t="str">
        <x:v>Governed node; variants not separated</x:v>
      </x:c>
      <x:c r="V107" s="49"/>
      <x:c r="W107" s="49"/>
    </x:row>
    <x:row r="108">
      <x:c r="A108" s="47" t="str">
        <x:v>A-GUTTER</x:v>
      </x:c>
      <x:c r="B108" s="47" t="str">
        <x:v>Rain gutter/channel</x:v>
      </x:c>
      <x:c r="C108" s="47" t="str">
        <x:v>Water</x:v>
      </x:c>
      <x:c r="D108" s="47" t="str">
        <x:v>Assembly</x:v>
      </x:c>
      <x:c r="E108" s="47" t="str">
        <x:v>H3</x:v>
      </x:c>
      <x:c r="F108" s="47" t="str">
        <x:v>Placeable/deployable assembly</x:v>
      </x:c>
      <x:c r="G108" s="47" t="str">
        <x:v>No</x:v>
      </x:c>
      <x:c r="H108" s="47" t="str">
        <x:v>Make / assemble / qualify</x:v>
      </x:c>
      <x:c r="I108" s="47" t="str">
        <x:v>S-CANVAS; P-STRAIGHT-POLE; P-CORD; T-MEASURE</x:v>
      </x:c>
      <x:c r="J108" s="47" t="str">
        <x:v>slope / join / tension / test</x:v>
      </x:c>
      <x:c r="K108" s="47" t="str">
        <x:v>T-MEASURE</x:v>
      </x:c>
      <x:c r="L108" s="47" t="str">
        <x:v>A-ROOF</x:v>
      </x:c>
      <x:c r="M108" s="47" t="str">
        <x:v>water / construction</x:v>
      </x:c>
      <x:c r="N108" s="47" t="str">
        <x:v>moderate</x:v>
      </x:c>
      <x:c r="O108" s="51" t="n">
        <x:v>180</x:v>
      </x:c>
      <x:c r="P108" s="51" t="n">
        <x:v>0</x:v>
      </x:c>
      <x:c r="Q108" s="47" t="str">
        <x:v>flow/leak/overflow</x:v>
      </x:c>
      <x:c r="R108" s="47" t="str">
        <x:v>dirty surface / leak</x:v>
      </x:c>
      <x:c r="S108" s="47" t="str"/>
      <x:c r="T108" s="47" t="str"/>
      <x:c r="U108" s="47" t="str">
        <x:v>Compressed family/assembly</x:v>
      </x:c>
      <x:c r="V108" s="49"/>
      <x:c r="W108" s="49"/>
    </x:row>
    <x:row r="109">
      <x:c r="A109" s="47" t="str">
        <x:v>A-FIRST-FLUSH</x:v>
      </x:c>
      <x:c r="B109" s="47" t="str">
        <x:v>First-flush diverter</x:v>
      </x:c>
      <x:c r="C109" s="47" t="str">
        <x:v>Water</x:v>
      </x:c>
      <x:c r="D109" s="47" t="str">
        <x:v>Assembly</x:v>
      </x:c>
      <x:c r="E109" s="47" t="str">
        <x:v>H4</x:v>
      </x:c>
      <x:c r="F109" s="47" t="str">
        <x:v>Placeable/deployable assembly</x:v>
      </x:c>
      <x:c r="G109" s="47" t="str">
        <x:v>No</x:v>
      </x:c>
      <x:c r="H109" s="47" t="str">
        <x:v>Make / assemble / qualify</x:v>
      </x:c>
      <x:c r="I109" s="47" t="str">
        <x:v>A-GUTTER; S-BOTTLE; P-CORD</x:v>
      </x:c>
      <x:c r="J109" s="47" t="str">
        <x:v>divert / reset / test</x:v>
      </x:c>
      <x:c r="K109" s="47" t="str">
        <x:v>T-MEASURE</x:v>
      </x:c>
      <x:c r="L109" s="47" t="str">
        <x:v>A-ROOF</x:v>
      </x:c>
      <x:c r="M109" s="47" t="str">
        <x:v>water / mechanics</x:v>
      </x:c>
      <x:c r="N109" s="47" t="str">
        <x:v>dexterity</x:v>
      </x:c>
      <x:c r="O109" s="51" t="n">
        <x:v>120</x:v>
      </x:c>
      <x:c r="P109" s="51" t="n">
        <x:v>0</x:v>
      </x:c>
      <x:c r="Q109" s="47" t="str">
        <x:v>dirty first-run separation</x:v>
      </x:c>
      <x:c r="R109" s="47" t="str">
        <x:v>stuck / cross-flow</x:v>
      </x:c>
      <x:c r="S109" s="47" t="str"/>
      <x:c r="T109" s="47" t="str"/>
      <x:c r="U109" s="47" t="str">
        <x:v>Governed node; variants not separated</x:v>
      </x:c>
      <x:c r="V109" s="49"/>
      <x:c r="W109" s="49"/>
    </x:row>
    <x:row r="110">
      <x:c r="A110" s="47" t="str">
        <x:v>A-CISTERN</x:v>
      </x:c>
      <x:c r="B110" s="47" t="str">
        <x:v>Covered cistern</x:v>
      </x:c>
      <x:c r="C110" s="47" t="str">
        <x:v>Water</x:v>
      </x:c>
      <x:c r="D110" s="47" t="str">
        <x:v>Assembly</x:v>
      </x:c>
      <x:c r="E110" s="47" t="str">
        <x:v>H4</x:v>
      </x:c>
      <x:c r="F110" s="47" t="str">
        <x:v>Placeable/deployable assembly</x:v>
      </x:c>
      <x:c r="G110" s="47" t="str">
        <x:v>No</x:v>
      </x:c>
      <x:c r="H110" s="47" t="str">
        <x:v>Make / assemble / qualify</x:v>
      </x:c>
      <x:c r="I110" s="47" t="str">
        <x:v>P-FIRED-CERAMIC; A-GUTTER; A-FIRST-FLUSH; P-PITCH</x:v>
      </x:c>
      <x:c r="J110" s="47" t="str">
        <x:v>site / seal / cover / overflow / clean</x:v>
      </x:c>
      <x:c r="K110" s="47" t="str">
        <x:v>T-MEASURE</x:v>
      </x:c>
      <x:c r="L110" s="47" t="str">
        <x:v>working home</x:v>
      </x:c>
      <x:c r="M110" s="47" t="str">
        <x:v>water / construction</x:v>
      </x:c>
      <x:c r="N110" s="47" t="str">
        <x:v>high</x:v>
      </x:c>
      <x:c r="O110" s="51" t="n">
        <x:v>1200</x:v>
      </x:c>
      <x:c r="P110" s="51" t="n">
        <x:v>240</x:v>
      </x:c>
      <x:c r="Q110" s="47" t="str">
        <x:v>leak/clean/overflow</x:v>
      </x:c>
      <x:c r="R110" s="47" t="str">
        <x:v>leak / stagnation</x:v>
      </x:c>
      <x:c r="S110" s="47" t="str"/>
      <x:c r="T110" s="47" t="str"/>
      <x:c r="U110" s="47" t="str">
        <x:v>Governed node; variants not separated</x:v>
      </x:c>
      <x:c r="V110" s="49"/>
      <x:c r="W110" s="49"/>
    </x:row>
    <x:row r="111">
      <x:c r="A111" s="47" t="str">
        <x:v>A-FILTER</x:v>
      </x:c>
      <x:c r="B111" s="47" t="str">
        <x:v>Qualified treatment train</x:v>
      </x:c>
      <x:c r="C111" s="47" t="str">
        <x:v>Water</x:v>
      </x:c>
      <x:c r="D111" s="47" t="str">
        <x:v>Assembly</x:v>
      </x:c>
      <x:c r="E111" s="47" t="str">
        <x:v>H4</x:v>
      </x:c>
      <x:c r="F111" s="47" t="str">
        <x:v>Placeable/deployable assembly</x:v>
      </x:c>
      <x:c r="G111" s="47" t="str">
        <x:v>No</x:v>
      </x:c>
      <x:c r="H111" s="47" t="str">
        <x:v>Make / assemble / qualify</x:v>
      </x:c>
      <x:c r="I111" s="47" t="str">
        <x:v>S-SAND; P-CHARCOAL; P-MAT; C-COVERED-STORE</x:v>
      </x:c>
      <x:c r="J111" s="47" t="str">
        <x:v>settle / filter / disinfect / maintain</x:v>
      </x:c>
      <x:c r="K111" s="47" t="str">
        <x:v>T-MEASURE</x:v>
      </x:c>
      <x:c r="L111" s="47" t="str">
        <x:v>W-WATER</x:v>
      </x:c>
      <x:c r="M111" s="47" t="str">
        <x:v>water / fabrication</x:v>
      </x:c>
      <x:c r="N111" s="47" t="str">
        <x:v>moderate</x:v>
      </x:c>
      <x:c r="O111" s="51" t="n">
        <x:v>360</x:v>
      </x:c>
      <x:c r="P111" s="51" t="n">
        <x:v>0</x:v>
      </x:c>
      <x:c r="Q111" s="47" t="str">
        <x:v>flow/integrity/outcome</x:v>
      </x:c>
      <x:c r="R111" s="47" t="str">
        <x:v>breakthrough</x:v>
      </x:c>
      <x:c r="S111" s="47" t="str"/>
      <x:c r="T111" s="47" t="str"/>
      <x:c r="U111" s="47" t="str">
        <x:v>Governed node; variants not separated</x:v>
      </x:c>
      <x:c r="V111" s="49"/>
      <x:c r="W111" s="49"/>
    </x:row>
    <x:row r="112">
      <x:c r="A112" s="47" t="str">
        <x:v>A-DISTILLER</x:v>
      </x:c>
      <x:c r="B112" s="47" t="str">
        <x:v>Distiller/desalinator</x:v>
      </x:c>
      <x:c r="C112" s="47" t="str">
        <x:v>Water</x:v>
      </x:c>
      <x:c r="D112" s="47" t="str">
        <x:v>Assembly</x:v>
      </x:c>
      <x:c r="E112" s="47" t="str">
        <x:v>H5</x:v>
      </x:c>
      <x:c r="F112" s="47" t="str">
        <x:v>Placeable/deployable assembly</x:v>
      </x:c>
      <x:c r="G112" s="47" t="str">
        <x:v>No</x:v>
      </x:c>
      <x:c r="H112" s="47" t="str">
        <x:v>Make / assemble / qualify</x:v>
      </x:c>
      <x:c r="I112" s="47" t="str">
        <x:v>C-AL-POT; S-COPPER; P-GASKET; C-COVERED-STORE; W-HEARTH</x:v>
      </x:c>
      <x:c r="J112" s="47" t="str">
        <x:v>boil / condense / separate / clean</x:v>
      </x:c>
      <x:c r="K112" s="47" t="str">
        <x:v>T-MEASURE</x:v>
      </x:c>
      <x:c r="L112" s="47" t="str">
        <x:v>thermal workshop</x:v>
      </x:c>
      <x:c r="M112" s="47" t="str">
        <x:v>thermal / water / metal</x:v>
      </x:c>
      <x:c r="N112" s="47" t="str">
        <x:v>high</x:v>
      </x:c>
      <x:c r="O112" s="51" t="n">
        <x:v>720</x:v>
      </x:c>
      <x:c r="P112" s="51" t="n">
        <x:v>0</x:v>
      </x:c>
      <x:c r="Q112" s="47" t="str">
        <x:v>salt rejection and clean distillate</x:v>
      </x:c>
      <x:c r="R112" s="47" t="str">
        <x:v>leak / volatile carryover</x:v>
      </x:c>
      <x:c r="S112" s="47" t="str"/>
      <x:c r="T112" s="47" t="str"/>
      <x:c r="U112" s="47" t="str">
        <x:v>Compressed family/assembly</x:v>
      </x:c>
      <x:c r="V112" s="49"/>
      <x:c r="W112" s="49"/>
    </x:row>
    <x:row r="113">
      <x:c r="A113" s="47" t="str">
        <x:v>A-PIPE</x:v>
      </x:c>
      <x:c r="B113" s="47" t="str">
        <x:v>Pipe/hose line</x:v>
      </x:c>
      <x:c r="C113" s="47" t="str">
        <x:v>Water</x:v>
      </x:c>
      <x:c r="D113" s="47" t="str">
        <x:v>Assembly</x:v>
      </x:c>
      <x:c r="E113" s="47" t="str">
        <x:v>H4</x:v>
      </x:c>
      <x:c r="F113" s="47" t="str">
        <x:v>Placeable/deployable assembly</x:v>
      </x:c>
      <x:c r="G113" s="47" t="str">
        <x:v>No</x:v>
      </x:c>
      <x:c r="H113" s="47" t="str">
        <x:v>Make / assemble / qualify</x:v>
      </x:c>
      <x:c r="I113" s="47" t="str">
        <x:v>S-RUBBER; S-COPPER; P-GASKET</x:v>
      </x:c>
      <x:c r="J113" s="47" t="str">
        <x:v>cut / fit / support / flush</x:v>
      </x:c>
      <x:c r="K113" s="47" t="str">
        <x:v>T-STONE-KNIFE</x:v>
      </x:c>
      <x:c r="L113" s="47" t="str">
        <x:v>W-BENCH</x:v>
      </x:c>
      <x:c r="M113" s="47" t="str">
        <x:v>plumbing</x:v>
      </x:c>
      <x:c r="N113" s="47" t="str">
        <x:v>moderate</x:v>
      </x:c>
      <x:c r="O113" s="51" t="n">
        <x:v>240</x:v>
      </x:c>
      <x:c r="P113" s="51" t="n">
        <x:v>0</x:v>
      </x:c>
      <x:c r="Q113" s="47" t="str">
        <x:v>flow/leak/clean</x:v>
      </x:c>
      <x:c r="R113" s="47" t="str">
        <x:v>leak / contamination</x:v>
      </x:c>
      <x:c r="S113" s="47" t="str"/>
      <x:c r="T113" s="47" t="str"/>
      <x:c r="U113" s="47" t="str">
        <x:v>Compressed family/assembly</x:v>
      </x:c>
      <x:c r="V113" s="49"/>
      <x:c r="W113" s="49"/>
    </x:row>
    <x:row r="114">
      <x:c r="A114" s="47" t="str">
        <x:v>A-VALVE</x:v>
      </x:c>
      <x:c r="B114" s="47" t="str">
        <x:v>Shutoff valve</x:v>
      </x:c>
      <x:c r="C114" s="47" t="str">
        <x:v>Water</x:v>
      </x:c>
      <x:c r="D114" s="47" t="str">
        <x:v>Assembly</x:v>
      </x:c>
      <x:c r="E114" s="47" t="str">
        <x:v>H5</x:v>
      </x:c>
      <x:c r="F114" s="47" t="str">
        <x:v>Placeable/deployable assembly</x:v>
      </x:c>
      <x:c r="G114" s="47" t="str">
        <x:v>No</x:v>
      </x:c>
      <x:c r="H114" s="47" t="str">
        <x:v>Recover / repair / qualify</x:v>
      </x:c>
      <x:c r="I114" s="47" t="str">
        <x:v>S-BRASS; P-GASKET; A-PIPE</x:v>
      </x:c>
      <x:c r="J114" s="47" t="str">
        <x:v>recover / clean / fit / exercise</x:v>
      </x:c>
      <x:c r="K114" s="47" t="str">
        <x:v>T-PRY</x:v>
      </x:c>
      <x:c r="L114" s="47" t="str">
        <x:v>W-BENCH</x:v>
      </x:c>
      <x:c r="M114" s="47" t="str">
        <x:v>mechanics / plumbing</x:v>
      </x:c>
      <x:c r="N114" s="47" t="str">
        <x:v>dexterity</x:v>
      </x:c>
      <x:c r="O114" s="51" t="n">
        <x:v>180</x:v>
      </x:c>
      <x:c r="P114" s="51" t="n">
        <x:v>0</x:v>
      </x:c>
      <x:c r="Q114" s="47" t="str">
        <x:v>close/open/leak</x:v>
      </x:c>
      <x:c r="R114" s="47" t="str">
        <x:v>seize / leak</x:v>
      </x:c>
      <x:c r="S114" s="47" t="str"/>
      <x:c r="T114" s="47" t="str">
        <x:v>Steam/electric supporting chain</x:v>
      </x:c>
      <x:c r="U114" s="47" t="str">
        <x:v>Governed node; variants not separated</x:v>
      </x:c>
      <x:c r="V114" s="49"/>
      <x:c r="W114" s="49"/>
    </x:row>
    <x:row r="115">
      <x:c r="A115" s="47" t="str">
        <x:v>A-PUMP</x:v>
      </x:c>
      <x:c r="B115" s="47" t="str">
        <x:v>Hand pump</x:v>
      </x:c>
      <x:c r="C115" s="47" t="str">
        <x:v>Water</x:v>
      </x:c>
      <x:c r="D115" s="47" t="str">
        <x:v>Assembly</x:v>
      </x:c>
      <x:c r="E115" s="47" t="str">
        <x:v>H5</x:v>
      </x:c>
      <x:c r="F115" s="47" t="str">
        <x:v>Placeable/deployable assembly</x:v>
      </x:c>
      <x:c r="G115" s="47" t="str">
        <x:v>No</x:v>
      </x:c>
      <x:c r="H115" s="47" t="str">
        <x:v>Make / assemble / qualify</x:v>
      </x:c>
      <x:c r="I115" s="47" t="str">
        <x:v>S-BEARING; A-PIPE; A-VALVE; P-GASKET</x:v>
      </x:c>
      <x:c r="J115" s="47" t="str">
        <x:v>diagnose / fit / prime / test</x:v>
      </x:c>
      <x:c r="K115" s="47" t="str">
        <x:v>T-MEASURE</x:v>
      </x:c>
      <x:c r="L115" s="47" t="str">
        <x:v>W-BENCH</x:v>
      </x:c>
      <x:c r="M115" s="47" t="str">
        <x:v>mechanics / water</x:v>
      </x:c>
      <x:c r="N115" s="47" t="str">
        <x:v>strength + dexterity</x:v>
      </x:c>
      <x:c r="O115" s="51" t="n">
        <x:v>480</x:v>
      </x:c>
      <x:c r="P115" s="51" t="n">
        <x:v>0</x:v>
      </x:c>
      <x:c r="Q115" s="47" t="str">
        <x:v>prime/flow/leak</x:v>
      </x:c>
      <x:c r="R115" s="47" t="str">
        <x:v>air leak / contamination</x:v>
      </x:c>
      <x:c r="S115" s="47" t="str"/>
      <x:c r="T115" s="47" t="str">
        <x:v>Steam/electric supporting chain</x:v>
      </x:c>
      <x:c r="U115" s="47" t="str">
        <x:v>Governed node; variants not separated</x:v>
      </x:c>
      <x:c r="V115" s="49"/>
      <x:c r="W115" s="49"/>
    </x:row>
    <x:row r="116">
      <x:c r="A116" s="47" t="str">
        <x:v>A-WINDBREAK</x:v>
      </x:c>
      <x:c r="B116" s="47" t="str">
        <x:v>Oriented windbreak</x:v>
      </x:c>
      <x:c r="C116" s="47" t="str">
        <x:v>Shelter</x:v>
      </x:c>
      <x:c r="D116" s="47" t="str">
        <x:v>Assembly</x:v>
      </x:c>
      <x:c r="E116" s="47" t="str">
        <x:v>H1</x:v>
      </x:c>
      <x:c r="F116" s="47" t="str">
        <x:v>Placeable/deployable assembly</x:v>
      </x:c>
      <x:c r="G116" s="47" t="str">
        <x:v>No</x:v>
      </x:c>
      <x:c r="H116" s="47" t="str">
        <x:v>Make / assemble / qualify</x:v>
      </x:c>
      <x:c r="I116" s="47" t="str">
        <x:v>P-STRAIGHT-POLE; P-MAT; P-CORD</x:v>
      </x:c>
      <x:c r="J116" s="47" t="str">
        <x:v>site / anchor / orient / test</x:v>
      </x:c>
      <x:c r="K116" s="47" t="str">
        <x:v>T-DIG</x:v>
      </x:c>
      <x:c r="L116" s="47" t="str">
        <x:v>world</x:v>
      </x:c>
      <x:c r="M116" s="47" t="str">
        <x:v>construction / weather</x:v>
      </x:c>
      <x:c r="N116" s="47" t="str">
        <x:v>moderate</x:v>
      </x:c>
      <x:c r="O116" s="51" t="n">
        <x:v>90</x:v>
      </x:c>
      <x:c r="P116" s="51" t="n">
        <x:v>0</x:v>
      </x:c>
      <x:c r="Q116" s="47" t="str">
        <x:v>occupied wind comparison</x:v>
      </x:c>
      <x:c r="R116" s="47" t="str">
        <x:v>collapse / wrong side</x:v>
      </x:c>
      <x:c r="S116" s="47" t="str"/>
      <x:c r="T116" s="47" t="str"/>
      <x:c r="U116" s="47" t="str">
        <x:v>Governed node; variants not separated</x:v>
      </x:c>
      <x:c r="V116" s="49"/>
      <x:c r="W116" s="49"/>
    </x:row>
    <x:row r="117">
      <x:c r="A117" s="47" t="str">
        <x:v>A-ROOF</x:v>
      </x:c>
      <x:c r="B117" s="47" t="str">
        <x:v>Rain roof</x:v>
      </x:c>
      <x:c r="C117" s="47" t="str">
        <x:v>Shelter</x:v>
      </x:c>
      <x:c r="D117" s="47" t="str">
        <x:v>Assembly</x:v>
      </x:c>
      <x:c r="E117" s="47" t="str">
        <x:v>H1</x:v>
      </x:c>
      <x:c r="F117" s="47" t="str">
        <x:v>Placeable/deployable assembly</x:v>
      </x:c>
      <x:c r="G117" s="47" t="str">
        <x:v>No</x:v>
      </x:c>
      <x:c r="H117" s="47" t="str">
        <x:v>Make / assemble / qualify</x:v>
      </x:c>
      <x:c r="I117" s="47" t="str">
        <x:v>P-STRAIGHT-POLE; P-MAT; P-CORD</x:v>
      </x:c>
      <x:c r="J117" s="47" t="str">
        <x:v>frame / pitch / cover / drain</x:v>
      </x:c>
      <x:c r="K117" s="47" t="str">
        <x:v>T-MEASURE</x:v>
      </x:c>
      <x:c r="L117" s="47" t="str">
        <x:v>world</x:v>
      </x:c>
      <x:c r="M117" s="47" t="str">
        <x:v>construction</x:v>
      </x:c>
      <x:c r="N117" s="47" t="str">
        <x:v>moderate</x:v>
      </x:c>
      <x:c r="O117" s="51" t="n">
        <x:v>150</x:v>
      </x:c>
      <x:c r="P117" s="51" t="n">
        <x:v>0</x:v>
      </x:c>
      <x:c r="Q117" s="47" t="str">
        <x:v>occupied rain coverage</x:v>
      </x:c>
      <x:c r="R117" s="47" t="str">
        <x:v>leak / pond / collapse</x:v>
      </x:c>
      <x:c r="S117" s="47" t="str"/>
      <x:c r="T117" s="47" t="str"/>
      <x:c r="U117" s="47" t="str">
        <x:v>Governed node; variants not separated</x:v>
      </x:c>
      <x:c r="V117" s="49"/>
      <x:c r="W117" s="49"/>
    </x:row>
    <x:row r="118">
      <x:c r="A118" s="47" t="str">
        <x:v>A-RAISED-BED</x:v>
      </x:c>
      <x:c r="B118" s="47" t="str">
        <x:v>Raised insulated sleep</x:v>
      </x:c>
      <x:c r="C118" s="47" t="str">
        <x:v>Shelter</x:v>
      </x:c>
      <x:c r="D118" s="47" t="str">
        <x:v>Assembly</x:v>
      </x:c>
      <x:c r="E118" s="47" t="str">
        <x:v>H2</x:v>
      </x:c>
      <x:c r="F118" s="47" t="str">
        <x:v>Placeable/deployable assembly</x:v>
      </x:c>
      <x:c r="G118" s="47" t="str">
        <x:v>No</x:v>
      </x:c>
      <x:c r="H118" s="47" t="str">
        <x:v>Make / assemble / qualify</x:v>
      </x:c>
      <x:c r="I118" s="47" t="str">
        <x:v>P-STRAIGHT-POLE; P-MAT; P-CORD</x:v>
      </x:c>
      <x:c r="J118" s="47" t="str">
        <x:v>frame / raise / insulate / test</x:v>
      </x:c>
      <x:c r="K118" s="47" t="str">
        <x:v>T-MEASURE</x:v>
      </x:c>
      <x:c r="L118" s="47" t="str">
        <x:v>A-ROOF</x:v>
      </x:c>
      <x:c r="M118" s="47" t="str">
        <x:v>construction / body care</x:v>
      </x:c>
      <x:c r="N118" s="47" t="str">
        <x:v>moderate</x:v>
      </x:c>
      <x:c r="O118" s="51" t="n">
        <x:v>180</x:v>
      </x:c>
      <x:c r="P118" s="51" t="n">
        <x:v>0</x:v>
      </x:c>
      <x:c r="Q118" s="47" t="str">
        <x:v>stability/ground-loss</x:v>
      </x:c>
      <x:c r="R118" s="47" t="str">
        <x:v>collapse / damp</x:v>
      </x:c>
      <x:c r="S118" s="47" t="str"/>
      <x:c r="T118" s="47" t="str"/>
      <x:c r="U118" s="47" t="str">
        <x:v>Governed node; variants not separated</x:v>
      </x:c>
      <x:c r="V118" s="49"/>
      <x:c r="W118" s="49"/>
    </x:row>
    <x:row r="119">
      <x:c r="A119" s="47" t="str">
        <x:v>A-REFUGE</x:v>
      </x:c>
      <x:c r="B119" s="47" t="str">
        <x:v>Truthful first refuge</x:v>
      </x:c>
      <x:c r="C119" s="47" t="str">
        <x:v>Shelter</x:v>
      </x:c>
      <x:c r="D119" s="47" t="str">
        <x:v>Assembly</x:v>
      </x:c>
      <x:c r="E119" s="47" t="str">
        <x:v>H2</x:v>
      </x:c>
      <x:c r="F119" s="47" t="str">
        <x:v>Placeable/deployable assembly</x:v>
      </x:c>
      <x:c r="G119" s="47" t="str">
        <x:v>No</x:v>
      </x:c>
      <x:c r="H119" s="47" t="str">
        <x:v>Make / assemble / qualify</x:v>
      </x:c>
      <x:c r="I119" s="47" t="str">
        <x:v>A-WINDBREAK; A-ROOF; A-RAISED-BED; W-HEARTH</x:v>
      </x:c>
      <x:c r="J119" s="47" t="str">
        <x:v>occupy / heat / smoke / egress test</x:v>
      </x:c>
      <x:c r="K119" s="47" t="str"/>
      <x:c r="L119" s="47" t="str">
        <x:v>world</x:v>
      </x:c>
      <x:c r="M119" s="47" t="str">
        <x:v>survival / construction</x:v>
      </x:c>
      <x:c r="N119" s="47" t="str">
        <x:v>moderate</x:v>
      </x:c>
      <x:c r="O119" s="51" t="n">
        <x:v>300</x:v>
      </x:c>
      <x:c r="P119" s="51" t="n">
        <x:v>0</x:v>
      </x:c>
      <x:c r="Q119" s="47" t="str">
        <x:v>night exposure test</x:v>
      </x:c>
      <x:c r="R119" s="47" t="str">
        <x:v>smoke / leak / fire</x:v>
      </x:c>
      <x:c r="S119" s="47" t="str"/>
      <x:c r="T119" s="47" t="str"/>
      <x:c r="U119" s="47" t="str">
        <x:v>Governed node; variants not separated</x:v>
      </x:c>
      <x:c r="V119" s="49"/>
      <x:c r="W119" s="49"/>
    </x:row>
    <x:row r="120">
      <x:c r="A120" s="47" t="str">
        <x:v>A-COVERED-STORE</x:v>
      </x:c>
      <x:c r="B120" s="47" t="str">
        <x:v>Dry cache/chest</x:v>
      </x:c>
      <x:c r="C120" s="47" t="str">
        <x:v>Storage</x:v>
      </x:c>
      <x:c r="D120" s="47" t="str">
        <x:v>Assembly</x:v>
      </x:c>
      <x:c r="E120" s="47" t="str">
        <x:v>H2</x:v>
      </x:c>
      <x:c r="F120" s="47" t="str">
        <x:v>Placeable/deployable assembly</x:v>
      </x:c>
      <x:c r="G120" s="47" t="str">
        <x:v>No</x:v>
      </x:c>
      <x:c r="H120" s="47" t="str">
        <x:v>Make / assemble / qualify</x:v>
      </x:c>
      <x:c r="I120" s="47" t="str">
        <x:v>P-MAT; P-STRAIGHT-POLE; P-CORD; A-ROOF</x:v>
      </x:c>
      <x:c r="J120" s="47" t="str">
        <x:v>raise / enclose / close / inspect</x:v>
      </x:c>
      <x:c r="K120" s="47" t="str">
        <x:v>T-STONE-KNIFE</x:v>
      </x:c>
      <x:c r="L120" s="47" t="str">
        <x:v>A-REFUGE</x:v>
      </x:c>
      <x:c r="M120" s="47" t="str">
        <x:v>storage / construction</x:v>
      </x:c>
      <x:c r="N120" s="47" t="str">
        <x:v>moderate</x:v>
      </x:c>
      <x:c r="O120" s="51" t="n">
        <x:v>120</x:v>
      </x:c>
      <x:c r="P120" s="51" t="n">
        <x:v>0</x:v>
      </x:c>
      <x:c r="Q120" s="47" t="str">
        <x:v>dry/pest test</x:v>
      </x:c>
      <x:c r="R120" s="47" t="str">
        <x:v>mold / pest / leak</x:v>
      </x:c>
      <x:c r="S120" s="47" t="str"/>
      <x:c r="T120" s="47" t="str"/>
      <x:c r="U120" s="47" t="str">
        <x:v>Compressed family/assembly</x:v>
      </x:c>
      <x:c r="V120" s="49"/>
      <x:c r="W120" s="49"/>
    </x:row>
    <x:row r="121">
      <x:c r="A121" s="47" t="str">
        <x:v>A-LAMP</x:v>
      </x:c>
      <x:c r="B121" s="47" t="str">
        <x:v>Protected lamp/light</x:v>
      </x:c>
      <x:c r="C121" s="47" t="str">
        <x:v>Power</x:v>
      </x:c>
      <x:c r="D121" s="47" t="str">
        <x:v>Assembly</x:v>
      </x:c>
      <x:c r="E121" s="47" t="str">
        <x:v>H4</x:v>
      </x:c>
      <x:c r="F121" s="47" t="str">
        <x:v>Placeable/deployable assembly</x:v>
      </x:c>
      <x:c r="G121" s="47" t="str">
        <x:v>No</x:v>
      </x:c>
      <x:c r="H121" s="47" t="str">
        <x:v>Make / assemble / qualify</x:v>
      </x:c>
      <x:c r="I121" s="47" t="str">
        <x:v>S-BATTERY; S-WIRE; S-GLASS</x:v>
      </x:c>
      <x:c r="J121" s="47" t="str">
        <x:v>connect / protect / switch / test</x:v>
      </x:c>
      <x:c r="K121" s="47" t="str">
        <x:v>T-METER</x:v>
      </x:c>
      <x:c r="L121" s="47" t="str">
        <x:v>W-ELECTRICAL</x:v>
      </x:c>
      <x:c r="M121" s="47" t="str">
        <x:v>electrical</x:v>
      </x:c>
      <x:c r="N121" s="47" t="str">
        <x:v>dexterity</x:v>
      </x:c>
      <x:c r="O121" s="51" t="n">
        <x:v>120</x:v>
      </x:c>
      <x:c r="P121" s="51" t="n">
        <x:v>0</x:v>
      </x:c>
      <x:c r="Q121" s="47" t="str">
        <x:v>light/load/short</x:v>
      </x:c>
      <x:c r="R121" s="47" t="str">
        <x:v>fire / drain</x:v>
      </x:c>
      <x:c r="S121" s="47" t="str"/>
      <x:c r="T121" s="47" t="str">
        <x:v>Steam/electric supporting chain</x:v>
      </x:c>
      <x:c r="U121" s="47" t="str">
        <x:v>Compressed family/assembly</x:v>
      </x:c>
      <x:c r="V121" s="49"/>
      <x:c r="W121" s="49"/>
    </x:row>
    <x:row r="122">
      <x:c r="A122" s="47" t="str">
        <x:v>A-WORKING-HOME</x:v>
      </x:c>
      <x:c r="B122" s="47" t="str">
        <x:v>Working home</x:v>
      </x:c>
      <x:c r="C122" s="47" t="str">
        <x:v>Shelter</x:v>
      </x:c>
      <x:c r="D122" s="47" t="str">
        <x:v>Endpoint</x:v>
      </x:c>
      <x:c r="E122" s="47" t="str">
        <x:v>H5</x:v>
      </x:c>
      <x:c r="F122" s="47" t="str">
        <x:v>Placeable system/capability</x:v>
      </x:c>
      <x:c r="G122" s="47" t="str">
        <x:v>No</x:v>
      </x:c>
      <x:c r="H122" s="47" t="str">
        <x:v>Make / assemble / qualify</x:v>
      </x:c>
      <x:c r="I122" s="47" t="str">
        <x:v>A-REFUGE; A-CISTERN; A-COVERED-STORE; W-BENCH; W-CLEAN</x:v>
      </x:c>
      <x:c r="J122" s="47" t="str">
        <x:v>integrate / maintain / audit</x:v>
      </x:c>
      <x:c r="K122" s="47" t="str"/>
      <x:c r="L122" s="47" t="str">
        <x:v>world</x:v>
      </x:c>
      <x:c r="M122" s="47" t="str">
        <x:v>systems / logistics</x:v>
      </x:c>
      <x:c r="N122" s="47" t="str">
        <x:v>mixed</x:v>
      </x:c>
      <x:c r="O122" s="51" t="n">
        <x:v>2400</x:v>
      </x:c>
      <x:c r="P122" s="51" t="n">
        <x:v>0</x:v>
      </x:c>
      <x:c r="Q122" s="47" t="str">
        <x:v>daily-cycle proof</x:v>
      </x:c>
      <x:c r="R122" s="47" t="str">
        <x:v>maintenance cascade</x:v>
      </x:c>
      <x:c r="S122" s="47" t="str"/>
      <x:c r="T122" s="47" t="str"/>
      <x:c r="U122" s="47" t="str">
        <x:v>Governed node; variants not separated</x:v>
      </x:c>
      <x:c r="V122" s="49"/>
      <x:c r="W122" s="49"/>
    </x:row>
    <x:row r="123">
      <x:c r="A123" s="47" t="str">
        <x:v>A-LEGACY-HOME</x:v>
      </x:c>
      <x:c r="B123" s="47" t="str">
        <x:v>Legacy compound</x:v>
      </x:c>
      <x:c r="C123" s="47" t="str">
        <x:v>Legacy</x:v>
      </x:c>
      <x:c r="D123" s="47" t="str">
        <x:v>Endpoint</x:v>
      </x:c>
      <x:c r="E123" s="47" t="str">
        <x:v>H6</x:v>
      </x:c>
      <x:c r="F123" s="47" t="str">
        <x:v>Major end capability</x:v>
      </x:c>
      <x:c r="G123" s="47" t="str">
        <x:v>No</x:v>
      </x:c>
      <x:c r="H123" s="47" t="str">
        <x:v>Make / assemble / qualify</x:v>
      </x:c>
      <x:c r="I123" s="47" t="str">
        <x:v>A-WORKING-HOME; W-CLINIC; W-ARCHIVE; A-ARRIVAL</x:v>
      </x:c>
      <x:c r="J123" s="47" t="str">
        <x:v>harden / label / distribute / test</x:v>
      </x:c>
      <x:c r="K123" s="47" t="str"/>
      <x:c r="L123" s="47" t="str">
        <x:v>world</x:v>
      </x:c>
      <x:c r="M123" s="47" t="str">
        <x:v>systems / inheritance</x:v>
      </x:c>
      <x:c r="N123" s="47" t="str">
        <x:v>mixed</x:v>
      </x:c>
      <x:c r="O123" s="51" t="n">
        <x:v>6000</x:v>
      </x:c>
      <x:c r="P123" s="51" t="n">
        <x:v>0</x:v>
      </x:c>
      <x:c r="Q123" s="47" t="str">
        <x:v>successor recovery drill</x:v>
      </x:c>
      <x:c r="R123" s="47" t="str">
        <x:v>unreadable / single point</x:v>
      </x:c>
      <x:c r="S123" s="47" t="str"/>
      <x:c r="T123" s="47" t="str"/>
      <x:c r="U123" s="47" t="str">
        <x:v>Governed node; variants not separated</x:v>
      </x:c>
      <x:c r="V123" s="49"/>
      <x:c r="W123" s="49"/>
    </x:row>
    <x:row r="124">
      <x:c r="A124" s="47" t="str">
        <x:v>A-HANDWASH</x:v>
      </x:c>
      <x:c r="B124" s="47" t="str">
        <x:v>Handwashing station</x:v>
      </x:c>
      <x:c r="C124" s="47" t="str">
        <x:v>Medicine</x:v>
      </x:c>
      <x:c r="D124" s="47" t="str">
        <x:v>Assembly</x:v>
      </x:c>
      <x:c r="E124" s="47" t="str">
        <x:v>H3</x:v>
      </x:c>
      <x:c r="F124" s="47" t="str">
        <x:v>Deployable/carryable assembly</x:v>
      </x:c>
      <x:c r="G124" s="47" t="str">
        <x:v>Mixed</x:v>
      </x:c>
      <x:c r="H124" s="47" t="str">
        <x:v>Make / assemble / qualify</x:v>
      </x:c>
      <x:c r="I124" s="47" t="str">
        <x:v>P-CLEAN-WATER; C-COVERED-STORE; P-CORD</x:v>
      </x:c>
      <x:c r="J124" s="47" t="str">
        <x:v>mount / controlled pour / drain</x:v>
      </x:c>
      <x:c r="K124" s="47" t="str"/>
      <x:c r="L124" s="47" t="str">
        <x:v>W-CLEAN</x:v>
      </x:c>
      <x:c r="M124" s="47" t="str">
        <x:v>hygiene / water</x:v>
      </x:c>
      <x:c r="N124" s="47" t="str">
        <x:v>low</x:v>
      </x:c>
      <x:c r="O124" s="51" t="n">
        <x:v>60</x:v>
      </x:c>
      <x:c r="P124" s="51" t="n">
        <x:v>0</x:v>
      </x:c>
      <x:c r="Q124" s="47" t="str">
        <x:v>clean draw and drainage</x:v>
      </x:c>
      <x:c r="R124" s="47" t="str">
        <x:v>recontamination</x:v>
      </x:c>
      <x:c r="S124" s="47" t="str"/>
      <x:c r="T124" s="47" t="str"/>
      <x:c r="U124" s="47" t="str">
        <x:v>Compressed family/assembly</x:v>
      </x:c>
      <x:c r="V124" s="49"/>
      <x:c r="W124" s="49"/>
    </x:row>
    <x:row r="125">
      <x:c r="A125" s="47" t="str">
        <x:v>A-LATRINE</x:v>
      </x:c>
      <x:c r="B125" s="47" t="str">
        <x:v>Latrine/waste separation</x:v>
      </x:c>
      <x:c r="C125" s="47" t="str">
        <x:v>Medicine</x:v>
      </x:c>
      <x:c r="D125" s="47" t="str">
        <x:v>Assembly</x:v>
      </x:c>
      <x:c r="E125" s="47" t="str">
        <x:v>H2</x:v>
      </x:c>
      <x:c r="F125" s="47" t="str">
        <x:v>Deployable/carryable assembly</x:v>
      </x:c>
      <x:c r="G125" s="47" t="str">
        <x:v>Mixed</x:v>
      </x:c>
      <x:c r="H125" s="47" t="str">
        <x:v>Make / assemble / qualify</x:v>
      </x:c>
      <x:c r="I125" s="47" t="str">
        <x:v>T-DIG; P-STRAIGHT-POLE; P-MAT</x:v>
      </x:c>
      <x:c r="J125" s="47" t="str">
        <x:v>site / dig / cover / mark</x:v>
      </x:c>
      <x:c r="K125" s="47" t="str">
        <x:v>T-DIG</x:v>
      </x:c>
      <x:c r="L125" s="47" t="str">
        <x:v>down-gradient safe site</x:v>
      </x:c>
      <x:c r="M125" s="47" t="str">
        <x:v>sanitation / ecology</x:v>
      </x:c>
      <x:c r="N125" s="47" t="str">
        <x:v>high</x:v>
      </x:c>
      <x:c r="O125" s="51" t="n">
        <x:v>180</x:v>
      </x:c>
      <x:c r="P125" s="51" t="n">
        <x:v>0</x:v>
      </x:c>
      <x:c r="Q125" s="47" t="str">
        <x:v>distance/drainage/source audit</x:v>
      </x:c>
      <x:c r="R125" s="47" t="str">
        <x:v>source contamination</x:v>
      </x:c>
      <x:c r="S125" s="47" t="str"/>
      <x:c r="T125" s="47" t="str"/>
      <x:c r="U125" s="47" t="str">
        <x:v>Compressed family/assembly</x:v>
      </x:c>
      <x:c r="V125" s="49"/>
      <x:c r="W125" s="49"/>
    </x:row>
    <x:row r="126">
      <x:c r="A126" s="47" t="str">
        <x:v>A-BANDAGE</x:v>
      </x:c>
      <x:c r="B126" s="47" t="str">
        <x:v>Applied clean dressing</x:v>
      </x:c>
      <x:c r="C126" s="47" t="str">
        <x:v>Medicine</x:v>
      </x:c>
      <x:c r="D126" s="47" t="str">
        <x:v>Capability</x:v>
      </x:c>
      <x:c r="E126" s="47" t="str">
        <x:v>H2</x:v>
      </x:c>
      <x:c r="F126" s="47" t="str">
        <x:v>Abstract applied capability</x:v>
      </x:c>
      <x:c r="G126" s="47" t="str">
        <x:v>No</x:v>
      </x:c>
      <x:c r="H126" s="47" t="str">
        <x:v>Make / assemble / qualify</x:v>
      </x:c>
      <x:c r="I126" s="47" t="str">
        <x:v>P-DRESSING; P-CLEAN-WATER</x:v>
      </x:c>
      <x:c r="J126" s="47" t="str">
        <x:v>clean / pressure / secure / monitor</x:v>
      </x:c>
      <x:c r="K126" s="47" t="str"/>
      <x:c r="L126" s="47" t="str">
        <x:v>W-CLEAN</x:v>
      </x:c>
      <x:c r="M126" s="47" t="str">
        <x:v>medicine</x:v>
      </x:c>
      <x:c r="N126" s="47" t="str">
        <x:v>dexterity + composure</x:v>
      </x:c>
      <x:c r="O126" s="51" t="n">
        <x:v>20</x:v>
      </x:c>
      <x:c r="P126" s="51" t="n">
        <x:v>0</x:v>
      </x:c>
      <x:c r="Q126" s="47" t="str">
        <x:v>bleeding/cleanliness/fit</x:v>
      </x:c>
      <x:c r="R126" s="47" t="str">
        <x:v>too tight / dirty</x:v>
      </x:c>
      <x:c r="S126" s="47" t="str"/>
      <x:c r="T126" s="47" t="str"/>
      <x:c r="U126" s="47" t="str">
        <x:v>Abstract; not a discrete item</x:v>
      </x:c>
      <x:c r="V126" s="49"/>
      <x:c r="W126" s="49"/>
    </x:row>
    <x:row r="127">
      <x:c r="A127" s="47" t="str">
        <x:v>A-SPLINT</x:v>
      </x:c>
      <x:c r="B127" s="47" t="str">
        <x:v>Fitted splint</x:v>
      </x:c>
      <x:c r="C127" s="47" t="str">
        <x:v>Medicine</x:v>
      </x:c>
      <x:c r="D127" s="47" t="str">
        <x:v>Capability</x:v>
      </x:c>
      <x:c r="E127" s="47" t="str">
        <x:v>H2</x:v>
      </x:c>
      <x:c r="F127" s="47" t="str">
        <x:v>Abstract applied capability</x:v>
      </x:c>
      <x:c r="G127" s="47" t="str">
        <x:v>No</x:v>
      </x:c>
      <x:c r="H127" s="47" t="str">
        <x:v>Make / assemble / qualify</x:v>
      </x:c>
      <x:c r="I127" s="47" t="str">
        <x:v>P-SPLINT-STOCK; P-CORD</x:v>
      </x:c>
      <x:c r="J127" s="47" t="str">
        <x:v>assess / align / pad / bind / monitor</x:v>
      </x:c>
      <x:c r="K127" s="47" t="str"/>
      <x:c r="L127" s="47" t="str">
        <x:v>W-CLEAN</x:v>
      </x:c>
      <x:c r="M127" s="47" t="str">
        <x:v>medicine / fit</x:v>
      </x:c>
      <x:c r="N127" s="47" t="str">
        <x:v>dexterity</x:v>
      </x:c>
      <x:c r="O127" s="51" t="n">
        <x:v>30</x:v>
      </x:c>
      <x:c r="P127" s="51" t="n">
        <x:v>0</x:v>
      </x:c>
      <x:c r="Q127" s="47" t="str">
        <x:v>support/circulation</x:v>
      </x:c>
      <x:c r="R127" s="47" t="str">
        <x:v>pressure / misalign</x:v>
      </x:c>
      <x:c r="S127" s="47" t="str"/>
      <x:c r="T127" s="47" t="str"/>
      <x:c r="U127" s="47" t="str">
        <x:v>Abstract; not a discrete item</x:v>
      </x:c>
      <x:c r="V127" s="49"/>
      <x:c r="W127" s="49"/>
    </x:row>
    <x:row r="128">
      <x:c r="A128" s="47" t="str">
        <x:v>A-CRUTCH</x:v>
      </x:c>
      <x:c r="B128" s="47" t="str">
        <x:v>Crutch/cane</x:v>
      </x:c>
      <x:c r="C128" s="47" t="str">
        <x:v>Medicine</x:v>
      </x:c>
      <x:c r="D128" s="47" t="str">
        <x:v>Tool</x:v>
      </x:c>
      <x:c r="E128" s="47" t="str">
        <x:v>H3</x:v>
      </x:c>
      <x:c r="F128" s="47" t="str">
        <x:v>Carryable tool/equipment</x:v>
      </x:c>
      <x:c r="G128" s="47" t="str">
        <x:v>Yes</x:v>
      </x:c>
      <x:c r="H128" s="47" t="str">
        <x:v>Make / assemble / qualify</x:v>
      </x:c>
      <x:c r="I128" s="47" t="str">
        <x:v>P-STRAIGHT-POLE; P-MAT; P-CORD</x:v>
      </x:c>
      <x:c r="J128" s="47" t="str">
        <x:v>fit / pad / gait test</x:v>
      </x:c>
      <x:c r="K128" s="47" t="str">
        <x:v>T-STONE-KNIFE</x:v>
      </x:c>
      <x:c r="L128" s="47" t="str">
        <x:v>W-BENCH</x:v>
      </x:c>
      <x:c r="M128" s="47" t="str">
        <x:v>medicine / construction</x:v>
      </x:c>
      <x:c r="N128" s="47" t="str">
        <x:v>dexterity</x:v>
      </x:c>
      <x:c r="O128" s="51" t="n">
        <x:v>90</x:v>
      </x:c>
      <x:c r="P128" s="51" t="n">
        <x:v>0</x:v>
      </x:c>
      <x:c r="Q128" s="47" t="str">
        <x:v>gait/load test</x:v>
      </x:c>
      <x:c r="R128" s="47" t="str">
        <x:v>slip / wrong height</x:v>
      </x:c>
      <x:c r="S128" s="47" t="str"/>
      <x:c r="T128" s="47" t="str"/>
      <x:c r="U128" s="47" t="str">
        <x:v>Compressed family/assembly</x:v>
      </x:c>
      <x:c r="V128" s="49"/>
      <x:c r="W128" s="49"/>
    </x:row>
    <x:row r="129">
      <x:c r="A129" s="47" t="str">
        <x:v>A-STRETCHER</x:v>
      </x:c>
      <x:c r="B129" s="47" t="str">
        <x:v>Stretcher/litter</x:v>
      </x:c>
      <x:c r="C129" s="47" t="str">
        <x:v>Medicine</x:v>
      </x:c>
      <x:c r="D129" s="47" t="str">
        <x:v>Assembly</x:v>
      </x:c>
      <x:c r="E129" s="47" t="str">
        <x:v>H3</x:v>
      </x:c>
      <x:c r="F129" s="47" t="str">
        <x:v>Deployable/carryable assembly</x:v>
      </x:c>
      <x:c r="G129" s="47" t="str">
        <x:v>Mixed</x:v>
      </x:c>
      <x:c r="H129" s="47" t="str">
        <x:v>Make / assemble / qualify</x:v>
      </x:c>
      <x:c r="I129" s="47" t="str">
        <x:v>P-STRAIGHT-POLE; P-MAT; P-ROPE</x:v>
      </x:c>
      <x:c r="J129" s="47" t="str">
        <x:v>frame / carry points / load test</x:v>
      </x:c>
      <x:c r="K129" s="47" t="str">
        <x:v>T-MEASURE</x:v>
      </x:c>
      <x:c r="L129" s="47" t="str">
        <x:v>W-BENCH</x:v>
      </x:c>
      <x:c r="M129" s="47" t="str">
        <x:v>medicine / logistics</x:v>
      </x:c>
      <x:c r="N129" s="47" t="str">
        <x:v>team</x:v>
      </x:c>
      <x:c r="O129" s="51" t="n">
        <x:v>180</x:v>
      </x:c>
      <x:c r="P129" s="51" t="n">
        <x:v>0</x:v>
      </x:c>
      <x:c r="Q129" s="47" t="str">
        <x:v>proof load/carry drill</x:v>
      </x:c>
      <x:c r="R129" s="47" t="str">
        <x:v>drop / tear</x:v>
      </x:c>
      <x:c r="S129" s="47" t="str"/>
      <x:c r="T129" s="47" t="str"/>
      <x:c r="U129" s="47" t="str">
        <x:v>Compressed family/assembly</x:v>
      </x:c>
      <x:c r="V129" s="49"/>
      <x:c r="W129" s="49"/>
    </x:row>
    <x:row r="130">
      <x:c r="A130" s="47" t="str">
        <x:v>A-COOKING</x:v>
      </x:c>
      <x:c r="B130" s="47" t="str">
        <x:v>Controlled cooking system</x:v>
      </x:c>
      <x:c r="C130" s="47" t="str">
        <x:v>Food</x:v>
      </x:c>
      <x:c r="D130" s="47" t="str">
        <x:v>Assembly</x:v>
      </x:c>
      <x:c r="E130" s="47" t="str">
        <x:v>H2</x:v>
      </x:c>
      <x:c r="F130" s="47" t="str">
        <x:v>Placeable/deployable assembly</x:v>
      </x:c>
      <x:c r="G130" s="47" t="str">
        <x:v>No</x:v>
      </x:c>
      <x:c r="H130" s="47" t="str">
        <x:v>Make / assemble / qualify</x:v>
      </x:c>
      <x:c r="I130" s="47" t="str">
        <x:v>W-HEARTH; C-FOUND-PAN; T-STONE-KNIFE; P-CLEAN-WATER</x:v>
      </x:c>
      <x:c r="J130" s="47" t="str">
        <x:v>clean / portion / heat / inspect</x:v>
      </x:c>
      <x:c r="K130" s="47" t="str"/>
      <x:c r="L130" s="47" t="str">
        <x:v>W-HEARTH</x:v>
      </x:c>
      <x:c r="M130" s="47" t="str">
        <x:v>food / hygiene</x:v>
      </x:c>
      <x:c r="N130" s="47" t="str">
        <x:v>moderate</x:v>
      </x:c>
      <x:c r="O130" s="51" t="n">
        <x:v>60</x:v>
      </x:c>
      <x:c r="P130" s="51" t="n">
        <x:v>0</x:v>
      </x:c>
      <x:c r="Q130" s="47" t="str">
        <x:v>safe batch</x:v>
      </x:c>
      <x:c r="R130" s="47" t="str">
        <x:v>undercook / contaminate</x:v>
      </x:c>
      <x:c r="S130" s="47" t="str"/>
      <x:c r="T130" s="47" t="str"/>
      <x:c r="U130" s="47" t="str">
        <x:v>Compressed family/assembly</x:v>
      </x:c>
      <x:c r="V130" s="49"/>
      <x:c r="W130" s="49"/>
    </x:row>
    <x:row r="131">
      <x:c r="A131" s="47" t="str">
        <x:v>A-FISH-LINE</x:v>
      </x:c>
      <x:c r="B131" s="47" t="str">
        <x:v>Fishing line/hook</x:v>
      </x:c>
      <x:c r="C131" s="47" t="str">
        <x:v>Food</x:v>
      </x:c>
      <x:c r="D131" s="47" t="str">
        <x:v>Tool</x:v>
      </x:c>
      <x:c r="E131" s="47" t="str">
        <x:v>H2</x:v>
      </x:c>
      <x:c r="F131" s="47" t="str">
        <x:v>Carryable tool/equipment</x:v>
      </x:c>
      <x:c r="G131" s="47" t="str">
        <x:v>Yes</x:v>
      </x:c>
      <x:c r="H131" s="47" t="str">
        <x:v>Make / assemble / qualify</x:v>
      </x:c>
      <x:c r="I131" s="47" t="str">
        <x:v>P-CORD; S-BONE; P-SHARP-EDGE</x:v>
      </x:c>
      <x:c r="J131" s="47" t="str">
        <x:v>form / tie / bait / retrieve</x:v>
      </x:c>
      <x:c r="K131" s="47" t="str">
        <x:v>T-STONE-KNIFE</x:v>
      </x:c>
      <x:c r="L131" s="47" t="str">
        <x:v>shore</x:v>
      </x:c>
      <x:c r="M131" s="47" t="str">
        <x:v>fishing / ecology</x:v>
      </x:c>
      <x:c r="N131" s="47" t="str">
        <x:v>dexterity</x:v>
      </x:c>
      <x:c r="O131" s="51" t="n">
        <x:v>60</x:v>
      </x:c>
      <x:c r="P131" s="51" t="n">
        <x:v>0</x:v>
      </x:c>
      <x:c r="Q131" s="47" t="str">
        <x:v>catch/retrieval test</x:v>
      </x:c>
      <x:c r="R131" s="47" t="str">
        <x:v>hook injury / lost gear</x:v>
      </x:c>
      <x:c r="S131" s="47" t="str"/>
      <x:c r="T131" s="47" t="str"/>
      <x:c r="U131" s="47" t="str">
        <x:v>Compressed family/assembly</x:v>
      </x:c>
      <x:c r="V131" s="49"/>
      <x:c r="W131" s="49"/>
    </x:row>
    <x:row r="132">
      <x:c r="A132" s="47" t="str">
        <x:v>A-FISH-TRAP</x:v>
      </x:c>
      <x:c r="B132" s="47" t="str">
        <x:v>Selective fish/crab trap</x:v>
      </x:c>
      <x:c r="C132" s="47" t="str">
        <x:v>Food</x:v>
      </x:c>
      <x:c r="D132" s="47" t="str">
        <x:v>Assembly</x:v>
      </x:c>
      <x:c r="E132" s="47" t="str">
        <x:v>H3</x:v>
      </x:c>
      <x:c r="F132" s="47" t="str">
        <x:v>Placeable/deployable assembly</x:v>
      </x:c>
      <x:c r="G132" s="47" t="str">
        <x:v>No</x:v>
      </x:c>
      <x:c r="H132" s="47" t="str">
        <x:v>Make / assemble / qualify</x:v>
      </x:c>
      <x:c r="I132" s="47" t="str">
        <x:v>P-MAT; P-CORD; P-STRAIGHT-POLE</x:v>
      </x:c>
      <x:c r="J132" s="47" t="str">
        <x:v>frame / entrance / mark / retrieve</x:v>
      </x:c>
      <x:c r="K132" s="47" t="str">
        <x:v>T-STONE-KNIFE</x:v>
      </x:c>
      <x:c r="L132" s="47" t="str">
        <x:v>shore</x:v>
      </x:c>
      <x:c r="M132" s="47" t="str">
        <x:v>fishing / ecology</x:v>
      </x:c>
      <x:c r="N132" s="47" t="str">
        <x:v>moderate</x:v>
      </x:c>
      <x:c r="O132" s="51" t="n">
        <x:v>180</x:v>
      </x:c>
      <x:c r="P132" s="51" t="n">
        <x:v>0</x:v>
      </x:c>
      <x:c r="Q132" s="47" t="str">
        <x:v>selectivity/check test</x:v>
      </x:c>
      <x:c r="R132" s="47" t="str">
        <x:v>bycatch / ghost gear</x:v>
      </x:c>
      <x:c r="S132" s="47" t="str"/>
      <x:c r="T132" s="47" t="str"/>
      <x:c r="U132" s="47" t="str">
        <x:v>Compressed family/assembly</x:v>
      </x:c>
      <x:c r="V132" s="49"/>
      <x:c r="W132" s="49"/>
    </x:row>
    <x:row r="133">
      <x:c r="A133" s="47" t="str">
        <x:v>A-SPEAR</x:v>
      </x:c>
      <x:c r="B133" s="47" t="str">
        <x:v>Spear/harpoon</x:v>
      </x:c>
      <x:c r="C133" s="47" t="str">
        <x:v>Food</x:v>
      </x:c>
      <x:c r="D133" s="47" t="str">
        <x:v>Tool</x:v>
      </x:c>
      <x:c r="E133" s="47" t="str">
        <x:v>H2</x:v>
      </x:c>
      <x:c r="F133" s="47" t="str">
        <x:v>Carryable weapon/tool</x:v>
      </x:c>
      <x:c r="G133" s="47" t="str">
        <x:v>Yes</x:v>
      </x:c>
      <x:c r="H133" s="47" t="str">
        <x:v>Make / assemble / qualify</x:v>
      </x:c>
      <x:c r="I133" s="47" t="str">
        <x:v>P-STRAIGHT-POLE; P-SHARP-EDGE; P-CORD</x:v>
      </x:c>
      <x:c r="J133" s="47" t="str">
        <x:v>fit / bind / balance / practice</x:v>
      </x:c>
      <x:c r="K133" s="47" t="str">
        <x:v>T-STONE-KNIFE</x:v>
      </x:c>
      <x:c r="L133" s="47" t="str">
        <x:v>safe range</x:v>
      </x:c>
      <x:c r="M133" s="47" t="str">
        <x:v>hunting / toolmaking</x:v>
      </x:c>
      <x:c r="N133" s="47" t="str">
        <x:v>strength + dexterity</x:v>
      </x:c>
      <x:c r="O133" s="51" t="n">
        <x:v>90</x:v>
      </x:c>
      <x:c r="P133" s="51" t="n">
        <x:v>0</x:v>
      </x:c>
      <x:c r="Q133" s="47" t="str">
        <x:v>range/retention</x:v>
      </x:c>
      <x:c r="R133" s="47" t="str">
        <x:v>self injury / head loss</x:v>
      </x:c>
      <x:c r="S133" s="47" t="str">
        <x:v>Weapon family (misclassified under Food)</x:v>
      </x:c>
      <x:c r="T133" s="47" t="str"/>
      <x:c r="U133" s="47" t="str">
        <x:v>Compressed family/assembly</x:v>
      </x:c>
      <x:c r="V133" s="49"/>
      <x:c r="W133" s="49"/>
    </x:row>
    <x:row r="134">
      <x:c r="A134" s="47" t="str">
        <x:v>A-GARDEN</x:v>
      </x:c>
      <x:c r="B134" s="47" t="str">
        <x:v>Garden bed</x:v>
      </x:c>
      <x:c r="C134" s="47" t="str">
        <x:v>Food</x:v>
      </x:c>
      <x:c r="D134" s="47" t="str">
        <x:v>Assembly</x:v>
      </x:c>
      <x:c r="E134" s="47" t="str">
        <x:v>H3</x:v>
      </x:c>
      <x:c r="F134" s="47" t="str">
        <x:v>Placeable/deployable assembly</x:v>
      </x:c>
      <x:c r="G134" s="47" t="str">
        <x:v>No</x:v>
      </x:c>
      <x:c r="H134" s="47" t="str">
        <x:v>Make / assemble / qualify</x:v>
      </x:c>
      <x:c r="I134" s="47" t="str">
        <x:v>T-DIG; P-SEED-LOT; P-CLEAN-WATER; S-FOOD</x:v>
      </x:c>
      <x:c r="J134" s="47" t="str">
        <x:v>site / prepare / plant / water / observe</x:v>
      </x:c>
      <x:c r="K134" s="47" t="str">
        <x:v>T-DIG</x:v>
      </x:c>
      <x:c r="L134" s="47" t="str">
        <x:v>working home</x:v>
      </x:c>
      <x:c r="M134" s="47" t="str">
        <x:v>cultivation / ecology</x:v>
      </x:c>
      <x:c r="N134" s="47" t="str">
        <x:v>moderate</x:v>
      </x:c>
      <x:c r="O134" s="51" t="n">
        <x:v>360</x:v>
      </x:c>
      <x:c r="P134" s="51" t="n">
        <x:v>10080</x:v>
      </x:c>
      <x:c r="Q134" s="47" t="str">
        <x:v>germination/yield/soil record</x:v>
      </x:c>
      <x:c r="R134" s="47" t="str">
        <x:v>pest / drought / disease</x:v>
      </x:c>
      <x:c r="S134" s="47" t="str"/>
      <x:c r="T134" s="47" t="str"/>
      <x:c r="U134" s="47" t="str">
        <x:v>Governed node; variants not separated</x:v>
      </x:c>
      <x:c r="V134" s="49"/>
      <x:c r="W134" s="49"/>
    </x:row>
    <x:row r="135">
      <x:c r="A135" s="47" t="str">
        <x:v>A-COMPOST</x:v>
      </x:c>
      <x:c r="B135" s="47" t="str">
        <x:v>Managed compost</x:v>
      </x:c>
      <x:c r="C135" s="47" t="str">
        <x:v>Food</x:v>
      </x:c>
      <x:c r="D135" s="47" t="str">
        <x:v>Assembly</x:v>
      </x:c>
      <x:c r="E135" s="47" t="str">
        <x:v>H3</x:v>
      </x:c>
      <x:c r="F135" s="47" t="str">
        <x:v>Placeable/deployable assembly</x:v>
      </x:c>
      <x:c r="G135" s="47" t="str">
        <x:v>No</x:v>
      </x:c>
      <x:c r="H135" s="47" t="str">
        <x:v>Make / assemble / qualify</x:v>
      </x:c>
      <x:c r="I135" s="47" t="str">
        <x:v>S-FOOD; P-MAT; P-CLEAN-WATER</x:v>
      </x:c>
      <x:c r="J135" s="47" t="str">
        <x:v>separate / layer / aerate / cure</x:v>
      </x:c>
      <x:c r="K135" s="47" t="str">
        <x:v>T-DIG</x:v>
      </x:c>
      <x:c r="L135" s="47" t="str">
        <x:v>garden edge</x:v>
      </x:c>
      <x:c r="M135" s="47" t="str">
        <x:v>soil / sanitation</x:v>
      </x:c>
      <x:c r="N135" s="47" t="str">
        <x:v>moderate</x:v>
      </x:c>
      <x:c r="O135" s="51" t="n">
        <x:v>120</x:v>
      </x:c>
      <x:c r="P135" s="51" t="n">
        <x:v>10080</x:v>
      </x:c>
      <x:c r="Q135" s="47" t="str">
        <x:v>maturity/odor/heat</x:v>
      </x:c>
      <x:c r="R135" s="47" t="str">
        <x:v>pest / pathogen</x:v>
      </x:c>
      <x:c r="S135" s="47" t="str"/>
      <x:c r="T135" s="47" t="str"/>
      <x:c r="U135" s="47" t="str">
        <x:v>Governed node; variants not separated</x:v>
      </x:c>
      <x:c r="V135" s="49"/>
      <x:c r="W135" s="49"/>
    </x:row>
    <x:row r="136">
      <x:c r="A136" s="47" t="str">
        <x:v>A-FOOD-STORE</x:v>
      </x:c>
      <x:c r="B136" s="47" t="str">
        <x:v>Food continuity store</x:v>
      </x:c>
      <x:c r="C136" s="47" t="str">
        <x:v>Food</x:v>
      </x:c>
      <x:c r="D136" s="47" t="str">
        <x:v>Endpoint</x:v>
      </x:c>
      <x:c r="E136" s="47" t="str">
        <x:v>H4</x:v>
      </x:c>
      <x:c r="F136" s="47" t="str">
        <x:v>Placeable system/capability</x:v>
      </x:c>
      <x:c r="G136" s="47" t="str">
        <x:v>No</x:v>
      </x:c>
      <x:c r="H136" s="47" t="str">
        <x:v>Make / assemble / qualify</x:v>
      </x:c>
      <x:c r="I136" s="47" t="str">
        <x:v>P-PRESERVED-FOOD; A-COVERED-STORE; A-GARDEN</x:v>
      </x:c>
      <x:c r="J136" s="47" t="str">
        <x:v>rotate / inspect / ration / record</x:v>
      </x:c>
      <x:c r="K136" s="47" t="str"/>
      <x:c r="L136" s="47" t="str">
        <x:v>working home</x:v>
      </x:c>
      <x:c r="M136" s="47" t="str">
        <x:v>food / storage</x:v>
      </x:c>
      <x:c r="N136" s="47" t="str">
        <x:v>low</x:v>
      </x:c>
      <x:c r="O136" s="51" t="n">
        <x:v>240</x:v>
      </x:c>
      <x:c r="P136" s="51" t="n">
        <x:v>0</x:v>
      </x:c>
      <x:c r="Q136" s="47" t="str">
        <x:v>spoilage and reserve audit</x:v>
      </x:c>
      <x:c r="R136" s="47" t="str">
        <x:v>hidden spoilage</x:v>
      </x:c>
      <x:c r="S136" s="47" t="str"/>
      <x:c r="T136" s="47" t="str"/>
      <x:c r="U136" s="47" t="str">
        <x:v>Governed node; variants not separated</x:v>
      </x:c>
      <x:c r="V136" s="49"/>
      <x:c r="W136" s="49"/>
    </x:row>
    <x:row r="137">
      <x:c r="A137" s="47" t="str">
        <x:v>A-BASKET</x:v>
      </x:c>
      <x:c r="B137" s="47" t="str">
        <x:v>Carry basket</x:v>
      </x:c>
      <x:c r="C137" s="47" t="str">
        <x:v>Logistics</x:v>
      </x:c>
      <x:c r="D137" s="47" t="str">
        <x:v>Tool</x:v>
      </x:c>
      <x:c r="E137" s="47" t="str">
        <x:v>H1</x:v>
      </x:c>
      <x:c r="F137" s="47" t="str">
        <x:v>Carryable tool/equipment</x:v>
      </x:c>
      <x:c r="G137" s="47" t="str">
        <x:v>Yes</x:v>
      </x:c>
      <x:c r="H137" s="47" t="str">
        <x:v>Make / assemble / qualify</x:v>
      </x:c>
      <x:c r="I137" s="47" t="str">
        <x:v>P-MAT; P-CORD</x:v>
      </x:c>
      <x:c r="J137" s="47" t="str">
        <x:v>weave / handle / load test</x:v>
      </x:c>
      <x:c r="K137" s="47" t="str">
        <x:v>T-STONE-KNIFE</x:v>
      </x:c>
      <x:c r="L137" s="47" t="str">
        <x:v>W-WORKMAT</x:v>
      </x:c>
      <x:c r="M137" s="47" t="str">
        <x:v>weaving / logistics</x:v>
      </x:c>
      <x:c r="N137" s="47" t="str">
        <x:v>dexterity</x:v>
      </x:c>
      <x:c r="O137" s="51" t="n">
        <x:v>120</x:v>
      </x:c>
      <x:c r="P137" s="51" t="n">
        <x:v>0</x:v>
      </x:c>
      <x:c r="Q137" s="47" t="str">
        <x:v>load/carry</x:v>
      </x:c>
      <x:c r="R137" s="47" t="str">
        <x:v>tear / imbalance</x:v>
      </x:c>
      <x:c r="S137" s="47" t="str"/>
      <x:c r="T137" s="47" t="str"/>
      <x:c r="U137" s="47" t="str">
        <x:v>Governed node; variants not separated</x:v>
      </x:c>
      <x:c r="V137" s="49"/>
      <x:c r="W137" s="49"/>
    </x:row>
    <x:row r="138">
      <x:c r="A138" s="47" t="str">
        <x:v>A-PACK</x:v>
      </x:c>
      <x:c r="B138" s="47" t="str">
        <x:v>Pack frame/harness</x:v>
      </x:c>
      <x:c r="C138" s="47" t="str">
        <x:v>Logistics</x:v>
      </x:c>
      <x:c r="D138" s="47" t="str">
        <x:v>Tool</x:v>
      </x:c>
      <x:c r="E138" s="47" t="str">
        <x:v>H3</x:v>
      </x:c>
      <x:c r="F138" s="47" t="str">
        <x:v>Carryable tool/equipment</x:v>
      </x:c>
      <x:c r="G138" s="47" t="str">
        <x:v>Yes</x:v>
      </x:c>
      <x:c r="H138" s="47" t="str">
        <x:v>Make / assemble / qualify</x:v>
      </x:c>
      <x:c r="I138" s="47" t="str">
        <x:v>P-STRAIGHT-POLE; P-MAT; P-CORD</x:v>
      </x:c>
      <x:c r="J138" s="47" t="str">
        <x:v>frame / pad / adjust / route test</x:v>
      </x:c>
      <x:c r="K138" s="47" t="str">
        <x:v>T-MEASURE</x:v>
      </x:c>
      <x:c r="L138" s="47" t="str">
        <x:v>W-BENCH</x:v>
      </x:c>
      <x:c r="M138" s="47" t="str">
        <x:v>construction / logistics</x:v>
      </x:c>
      <x:c r="N138" s="47" t="str">
        <x:v>dexterity</x:v>
      </x:c>
      <x:c r="O138" s="51" t="n">
        <x:v>240</x:v>
      </x:c>
      <x:c r="P138" s="51" t="n">
        <x:v>0</x:v>
      </x:c>
      <x:c r="Q138" s="47" t="str">
        <x:v>fit/load/route</x:v>
      </x:c>
      <x:c r="R138" s="47" t="str">
        <x:v>hotspot / sway</x:v>
      </x:c>
      <x:c r="S138" s="47" t="str"/>
      <x:c r="T138" s="47" t="str"/>
      <x:c r="U138" s="47" t="str">
        <x:v>Compressed family/assembly</x:v>
      </x:c>
      <x:c r="V138" s="49"/>
      <x:c r="W138" s="49"/>
    </x:row>
    <x:row r="139">
      <x:c r="A139" s="47" t="str">
        <x:v>A-SLED</x:v>
      </x:c>
      <x:c r="B139" s="47" t="str">
        <x:v>Drag sled/travois</x:v>
      </x:c>
      <x:c r="C139" s="47" t="str">
        <x:v>Logistics</x:v>
      </x:c>
      <x:c r="D139" s="47" t="str">
        <x:v>Assembly</x:v>
      </x:c>
      <x:c r="E139" s="47" t="str">
        <x:v>H2</x:v>
      </x:c>
      <x:c r="F139" s="47" t="str">
        <x:v>Deployable/carryable assembly</x:v>
      </x:c>
      <x:c r="G139" s="47" t="str">
        <x:v>Mixed</x:v>
      </x:c>
      <x:c r="H139" s="47" t="str">
        <x:v>Make / assemble / qualify</x:v>
      </x:c>
      <x:c r="I139" s="47" t="str">
        <x:v>P-STRAIGHT-POLE; P-CORD; P-MAT</x:v>
      </x:c>
      <x:c r="J139" s="47" t="str">
        <x:v>frame / runner / tow / brake test</x:v>
      </x:c>
      <x:c r="K139" s="47" t="str">
        <x:v>T-AXE</x:v>
      </x:c>
      <x:c r="L139" s="47" t="str">
        <x:v>W-BENCH</x:v>
      </x:c>
      <x:c r="M139" s="47" t="str">
        <x:v>construction / logistics</x:v>
      </x:c>
      <x:c r="N139" s="47" t="str">
        <x:v>strength</x:v>
      </x:c>
      <x:c r="O139" s="51" t="n">
        <x:v>180</x:v>
      </x:c>
      <x:c r="P139" s="51" t="n">
        <x:v>0</x:v>
      </x:c>
      <x:c r="Q139" s="47" t="str">
        <x:v>loaded route/stop</x:v>
      </x:c>
      <x:c r="R139" s="47" t="str">
        <x:v>runaway / break</x:v>
      </x:c>
      <x:c r="S139" s="47" t="str"/>
      <x:c r="T139" s="47" t="str"/>
      <x:c r="U139" s="47" t="str">
        <x:v>Compressed family/assembly</x:v>
      </x:c>
      <x:c r="V139" s="49"/>
      <x:c r="W139" s="49"/>
    </x:row>
    <x:row r="140">
      <x:c r="A140" s="47" t="str">
        <x:v>A-CART</x:v>
      </x:c>
      <x:c r="B140" s="47" t="str">
        <x:v>Handcart</x:v>
      </x:c>
      <x:c r="C140" s="47" t="str">
        <x:v>Logistics</x:v>
      </x:c>
      <x:c r="D140" s="47" t="str">
        <x:v>Assembly</x:v>
      </x:c>
      <x:c r="E140" s="47" t="str">
        <x:v>H4</x:v>
      </x:c>
      <x:c r="F140" s="47" t="str">
        <x:v>Deployable/carryable assembly</x:v>
      </x:c>
      <x:c r="G140" s="47" t="str">
        <x:v>Mixed</x:v>
      </x:c>
      <x:c r="H140" s="47" t="str">
        <x:v>Make / assemble / qualify</x:v>
      </x:c>
      <x:c r="I140" s="47" t="str">
        <x:v>P-PLANK; S-BEARING; S-FASTENER; T-DRILL</x:v>
      </x:c>
      <x:c r="J140" s="47" t="str">
        <x:v>frame / axle / wheel / brake / test</x:v>
      </x:c>
      <x:c r="K140" s="47" t="str">
        <x:v>T-MEASURE</x:v>
      </x:c>
      <x:c r="L140" s="47" t="str">
        <x:v>W-BENCH</x:v>
      </x:c>
      <x:c r="M140" s="47" t="str">
        <x:v>mechanics / logistics</x:v>
      </x:c>
      <x:c r="N140" s="47" t="str">
        <x:v>strength + dexterity</x:v>
      </x:c>
      <x:c r="O140" s="51" t="n">
        <x:v>720</x:v>
      </x:c>
      <x:c r="P140" s="51" t="n">
        <x:v>0</x:v>
      </x:c>
      <x:c r="Q140" s="47" t="str">
        <x:v>load/turn/slope/stop</x:v>
      </x:c>
      <x:c r="R140" s="47" t="str">
        <x:v>tip / axle fail</x:v>
      </x:c>
      <x:c r="S140" s="47" t="str"/>
      <x:c r="T140" s="47" t="str"/>
      <x:c r="U140" s="47" t="str">
        <x:v>Governed node; variants not separated</x:v>
      </x:c>
      <x:c r="V140" s="49"/>
      <x:c r="W140" s="49"/>
    </x:row>
    <x:row r="141">
      <x:c r="A141" s="47" t="str">
        <x:v>A-TRIPOD</x:v>
      </x:c>
      <x:c r="B141" s="47" t="str">
        <x:v>Tripod/A-frame lift</x:v>
      </x:c>
      <x:c r="C141" s="47" t="str">
        <x:v>Logistics</x:v>
      </x:c>
      <x:c r="D141" s="47" t="str">
        <x:v>Assembly</x:v>
      </x:c>
      <x:c r="E141" s="47" t="str">
        <x:v>H3</x:v>
      </x:c>
      <x:c r="F141" s="47" t="str">
        <x:v>Deployable/carryable assembly</x:v>
      </x:c>
      <x:c r="G141" s="47" t="str">
        <x:v>Mixed</x:v>
      </x:c>
      <x:c r="H141" s="47" t="str">
        <x:v>Make / assemble / qualify</x:v>
      </x:c>
      <x:c r="I141" s="47" t="str">
        <x:v>P-STRAIGHT-POLE; P-ROPE; T-MEASURE</x:v>
      </x:c>
      <x:c r="J141" s="47" t="str">
        <x:v>anchor / lash / erect / proof</x:v>
      </x:c>
      <x:c r="K141" s="47" t="str">
        <x:v>T-MEASURE</x:v>
      </x:c>
      <x:c r="L141" s="47" t="str">
        <x:v>lift yard</x:v>
      </x:c>
      <x:c r="M141" s="47" t="str">
        <x:v>rigging</x:v>
      </x:c>
      <x:c r="N141" s="47" t="str">
        <x:v>team + strength</x:v>
      </x:c>
      <x:c r="O141" s="51" t="n">
        <x:v>240</x:v>
      </x:c>
      <x:c r="P141" s="51" t="n">
        <x:v>0</x:v>
      </x:c>
      <x:c r="Q141" s="47" t="str">
        <x:v>proof load and exclusion</x:v>
      </x:c>
      <x:c r="R141" s="47" t="str">
        <x:v>collapse / crush</x:v>
      </x:c>
      <x:c r="S141" s="47" t="str"/>
      <x:c r="T141" s="47" t="str"/>
      <x:c r="U141" s="47" t="str">
        <x:v>Compressed family/assembly</x:v>
      </x:c>
      <x:c r="V141" s="49"/>
      <x:c r="W141" s="49"/>
    </x:row>
    <x:row r="142">
      <x:c r="A142" s="47" t="str">
        <x:v>A-PULLEY</x:v>
      </x:c>
      <x:c r="B142" s="47" t="str">
        <x:v>Pulley/tackle</x:v>
      </x:c>
      <x:c r="C142" s="47" t="str">
        <x:v>Logistics</x:v>
      </x:c>
      <x:c r="D142" s="47" t="str">
        <x:v>Assembly</x:v>
      </x:c>
      <x:c r="E142" s="47" t="str">
        <x:v>H4</x:v>
      </x:c>
      <x:c r="F142" s="47" t="str">
        <x:v>Deployable/carryable assembly</x:v>
      </x:c>
      <x:c r="G142" s="47" t="str">
        <x:v>Mixed</x:v>
      </x:c>
      <x:c r="H142" s="47" t="str">
        <x:v>Recover / repair / qualify</x:v>
      </x:c>
      <x:c r="I142" s="47" t="str">
        <x:v>S-BEARING; P-ROPE; A-TRIPOD</x:v>
      </x:c>
      <x:c r="J142" s="47" t="str">
        <x:v>recover / reeve / anchor / brake</x:v>
      </x:c>
      <x:c r="K142" s="47" t="str">
        <x:v>T-PRY</x:v>
      </x:c>
      <x:c r="L142" s="47" t="str">
        <x:v>lift yard</x:v>
      </x:c>
      <x:c r="M142" s="47" t="str">
        <x:v>rigging / mechanics</x:v>
      </x:c>
      <x:c r="N142" s="47" t="str">
        <x:v>strength + dexterity</x:v>
      </x:c>
      <x:c r="O142" s="51" t="n">
        <x:v>240</x:v>
      </x:c>
      <x:c r="P142" s="51" t="n">
        <x:v>0</x:v>
      </x:c>
      <x:c r="Q142" s="47" t="str">
        <x:v>controlled raise/lower</x:v>
      </x:c>
      <x:c r="R142" s="47" t="str">
        <x:v>rope/sheave failure</x:v>
      </x:c>
      <x:c r="S142" s="47" t="str"/>
      <x:c r="T142" s="47" t="str"/>
      <x:c r="U142" s="47" t="str">
        <x:v>Compressed family/assembly</x:v>
      </x:c>
      <x:c r="V142" s="49"/>
      <x:c r="W142" s="49"/>
    </x:row>
    <x:row r="143">
      <x:c r="A143" s="47" t="str">
        <x:v>A-WINCH</x:v>
      </x:c>
      <x:c r="B143" s="47" t="str">
        <x:v>Braked winch/capstan</x:v>
      </x:c>
      <x:c r="C143" s="47" t="str">
        <x:v>Logistics</x:v>
      </x:c>
      <x:c r="D143" s="47" t="str">
        <x:v>Assembly</x:v>
      </x:c>
      <x:c r="E143" s="47" t="str">
        <x:v>H5</x:v>
      </x:c>
      <x:c r="F143" s="47" t="str">
        <x:v>Deployable/carryable assembly</x:v>
      </x:c>
      <x:c r="G143" s="47" t="str">
        <x:v>Mixed</x:v>
      </x:c>
      <x:c r="H143" s="47" t="str">
        <x:v>Make / assemble / qualify</x:v>
      </x:c>
      <x:c r="I143" s="47" t="str">
        <x:v>S-BEARING; P-METAL-STOCK; P-ROPE; W-BENCH</x:v>
      </x:c>
      <x:c r="J143" s="47" t="str">
        <x:v>frame / drum / gear / brake / test</x:v>
      </x:c>
      <x:c r="K143" s="47" t="str">
        <x:v>T-HAMMER</x:v>
      </x:c>
      <x:c r="L143" s="47" t="str">
        <x:v>lift yard</x:v>
      </x:c>
      <x:c r="M143" s="47" t="str">
        <x:v>mechanics / rigging</x:v>
      </x:c>
      <x:c r="N143" s="47" t="str">
        <x:v>strength + dexterity</x:v>
      </x:c>
      <x:c r="O143" s="51" t="n">
        <x:v>900</x:v>
      </x:c>
      <x:c r="P143" s="51" t="n">
        <x:v>0</x:v>
      </x:c>
      <x:c r="Q143" s="47" t="str">
        <x:v>proof load/brake</x:v>
      </x:c>
      <x:c r="R143" s="47" t="str">
        <x:v>runaway / crush</x:v>
      </x:c>
      <x:c r="S143" s="47" t="str"/>
      <x:c r="T143" s="47" t="str"/>
      <x:c r="U143" s="47" t="str">
        <x:v>Compressed family/assembly</x:v>
      </x:c>
      <x:c r="V143" s="49"/>
      <x:c r="W143" s="49"/>
    </x:row>
    <x:row r="144">
      <x:c r="A144" s="47" t="str">
        <x:v>A-DOCK</x:v>
      </x:c>
      <x:c r="B144" s="47" t="str">
        <x:v>Dock/landing</x:v>
      </x:c>
      <x:c r="C144" s="47" t="str">
        <x:v>Maritime</x:v>
      </x:c>
      <x:c r="D144" s="47" t="str">
        <x:v>Assembly</x:v>
      </x:c>
      <x:c r="E144" s="47" t="str">
        <x:v>H4</x:v>
      </x:c>
      <x:c r="F144" s="47" t="str">
        <x:v>Deployable/carryable assembly</x:v>
      </x:c>
      <x:c r="G144" s="47" t="str">
        <x:v>Mixed</x:v>
      </x:c>
      <x:c r="H144" s="47" t="str">
        <x:v>Make / assemble / qualify</x:v>
      </x:c>
      <x:c r="I144" s="47" t="str">
        <x:v>P-STRAIGHT-POLE; P-PLANK; P-ROPE; T-MEASURE</x:v>
      </x:c>
      <x:c r="J144" s="47" t="str">
        <x:v>site / anchor / deck / ladder / test</x:v>
      </x:c>
      <x:c r="K144" s="47" t="str">
        <x:v>T-AXE</x:v>
      </x:c>
      <x:c r="L144" s="47" t="str">
        <x:v>shore</x:v>
      </x:c>
      <x:c r="M144" s="47" t="str">
        <x:v>construction / maritime</x:v>
      </x:c>
      <x:c r="N144" s="47" t="str">
        <x:v>high</x:v>
      </x:c>
      <x:c r="O144" s="51" t="n">
        <x:v>1200</x:v>
      </x:c>
      <x:c r="P144" s="51" t="n">
        <x:v>0</x:v>
      </x:c>
      <x:c r="Q144" s="47" t="str">
        <x:v>tide/load/reboard</x:v>
      </x:c>
      <x:c r="R144" s="47" t="str">
        <x:v>collapse / surge</x:v>
      </x:c>
      <x:c r="S144" s="47" t="str"/>
      <x:c r="T144" s="47" t="str"/>
      <x:c r="U144" s="47" t="str">
        <x:v>Compressed family/assembly</x:v>
      </x:c>
      <x:c r="V144" s="49"/>
      <x:c r="W144" s="49"/>
    </x:row>
    <x:row r="145">
      <x:c r="A145" s="47" t="str">
        <x:v>A-FLOAT</x:v>
      </x:c>
      <x:c r="B145" s="47" t="str">
        <x:v>Flotation aid</x:v>
      </x:c>
      <x:c r="C145" s="47" t="str">
        <x:v>Maritime</x:v>
      </x:c>
      <x:c r="D145" s="47" t="str">
        <x:v>Tool</x:v>
      </x:c>
      <x:c r="E145" s="47" t="str">
        <x:v>H1</x:v>
      </x:c>
      <x:c r="F145" s="47" t="str">
        <x:v>Carryable tool/equipment</x:v>
      </x:c>
      <x:c r="G145" s="47" t="str">
        <x:v>Yes</x:v>
      </x:c>
      <x:c r="H145" s="47" t="str">
        <x:v>Make / assemble / qualify</x:v>
      </x:c>
      <x:c r="I145" s="47" t="str">
        <x:v>S-TIMBER; P-CORD</x:v>
      </x:c>
      <x:c r="J145" s="47" t="str">
        <x:v>bind / grip / release / water test</x:v>
      </x:c>
      <x:c r="K145" s="47" t="str"/>
      <x:c r="L145" s="47" t="str">
        <x:v>shore</x:v>
      </x:c>
      <x:c r="M145" s="47" t="str">
        <x:v>water safety</x:v>
      </x:c>
      <x:c r="N145" s="47" t="str">
        <x:v>moderate</x:v>
      </x:c>
      <x:c r="O145" s="51" t="n">
        <x:v>45</x:v>
      </x:c>
      <x:c r="P145" s="51" t="n">
        <x:v>0</x:v>
      </x:c>
      <x:c r="Q145" s="47" t="str">
        <x:v>person-support/release</x:v>
      </x:c>
      <x:c r="R145" s="47" t="str">
        <x:v>entangle / slip</x:v>
      </x:c>
      <x:c r="S145" s="47" t="str"/>
      <x:c r="T145" s="47" t="str"/>
      <x:c r="U145" s="47" t="str">
        <x:v>Governed node; variants not separated</x:v>
      </x:c>
      <x:c r="V145" s="49"/>
      <x:c r="W145" s="49"/>
    </x:row>
    <x:row r="146">
      <x:c r="A146" s="47" t="str">
        <x:v>A-RAFT</x:v>
      </x:c>
      <x:c r="B146" s="47" t="str">
        <x:v>Surface raft</x:v>
      </x:c>
      <x:c r="C146" s="47" t="str">
        <x:v>Maritime</x:v>
      </x:c>
      <x:c r="D146" s="47" t="str">
        <x:v>Assembly</x:v>
      </x:c>
      <x:c r="E146" s="47" t="str">
        <x:v>H3</x:v>
      </x:c>
      <x:c r="F146" s="47" t="str">
        <x:v>Deployable/carryable assembly</x:v>
      </x:c>
      <x:c r="G146" s="47" t="str">
        <x:v>Mixed</x:v>
      </x:c>
      <x:c r="H146" s="47" t="str">
        <x:v>Make / assemble / qualify</x:v>
      </x:c>
      <x:c r="I146" s="47" t="str">
        <x:v>P-STRAIGHT-POLE; P-ROPE; P-MAT; A-FLOAT</x:v>
      </x:c>
      <x:c r="J146" s="47" t="str">
        <x:v>bind / deck / trim / paddle / test</x:v>
      </x:c>
      <x:c r="K146" s="47" t="str">
        <x:v>T-AXE</x:v>
      </x:c>
      <x:c r="L146" s="47" t="str">
        <x:v>shore</x:v>
      </x:c>
      <x:c r="M146" s="47" t="str">
        <x:v>boat / rigging</x:v>
      </x:c>
      <x:c r="N146" s="47" t="str">
        <x:v>high</x:v>
      </x:c>
      <x:c r="O146" s="51" t="n">
        <x:v>600</x:v>
      </x:c>
      <x:c r="P146" s="51" t="n">
        <x:v>0</x:v>
      </x:c>
      <x:c r="Q146" s="47" t="str">
        <x:v>freeboard/steer/reboard/capsize</x:v>
      </x:c>
      <x:c r="R146" s="47" t="str">
        <x:v>break / drift</x:v>
      </x:c>
      <x:c r="S146" s="47" t="str"/>
      <x:c r="T146" s="47" t="str"/>
      <x:c r="U146" s="47" t="str">
        <x:v>Governed node; variants not separated</x:v>
      </x:c>
      <x:c r="V146" s="49"/>
      <x:c r="W146" s="49"/>
    </x:row>
    <x:row r="147">
      <x:c r="A147" s="47" t="str">
        <x:v>A-BOAT-B1</x:v>
      </x:c>
      <x:c r="B147" s="47" t="str">
        <x:v>Secured fishing-boat wreck</x:v>
      </x:c>
      <x:c r="C147" s="47" t="str">
        <x:v>Maritime</x:v>
      </x:c>
      <x:c r="D147" s="47" t="str">
        <x:v>Project</x:v>
      </x:c>
      <x:c r="E147" s="47" t="str">
        <x:v>H2</x:v>
      </x:c>
      <x:c r="F147" s="47" t="str">
        <x:v>Persistent world project</x:v>
      </x:c>
      <x:c r="G147" s="47" t="str">
        <x:v>No</x:v>
      </x:c>
      <x:c r="H147" s="47" t="str">
        <x:v>Make / assemble / qualify</x:v>
      </x:c>
      <x:c r="I147" s="47" t="str">
        <x:v>S-ENGINE; S-TIMBER; P-ROPE</x:v>
      </x:c>
      <x:c r="J147" s="47" t="str">
        <x:v>secure / survey / drain</x:v>
      </x:c>
      <x:c r="K147" s="47" t="str">
        <x:v>T-PRY</x:v>
      </x:c>
      <x:c r="L147" s="47" t="str">
        <x:v>shore</x:v>
      </x:c>
      <x:c r="M147" s="47" t="str">
        <x:v>salvage / boat</x:v>
      </x:c>
      <x:c r="N147" s="47" t="str">
        <x:v>high</x:v>
      </x:c>
      <x:c r="O147" s="51" t="n">
        <x:v>480</x:v>
      </x:c>
      <x:c r="P147" s="51" t="n">
        <x:v>0</x:v>
      </x:c>
      <x:c r="Q147" s="47" t="str">
        <x:v>stable access</x:v>
      </x:c>
      <x:c r="R147" s="47" t="str">
        <x:v>shift / flood</x:v>
      </x:c>
      <x:c r="S147" s="47" t="str"/>
      <x:c r="T147" s="47" t="str"/>
      <x:c r="U147" s="47" t="str">
        <x:v>Governed node; variants not separated</x:v>
      </x:c>
      <x:c r="V147" s="49"/>
      <x:c r="W147" s="49"/>
    </x:row>
    <x:row r="148">
      <x:c r="A148" s="47" t="str">
        <x:v>A-BOAT-B2</x:v>
      </x:c>
      <x:c r="B148" s="47" t="str">
        <x:v>Stabilized boat shell</x:v>
      </x:c>
      <x:c r="C148" s="47" t="str">
        <x:v>Maritime</x:v>
      </x:c>
      <x:c r="D148" s="47" t="str">
        <x:v>Project</x:v>
      </x:c>
      <x:c r="E148" s="47" t="str">
        <x:v>H3</x:v>
      </x:c>
      <x:c r="F148" s="47" t="str">
        <x:v>Persistent world project</x:v>
      </x:c>
      <x:c r="G148" s="47" t="str">
        <x:v>No</x:v>
      </x:c>
      <x:c r="H148" s="47" t="str">
        <x:v>Make / assemble / qualify</x:v>
      </x:c>
      <x:c r="I148" s="47" t="str">
        <x:v>A-BOAT-B1; A-TRIPOD; P-PLANK</x:v>
      </x:c>
      <x:c r="J148" s="47" t="str">
        <x:v>brace / clean / support / map leaks</x:v>
      </x:c>
      <x:c r="K148" s="47" t="str">
        <x:v>T-MEASURE</x:v>
      </x:c>
      <x:c r="L148" s="47" t="str">
        <x:v>W-BOATYARD</x:v>
      </x:c>
      <x:c r="M148" s="47" t="str">
        <x:v>boat / construction</x:v>
      </x:c>
      <x:c r="N148" s="47" t="str">
        <x:v>high</x:v>
      </x:c>
      <x:c r="O148" s="51" t="n">
        <x:v>1200</x:v>
      </x:c>
      <x:c r="P148" s="51" t="n">
        <x:v>0</x:v>
      </x:c>
      <x:c r="Q148" s="47" t="str">
        <x:v>support/leak map</x:v>
      </x:c>
      <x:c r="R148" s="47" t="str">
        <x:v>collapse / rot</x:v>
      </x:c>
      <x:c r="S148" s="47" t="str"/>
      <x:c r="T148" s="47" t="str"/>
      <x:c r="U148" s="47" t="str">
        <x:v>Governed node; variants not separated</x:v>
      </x:c>
      <x:c r="V148" s="49"/>
      <x:c r="W148" s="49"/>
    </x:row>
    <x:row r="149">
      <x:c r="A149" s="47" t="str">
        <x:v>A-BOAT-B3</x:v>
      </x:c>
      <x:c r="B149" s="47" t="str">
        <x:v>Floating/paddled workboat</x:v>
      </x:c>
      <x:c r="C149" s="47" t="str">
        <x:v>Maritime</x:v>
      </x:c>
      <x:c r="D149" s="47" t="str">
        <x:v>Endpoint</x:v>
      </x:c>
      <x:c r="E149" s="47" t="str">
        <x:v>H4</x:v>
      </x:c>
      <x:c r="F149" s="47" t="str">
        <x:v>Vehicle/maritime system</x:v>
      </x:c>
      <x:c r="G149" s="47" t="str">
        <x:v>No</x:v>
      </x:c>
      <x:c r="H149" s="47" t="str">
        <x:v>Make / assemble / qualify</x:v>
      </x:c>
      <x:c r="I149" s="47" t="str">
        <x:v>A-BOAT-B2; P-PITCH; P-PLANK; A-DOCK</x:v>
      </x:c>
      <x:c r="J149" s="47" t="str">
        <x:v>patch / seal / launch / load / paddle</x:v>
      </x:c>
      <x:c r="K149" s="47" t="str">
        <x:v>T-ADZE</x:v>
      </x:c>
      <x:c r="L149" s="47" t="str">
        <x:v>W-BOATYARD</x:v>
      </x:c>
      <x:c r="M149" s="47" t="str">
        <x:v>boat / sealing</x:v>
      </x:c>
      <x:c r="N149" s="47" t="str">
        <x:v>high</x:v>
      </x:c>
      <x:c r="O149" s="51" t="n">
        <x:v>2400</x:v>
      </x:c>
      <x:c r="P149" s="51" t="n">
        <x:v>720</x:v>
      </x:c>
      <x:c r="Q149" s="47" t="str">
        <x:v>loaded freeboard/steer/reboard</x:v>
      </x:c>
      <x:c r="R149" s="47" t="str">
        <x:v>leak / capsize</x:v>
      </x:c>
      <x:c r="S149" s="47" t="str"/>
      <x:c r="T149" s="47" t="str"/>
      <x:c r="U149" s="47" t="str">
        <x:v>Compressed family/assembly</x:v>
      </x:c>
      <x:c r="V149" s="49"/>
      <x:c r="W149" s="49"/>
    </x:row>
    <x:row r="150">
      <x:c r="A150" s="47" t="str">
        <x:v>A-BOAT-SAIL</x:v>
      </x:c>
      <x:c r="B150" s="47" t="str">
        <x:v>Sail-assisted crossing craft</x:v>
      </x:c>
      <x:c r="C150" s="47" t="str">
        <x:v>Maritime</x:v>
      </x:c>
      <x:c r="D150" s="47" t="str">
        <x:v>Endpoint</x:v>
      </x:c>
      <x:c r="E150" s="47" t="str">
        <x:v>H5</x:v>
      </x:c>
      <x:c r="F150" s="47" t="str">
        <x:v>Vehicle/maritime system</x:v>
      </x:c>
      <x:c r="G150" s="47" t="str">
        <x:v>No</x:v>
      </x:c>
      <x:c r="H150" s="47" t="str">
        <x:v>Make / assemble / qualify</x:v>
      </x:c>
      <x:c r="I150" s="47" t="str">
        <x:v>A-BOAT-B3; S-CANVAS; P-ROPE; P-STRAIGHT-POLE</x:v>
      </x:c>
      <x:c r="J150" s="47" t="str">
        <x:v>mast / rig / sail / reef / steer</x:v>
      </x:c>
      <x:c r="K150" s="47" t="str">
        <x:v>T-MEASURE</x:v>
      </x:c>
      <x:c r="L150" s="47" t="str">
        <x:v>W-BOATYARD</x:v>
      </x:c>
      <x:c r="M150" s="47" t="str">
        <x:v>sailing / rigging</x:v>
      </x:c>
      <x:c r="N150" s="47" t="str">
        <x:v>high</x:v>
      </x:c>
      <x:c r="O150" s="51" t="n">
        <x:v>1800</x:v>
      </x:c>
      <x:c r="P150" s="51" t="n">
        <x:v>0</x:v>
      </x:c>
      <x:c r="Q150" s="47" t="str">
        <x:v>sheltered sea-state/abort</x:v>
      </x:c>
      <x:c r="R150" s="47" t="str">
        <x:v>rig fail / capsize</x:v>
      </x:c>
      <x:c r="S150" s="47" t="str"/>
      <x:c r="T150" s="47" t="str"/>
      <x:c r="U150" s="47" t="str">
        <x:v>Governed node; variants not separated</x:v>
      </x:c>
      <x:c r="V150" s="49"/>
      <x:c r="W150" s="49"/>
    </x:row>
    <x:row r="151">
      <x:c r="A151" s="47" t="str">
        <x:v>A-BOAT-POWER</x:v>
      </x:c>
      <x:c r="B151" s="47" t="str">
        <x:v>Powered expedition boat</x:v>
      </x:c>
      <x:c r="C151" s="47" t="str">
        <x:v>Maritime</x:v>
      </x:c>
      <x:c r="D151" s="47" t="str">
        <x:v>Endpoint</x:v>
      </x:c>
      <x:c r="E151" s="47" t="str">
        <x:v>H5</x:v>
      </x:c>
      <x:c r="F151" s="47" t="str">
        <x:v>Vehicle/maritime system</x:v>
      </x:c>
      <x:c r="G151" s="47" t="str">
        <x:v>No</x:v>
      </x:c>
      <x:c r="H151" s="47" t="str">
        <x:v>Make / assemble / qualify</x:v>
      </x:c>
      <x:c r="I151" s="47" t="str">
        <x:v>A-BOAT-B3; S-ENGINE; A-WINCH; A-PIPE; S-BATTERY</x:v>
      </x:c>
      <x:c r="J151" s="47" t="str">
        <x:v>mount / fuel / cool / wire / control / trial</x:v>
      </x:c>
      <x:c r="K151" s="47" t="str">
        <x:v>T-METER</x:v>
      </x:c>
      <x:c r="L151" s="47" t="str">
        <x:v>W-BOATYARD</x:v>
      </x:c>
      <x:c r="M151" s="47" t="str">
        <x:v>engine / boat / electrical</x:v>
      </x:c>
      <x:c r="N151" s="47" t="str">
        <x:v>high</x:v>
      </x:c>
      <x:c r="O151" s="51" t="n">
        <x:v>4800</x:v>
      </x:c>
      <x:c r="P151" s="51" t="n">
        <x:v>0</x:v>
      </x:c>
      <x:c r="Q151" s="47" t="str">
        <x:v>safe start/stop/cooling/sea trial</x:v>
      </x:c>
      <x:c r="R151" s="47" t="str">
        <x:v>fire / seize / propulsion loss</x:v>
      </x:c>
      <x:c r="S151" s="47" t="str"/>
      <x:c r="T151" s="47" t="str"/>
      <x:c r="U151" s="47" t="str">
        <x:v>Governed node; variants not separated</x:v>
      </x:c>
      <x:c r="V151" s="49"/>
      <x:c r="W151" s="49"/>
    </x:row>
    <x:row r="152">
      <x:c r="A152" s="47" t="str">
        <x:v>A-DIVE</x:v>
      </x:c>
      <x:c r="B152" s="47" t="str">
        <x:v>Shore-dive station</x:v>
      </x:c>
      <x:c r="C152" s="47" t="str">
        <x:v>Maritime</x:v>
      </x:c>
      <x:c r="D152" s="47" t="str">
        <x:v>Assembly</x:v>
      </x:c>
      <x:c r="E152" s="47" t="str">
        <x:v>H5</x:v>
      </x:c>
      <x:c r="F152" s="47" t="str">
        <x:v>Deployable/carryable assembly</x:v>
      </x:c>
      <x:c r="G152" s="47" t="str">
        <x:v>Mixed</x:v>
      </x:c>
      <x:c r="H152" s="47" t="str">
        <x:v>Recover / repair / qualify</x:v>
      </x:c>
      <x:c r="I152" s="47" t="str">
        <x:v>A-BOAT-B3; P-ROPE; S-RUBBER; A-STRETCHER; A-LAMP</x:v>
      </x:c>
      <x:c r="J152" s="47" t="str">
        <x:v>line / mark / protect / abort / recover</x:v>
      </x:c>
      <x:c r="K152" s="47" t="str">
        <x:v>T-STONE-KNIFE</x:v>
      </x:c>
      <x:c r="L152" s="47" t="str">
        <x:v>shore</x:v>
      </x:c>
      <x:c r="M152" s="47" t="str">
        <x:v>diving / medicine / rigging</x:v>
      </x:c>
      <x:c r="N152" s="47" t="str">
        <x:v>high</x:v>
      </x:c>
      <x:c r="O152" s="51" t="n">
        <x:v>1200</x:v>
      </x:c>
      <x:c r="P152" s="51" t="n">
        <x:v>0</x:v>
      </x:c>
      <x:c r="Q152" s="47" t="str">
        <x:v>lost-line/entangle/reboard drill</x:v>
      </x:c>
      <x:c r="R152" s="47" t="str">
        <x:v>drowning / contamination</x:v>
      </x:c>
      <x:c r="S152" s="47" t="str"/>
      <x:c r="T152" s="47" t="str"/>
      <x:c r="U152" s="47" t="str">
        <x:v>Compressed family/assembly</x:v>
      </x:c>
      <x:c r="V152" s="49"/>
      <x:c r="W152" s="49"/>
    </x:row>
    <x:row r="153">
      <x:c r="A153" s="47" t="str">
        <x:v>A-SUB-LIFT</x:v>
      </x:c>
      <x:c r="B153" s="47" t="str">
        <x:v>Submerged lift system</x:v>
      </x:c>
      <x:c r="C153" s="47" t="str">
        <x:v>Maritime</x:v>
      </x:c>
      <x:c r="D153" s="47" t="str">
        <x:v>Assembly</x:v>
      </x:c>
      <x:c r="E153" s="47" t="str">
        <x:v>H5</x:v>
      </x:c>
      <x:c r="F153" s="47" t="str">
        <x:v>Deployable/carryable assembly</x:v>
      </x:c>
      <x:c r="G153" s="47" t="str">
        <x:v>Mixed</x:v>
      </x:c>
      <x:c r="H153" s="47" t="str">
        <x:v>Recover / repair / qualify</x:v>
      </x:c>
      <x:c r="I153" s="47" t="str">
        <x:v>A-DIVE; A-PULLEY; S-POLYMER; P-ROPE</x:v>
      </x:c>
      <x:c r="J153" s="47" t="str">
        <x:v>attach / inflate/float / control / recover</x:v>
      </x:c>
      <x:c r="K153" s="47" t="str">
        <x:v>T-MEASURE</x:v>
      </x:c>
      <x:c r="L153" s="47" t="str">
        <x:v>shore</x:v>
      </x:c>
      <x:c r="M153" s="47" t="str">
        <x:v>diving / rigging</x:v>
      </x:c>
      <x:c r="N153" s="47" t="str">
        <x:v>high</x:v>
      </x:c>
      <x:c r="O153" s="51" t="n">
        <x:v>900</x:v>
      </x:c>
      <x:c r="P153" s="51" t="n">
        <x:v>0</x:v>
      </x:c>
      <x:c r="Q153" s="47" t="str">
        <x:v>test load/controlled ascent</x:v>
      </x:c>
      <x:c r="R153" s="47" t="str">
        <x:v>runaway / rupture</x:v>
      </x:c>
      <x:c r="S153" s="47" t="str"/>
      <x:c r="T153" s="47" t="str"/>
      <x:c r="U153" s="47" t="str">
        <x:v>Compressed family/assembly</x:v>
      </x:c>
      <x:c r="V153" s="49"/>
      <x:c r="W153" s="49"/>
    </x:row>
    <x:row r="154">
      <x:c r="A154" s="47" t="str">
        <x:v>A-GENERATOR</x:v>
      </x:c>
      <x:c r="B154" s="47" t="str">
        <x:v>Small generator adaptation</x:v>
      </x:c>
      <x:c r="C154" s="47" t="str">
        <x:v>Power</x:v>
      </x:c>
      <x:c r="D154" s="47" t="str">
        <x:v>Assembly</x:v>
      </x:c>
      <x:c r="E154" s="47" t="str">
        <x:v>H5</x:v>
      </x:c>
      <x:c r="F154" s="47" t="str">
        <x:v>Placeable/deployable assembly</x:v>
      </x:c>
      <x:c r="G154" s="47" t="str">
        <x:v>No</x:v>
      </x:c>
      <x:c r="H154" s="47" t="str">
        <x:v>Make / assemble / qualify</x:v>
      </x:c>
      <x:c r="I154" s="47" t="str">
        <x:v>S-BEARING; S-WIRE; P-CONDUCTOR; T-METER</x:v>
      </x:c>
      <x:c r="J154" s="47" t="str">
        <x:v>mount / drive / rectify / protect / test</x:v>
      </x:c>
      <x:c r="K154" s="47" t="str">
        <x:v>T-METER</x:v>
      </x:c>
      <x:c r="L154" s="47" t="str">
        <x:v>W-ELECTRICAL</x:v>
      </x:c>
      <x:c r="M154" s="47" t="str">
        <x:v>mechanics / electrical</x:v>
      </x:c>
      <x:c r="N154" s="47" t="str">
        <x:v>moderate</x:v>
      </x:c>
      <x:c r="O154" s="51" t="n">
        <x:v>1200</x:v>
      </x:c>
      <x:c r="P154" s="51" t="n">
        <x:v>0</x:v>
      </x:c>
      <x:c r="Q154" s="47" t="str">
        <x:v>output/load/heat</x:v>
      </x:c>
      <x:c r="R154" s="47" t="str">
        <x:v>short / overspeed</x:v>
      </x:c>
      <x:c r="S154" s="47" t="str"/>
      <x:c r="T154" s="47" t="str">
        <x:v>Steam/electric supporting chain</x:v>
      </x:c>
      <x:c r="U154" s="47" t="str">
        <x:v>Governed node; variants not separated</x:v>
      </x:c>
      <x:c r="V154" s="49"/>
      <x:c r="W154" s="49"/>
    </x:row>
    <x:row r="155">
      <x:c r="A155" s="47" t="str">
        <x:v>A-BANK</x:v>
      </x:c>
      <x:c r="B155" s="47" t="str">
        <x:v>Protected battery bank</x:v>
      </x:c>
      <x:c r="C155" s="47" t="str">
        <x:v>Power</x:v>
      </x:c>
      <x:c r="D155" s="47" t="str">
        <x:v>Assembly</x:v>
      </x:c>
      <x:c r="E155" s="47" t="str">
        <x:v>H5</x:v>
      </x:c>
      <x:c r="F155" s="47" t="str">
        <x:v>Placeable/deployable assembly</x:v>
      </x:c>
      <x:c r="G155" s="47" t="str">
        <x:v>No</x:v>
      </x:c>
      <x:c r="H155" s="47" t="str">
        <x:v>Make / assemble / qualify</x:v>
      </x:c>
      <x:c r="I155" s="47" t="str">
        <x:v>S-BATTERY; P-CONDUCTOR; S-WIRE; T-METER</x:v>
      </x:c>
      <x:c r="J155" s="47" t="str">
        <x:v>inspect / match / fuse / vent / test</x:v>
      </x:c>
      <x:c r="K155" s="47" t="str">
        <x:v>T-METER</x:v>
      </x:c>
      <x:c r="L155" s="47" t="str">
        <x:v>W-ELECTRICAL</x:v>
      </x:c>
      <x:c r="M155" s="47" t="str">
        <x:v>electrical</x:v>
      </x:c>
      <x:c r="N155" s="47" t="str">
        <x:v>dexterity</x:v>
      </x:c>
      <x:c r="O155" s="51" t="n">
        <x:v>900</x:v>
      </x:c>
      <x:c r="P155" s="51" t="n">
        <x:v>0</x:v>
      </x:c>
      <x:c r="Q155" s="47" t="str">
        <x:v>capacity/fault/thermal</x:v>
      </x:c>
      <x:c r="R155" s="47" t="str">
        <x:v>fire / mismatch</x:v>
      </x:c>
      <x:c r="S155" s="47" t="str"/>
      <x:c r="T155" s="47" t="str">
        <x:v>Steam/electric supporting chain</x:v>
      </x:c>
      <x:c r="U155" s="47" t="str">
        <x:v>Governed node; variants not separated</x:v>
      </x:c>
      <x:c r="V155" s="49"/>
      <x:c r="W155" s="49"/>
    </x:row>
    <x:row r="156">
      <x:c r="A156" s="47" t="str">
        <x:v>A-GRID</x:v>
      </x:c>
      <x:c r="B156" s="47" t="str">
        <x:v>Camp microgrid</x:v>
      </x:c>
      <x:c r="C156" s="47" t="str">
        <x:v>Power</x:v>
      </x:c>
      <x:c r="D156" s="47" t="str">
        <x:v>Endpoint</x:v>
      </x:c>
      <x:c r="E156" s="47" t="str">
        <x:v>H5</x:v>
      </x:c>
      <x:c r="F156" s="47" t="str">
        <x:v>Placeable system/capability</x:v>
      </x:c>
      <x:c r="G156" s="47" t="str">
        <x:v>No</x:v>
      </x:c>
      <x:c r="H156" s="47" t="str">
        <x:v>Make / assemble / qualify</x:v>
      </x:c>
      <x:c r="I156" s="47" t="str">
        <x:v>A-GENERATOR; A-BANK; P-CONDUCTOR; A-LAMP</x:v>
      </x:c>
      <x:c r="J156" s="47" t="str">
        <x:v>route / protect / isolate / load test</x:v>
      </x:c>
      <x:c r="K156" s="47" t="str">
        <x:v>T-METER</x:v>
      </x:c>
      <x:c r="L156" s="47" t="str">
        <x:v>working home</x:v>
      </x:c>
      <x:c r="M156" s="47" t="str">
        <x:v>electrical / governance</x:v>
      </x:c>
      <x:c r="N156" s="47" t="str">
        <x:v>moderate</x:v>
      </x:c>
      <x:c r="O156" s="51" t="n">
        <x:v>1800</x:v>
      </x:c>
      <x:c r="P156" s="51" t="n">
        <x:v>0</x:v>
      </x:c>
      <x:c r="Q156" s="47" t="str">
        <x:v>fault/load/wet weather</x:v>
      </x:c>
      <x:c r="R156" s="47" t="str">
        <x:v>fire / sabotage</x:v>
      </x:c>
      <x:c r="S156" s="47" t="str"/>
      <x:c r="T156" s="47" t="str">
        <x:v>Steam/electric supporting chain</x:v>
      </x:c>
      <x:c r="U156" s="47" t="str">
        <x:v>Governed node; variants not separated</x:v>
      </x:c>
      <x:c r="V156" s="49"/>
      <x:c r="W156" s="49"/>
    </x:row>
    <x:row r="157">
      <x:c r="A157" s="47" t="str">
        <x:v>A-RECEIVER</x:v>
      </x:c>
      <x:c r="B157" s="47" t="str">
        <x:v>Radio listening post</x:v>
      </x:c>
      <x:c r="C157" s="47" t="str">
        <x:v>Signal</x:v>
      </x:c>
      <x:c r="D157" s="47" t="str">
        <x:v>Assembly</x:v>
      </x:c>
      <x:c r="E157" s="47" t="str">
        <x:v>H4</x:v>
      </x:c>
      <x:c r="F157" s="47" t="str">
        <x:v>Placeable/deployable assembly</x:v>
      </x:c>
      <x:c r="G157" s="47" t="str">
        <x:v>No</x:v>
      </x:c>
      <x:c r="H157" s="47" t="str">
        <x:v>Make / assemble / qualify</x:v>
      </x:c>
      <x:c r="I157" s="47" t="str">
        <x:v>S-RADIO; S-BATTERY; S-WIRE; A-ROOF</x:v>
      </x:c>
      <x:c r="J157" s="47" t="str">
        <x:v>dry / power / tune / log</x:v>
      </x:c>
      <x:c r="K157" s="47" t="str">
        <x:v>T-METER</x:v>
      </x:c>
      <x:c r="L157" s="47" t="str">
        <x:v>working home</x:v>
      </x:c>
      <x:c r="M157" s="47" t="str">
        <x:v>radio / observation</x:v>
      </x:c>
      <x:c r="N157" s="47" t="str">
        <x:v>low</x:v>
      </x:c>
      <x:c r="O157" s="51" t="n">
        <x:v>240</x:v>
      </x:c>
      <x:c r="P157" s="51" t="n">
        <x:v>0</x:v>
      </x:c>
      <x:c r="Q157" s="47" t="str">
        <x:v>repeatable reception</x:v>
      </x:c>
      <x:c r="R157" s="47" t="str">
        <x:v>drift / corrosion</x:v>
      </x:c>
      <x:c r="S157" s="47" t="str"/>
      <x:c r="T157" s="47" t="str"/>
      <x:c r="U157" s="47" t="str">
        <x:v>Governed node; variants not separated</x:v>
      </x:c>
      <x:c r="V157" s="49"/>
      <x:c r="W157" s="49"/>
    </x:row>
    <x:row r="158">
      <x:c r="A158" s="47" t="str">
        <x:v>A-ANTENNA</x:v>
      </x:c>
      <x:c r="B158" s="47" t="str">
        <x:v>Directional antenna</x:v>
      </x:c>
      <x:c r="C158" s="47" t="str">
        <x:v>Signal</x:v>
      </x:c>
      <x:c r="D158" s="47" t="str">
        <x:v>Assembly</x:v>
      </x:c>
      <x:c r="E158" s="47" t="str">
        <x:v>H5</x:v>
      </x:c>
      <x:c r="F158" s="47" t="str">
        <x:v>Placeable/deployable assembly</x:v>
      </x:c>
      <x:c r="G158" s="47" t="str">
        <x:v>No</x:v>
      </x:c>
      <x:c r="H158" s="47" t="str">
        <x:v>Make / assemble / qualify</x:v>
      </x:c>
      <x:c r="I158" s="47" t="str">
        <x:v>P-CONDUCTOR; P-STRAIGHT-POLE; S-GLASS; T-MEASURE</x:v>
      </x:c>
      <x:c r="J158" s="47" t="str">
        <x:v>layout / insulate / raise / compare</x:v>
      </x:c>
      <x:c r="K158" s="47" t="str">
        <x:v>T-MEASURE</x:v>
      </x:c>
      <x:c r="L158" s="47" t="str">
        <x:v>signal site</x:v>
      </x:c>
      <x:c r="M158" s="47" t="str">
        <x:v>radio / navigation</x:v>
      </x:c>
      <x:c r="N158" s="47" t="str">
        <x:v>high</x:v>
      </x:c>
      <x:c r="O158" s="51" t="n">
        <x:v>600</x:v>
      </x:c>
      <x:c r="P158" s="51" t="n">
        <x:v>0</x:v>
      </x:c>
      <x:c r="Q158" s="47" t="str">
        <x:v>bearing/gain comparison</x:v>
      </x:c>
      <x:c r="R158" s="47" t="str">
        <x:v>collapse / mismatch</x:v>
      </x:c>
      <x:c r="S158" s="47" t="str"/>
      <x:c r="T158" s="47" t="str"/>
      <x:c r="U158" s="47" t="str">
        <x:v>Governed node; variants not separated</x:v>
      </x:c>
      <x:c r="V158" s="49"/>
      <x:c r="W158" s="49"/>
    </x:row>
    <x:row r="159">
      <x:c r="A159" s="47" t="str">
        <x:v>A-TRANSMITTER</x:v>
      </x:c>
      <x:c r="B159" s="47" t="str">
        <x:v>Authenticated transmitter</x:v>
      </x:c>
      <x:c r="C159" s="47" t="str">
        <x:v>Signal</x:v>
      </x:c>
      <x:c r="D159" s="47" t="str">
        <x:v>Endpoint</x:v>
      </x:c>
      <x:c r="E159" s="47" t="str">
        <x:v>H6</x:v>
      </x:c>
      <x:c r="F159" s="47" t="str">
        <x:v>Placeable system/capability</x:v>
      </x:c>
      <x:c r="G159" s="47" t="str">
        <x:v>No</x:v>
      </x:c>
      <x:c r="H159" s="47" t="str">
        <x:v>Recover / repair / qualify</x:v>
      </x:c>
      <x:c r="I159" s="47" t="str">
        <x:v>A-RECEIVER; A-ANTENNA; A-GRID; W-ARCHIVE</x:v>
      </x:c>
      <x:c r="J159" s="47" t="str">
        <x:v>repair / match / schedule / authenticate / test</x:v>
      </x:c>
      <x:c r="K159" s="47" t="str">
        <x:v>T-METER</x:v>
      </x:c>
      <x:c r="L159" s="47" t="str">
        <x:v>signal site</x:v>
      </x:c>
      <x:c r="M159" s="47" t="str">
        <x:v>radio / evidence</x:v>
      </x:c>
      <x:c r="N159" s="47" t="str">
        <x:v>high</x:v>
      </x:c>
      <x:c r="O159" s="51" t="n">
        <x:v>2400</x:v>
      </x:c>
      <x:c r="P159" s="51" t="n">
        <x:v>0</x:v>
      </x:c>
      <x:c r="Q159" s="47" t="str">
        <x:v>acknowledged contact</x:v>
      </x:c>
      <x:c r="R159" s="47" t="str">
        <x:v>overheat / false claim</x:v>
      </x:c>
      <x:c r="S159" s="47" t="str"/>
      <x:c r="T159" s="47" t="str"/>
      <x:c r="U159" s="47" t="str">
        <x:v>Governed node; variants not separated</x:v>
      </x:c>
      <x:c r="V159" s="49"/>
      <x:c r="W159" s="49"/>
    </x:row>
    <x:row r="160">
      <x:c r="A160" s="47" t="str">
        <x:v>A-BEACON</x:v>
      </x:c>
      <x:c r="B160" s="47" t="str">
        <x:v>Borrowed Signal rescue beacon</x:v>
      </x:c>
      <x:c r="C160" s="47" t="str">
        <x:v>Return</x:v>
      </x:c>
      <x:c r="D160" s="47" t="str">
        <x:v>Endpoint</x:v>
      </x:c>
      <x:c r="E160" s="47" t="str">
        <x:v>H7</x:v>
      </x:c>
      <x:c r="F160" s="47" t="str">
        <x:v>Major end capability</x:v>
      </x:c>
      <x:c r="G160" s="47" t="str">
        <x:v>No</x:v>
      </x:c>
      <x:c r="H160" s="47" t="str">
        <x:v>Recover / repair / qualify</x:v>
      </x:c>
      <x:c r="I160" s="47" t="str">
        <x:v>A-TRANSMITTER; A-BOAT-B3; W-ARCHIVE; A-LAMP</x:v>
      </x:c>
      <x:c r="J160" s="47" t="str">
        <x:v>deploy / power / transmit / verify / recover</x:v>
      </x:c>
      <x:c r="K160" s="47" t="str">
        <x:v>T-METER</x:v>
      </x:c>
      <x:c r="L160" s="47" t="str">
        <x:v>expedition site</x:v>
      </x:c>
      <x:c r="M160" s="47" t="str">
        <x:v>radio / navigation / story</x:v>
      </x:c>
      <x:c r="N160" s="47" t="str">
        <x:v>high</x:v>
      </x:c>
      <x:c r="O160" s="51" t="n">
        <x:v>1800</x:v>
      </x:c>
      <x:c r="P160" s="51" t="n">
        <x:v>0</x:v>
      </x:c>
      <x:c r="Q160" s="47" t="str">
        <x:v>detection/acknowledgment/rendezvous</x:v>
      </x:c>
      <x:c r="R160" s="47" t="str">
        <x:v>missed window / power</x:v>
      </x:c>
      <x:c r="S160" s="47" t="str"/>
      <x:c r="T160" s="47" t="str"/>
      <x:c r="U160" s="47" t="str">
        <x:v>Governed node; variants not separated</x:v>
      </x:c>
      <x:c r="V160" s="49"/>
      <x:c r="W160" s="49"/>
    </x:row>
    <x:row r="161">
      <x:c r="A161" s="47" t="str">
        <x:v>A-RETURN-CRAFT</x:v>
      </x:c>
      <x:c r="B161" s="47" t="str">
        <x:v>Direct-return vessel</x:v>
      </x:c>
      <x:c r="C161" s="47" t="str">
        <x:v>Return</x:v>
      </x:c>
      <x:c r="D161" s="47" t="str">
        <x:v>Endpoint</x:v>
      </x:c>
      <x:c r="E161" s="47" t="str">
        <x:v>H7</x:v>
      </x:c>
      <x:c r="F161" s="47" t="str">
        <x:v>Major end capability</x:v>
      </x:c>
      <x:c r="G161" s="47" t="str">
        <x:v>No</x:v>
      </x:c>
      <x:c r="H161" s="47" t="str">
        <x:v>Recover / repair / qualify</x:v>
      </x:c>
      <x:c r="I161" s="47" t="str">
        <x:v>A-BOAT-SAIL; A-BOAT-POWER; A-FOOD-STORE; A-CISTERN; W-ARCHIVE</x:v>
      </x:c>
      <x:c r="J161" s="47" t="str">
        <x:v>provision / trial / navigate / repair / cross</x:v>
      </x:c>
      <x:c r="K161" s="47" t="str"/>
      <x:c r="L161" s="47" t="str">
        <x:v>W-BOATYARD</x:v>
      </x:c>
      <x:c r="M161" s="47" t="str">
        <x:v>maritime / navigation / logistics</x:v>
      </x:c>
      <x:c r="N161" s="47" t="str">
        <x:v>very high</x:v>
      </x:c>
      <x:c r="O161" s="51" t="n">
        <x:v>6000</x:v>
      </x:c>
      <x:c r="P161" s="51" t="n">
        <x:v>0</x:v>
      </x:c>
      <x:c r="Q161" s="47" t="str">
        <x:v>range/sea-state/fallback</x:v>
      </x:c>
      <x:c r="R161" s="47" t="str">
        <x:v>loss at sea</x:v>
      </x:c>
      <x:c r="S161" s="47" t="str"/>
      <x:c r="T161" s="47" t="str"/>
      <x:c r="U161" s="47" t="str">
        <x:v>Governed node; variants not separated</x:v>
      </x:c>
      <x:c r="V161" s="49"/>
      <x:c r="W161" s="49"/>
    </x:row>
    <x:row r="162">
      <x:c r="A162" s="47" t="str">
        <x:v>A-ARRIVAL</x:v>
      </x:c>
      <x:c r="B162" s="47" t="str">
        <x:v>Arrival Station</x:v>
      </x:c>
      <x:c r="C162" s="47" t="str">
        <x:v>Legacy</x:v>
      </x:c>
      <x:c r="D162" s="47" t="str">
        <x:v>Endpoint</x:v>
      </x:c>
      <x:c r="E162" s="47" t="str">
        <x:v>H6</x:v>
      </x:c>
      <x:c r="F162" s="47" t="str">
        <x:v>Major end capability</x:v>
      </x:c>
      <x:c r="G162" s="47" t="str">
        <x:v>No</x:v>
      </x:c>
      <x:c r="H162" s="47" t="str">
        <x:v>Make / assemble / qualify</x:v>
      </x:c>
      <x:c r="I162" s="47" t="str">
        <x:v>A-REFUGE; C-COVERED-STORE; A-FOOD-STORE; W-CLEAN; W-ARCHIVE</x:v>
      </x:c>
      <x:c r="J162" s="47" t="str">
        <x:v>stock / label / maintain / test</x:v>
      </x:c>
      <x:c r="K162" s="47" t="str"/>
      <x:c r="L162" s="47" t="str">
        <x:v>legacy home</x:v>
      </x:c>
      <x:c r="M162" s="47" t="str">
        <x:v>care / logistics / archive</x:v>
      </x:c>
      <x:c r="N162" s="47" t="str">
        <x:v>moderate</x:v>
      </x:c>
      <x:c r="O162" s="51" t="n">
        <x:v>1200</x:v>
      </x:c>
      <x:c r="P162" s="51" t="n">
        <x:v>0</x:v>
      </x:c>
      <x:c r="Q162" s="47" t="str">
        <x:v>new-castaway stabilization drill</x:v>
      </x:c>
      <x:c r="R162" s="47" t="str">
        <x:v>stale / inaccessible</x:v>
      </x:c>
      <x:c r="S162" s="47" t="str"/>
      <x:c r="T162" s="47" t="str"/>
      <x:c r="U162" s="47" t="str">
        <x:v>Compressed family/assembly</x:v>
      </x:c>
      <x:c r="V162" s="49"/>
      <x:c r="W162" s="49"/>
    </x:row>
    <x:row r="163">
      <x:c r="A163" s="47" t="str">
        <x:v>A-TRIANGLE</x:v>
      </x:c>
      <x:c r="B163" s="47" t="str">
        <x:v>Triangle investigation apparatus</x:v>
      </x:c>
      <x:c r="C163" s="47" t="str">
        <x:v>Anomaly</x:v>
      </x:c>
      <x:c r="D163" s="47" t="str">
        <x:v>Endpoint</x:v>
      </x:c>
      <x:c r="E163" s="47" t="str">
        <x:v>H7</x:v>
      </x:c>
      <x:c r="F163" s="47" t="str">
        <x:v>Major end capability</x:v>
      </x:c>
      <x:c r="G163" s="47" t="str">
        <x:v>No</x:v>
      </x:c>
      <x:c r="H163" s="47" t="str">
        <x:v>Make / assemble / qualify</x:v>
      </x:c>
      <x:c r="I163" s="47" t="str">
        <x:v>S-ANOMALY; A-GRID; A-TRANSMITTER; W-ARCHIVE</x:v>
      </x:c>
      <x:c r="J163" s="47" t="str">
        <x:v>compare / shield / remote test / record</x:v>
      </x:c>
      <x:c r="K163" s="47" t="str">
        <x:v>T-METER</x:v>
      </x:c>
      <x:c r="L163" s="47" t="str">
        <x:v>isolated test site</x:v>
      </x:c>
      <x:c r="M163" s="47" t="str">
        <x:v>normal systems + anomaly</x:v>
      </x:c>
      <x:c r="N163" s="47" t="str">
        <x:v>high</x:v>
      </x:c>
      <x:c r="O163" s="51" t="n">
        <x:v>3600</x:v>
      </x:c>
      <x:c r="P163" s="51" t="n">
        <x:v>0</x:v>
      </x:c>
      <x:c r="Q163" s="47" t="str">
        <x:v>reversible truth-ledger test</x:v>
      </x:c>
      <x:c r="R163" s="47" t="str">
        <x:v>instability / false model</x:v>
      </x:c>
      <x:c r="S163" s="47" t="str"/>
      <x:c r="T163" s="47" t="str"/>
      <x:c r="U163" s="47" t="str">
        <x:v>Governed node; variants not separated</x:v>
      </x:c>
      <x:c r="V163" s="49"/>
      <x:c r="W163" s="49"/>
    </x:row>
    <x:row r="164">
      <x:c r="A164" s="47" t="str">
        <x:v>S-COIR</x:v>
      </x:c>
      <x:c r="B164" s="47" t="str">
        <x:v>Coir/coconut husk fiber</x:v>
      </x:c>
      <x:c r="C164" s="47" t="str">
        <x:v>Fiber</x:v>
      </x:c>
      <x:c r="D164" s="47" t="str">
        <x:v>Source</x:v>
      </x:c>
      <x:c r="E164" s="47" t="str">
        <x:v>H0</x:v>
      </x:c>
      <x:c r="F164" s="47" t="str">
        <x:v>Recoverable/harvested resource</x:v>
      </x:c>
      <x:c r="G164" s="47" t="str">
        <x:v>Usually</x:v>
      </x:c>
      <x:c r="H164" s="47" t="str">
        <x:v>Find / recover / harvest</x:v>
      </x:c>
      <x:c r="I164" s="47" t="str"/>
      <x:c r="J164" s="47" t="str">
        <x:v>identify / harvest / recover</x:v>
      </x:c>
      <x:c r="K164" s="47" t="str">
        <x:v>cutter</x:v>
      </x:c>
      <x:c r="L164" s="47" t="str">
        <x:v>world</x:v>
      </x:c>
      <x:c r="M164" s="47" t="str">
        <x:v>plant and fiber identification</x:v>
      </x:c>
      <x:c r="N164" s="47" t="str">
        <x:v>light–moderate</x:v>
      </x:c>
      <x:c r="O164" s="51" t="n">
        <x:v>10</x:v>
      </x:c>
      <x:c r="P164" s="51" t="n">
        <x:v>0</x:v>
      </x:c>
      <x:c r="Q164" s="47" t="str">
        <x:v>source and contamination evidence</x:v>
      </x:c>
      <x:c r="R164" s="47" t="str">
        <x:v>wrong source / contaminated</x:v>
      </x:c>
      <x:c r="S164" s="47" t="str"/>
      <x:c r="T164" s="47" t="str"/>
      <x:c r="U164" s="47" t="str">
        <x:v>Compressed family/assembly</x:v>
      </x:c>
      <x:c r="V164" s="49"/>
      <x:c r="W164" s="49"/>
    </x:row>
    <x:row r="165">
      <x:c r="A165" s="47" t="str">
        <x:v>S-LEAF-FIBER</x:v>
      </x:c>
      <x:c r="B165" s="47" t="str">
        <x:v>Leaf-fiber plant</x:v>
      </x:c>
      <x:c r="C165" s="47" t="str">
        <x:v>Fiber</x:v>
      </x:c>
      <x:c r="D165" s="47" t="str">
        <x:v>Source</x:v>
      </x:c>
      <x:c r="E165" s="47" t="str">
        <x:v>H0</x:v>
      </x:c>
      <x:c r="F165" s="47" t="str">
        <x:v>Recoverable/harvested resource</x:v>
      </x:c>
      <x:c r="G165" s="47" t="str">
        <x:v>Usually</x:v>
      </x:c>
      <x:c r="H165" s="47" t="str">
        <x:v>Find / recover / harvest</x:v>
      </x:c>
      <x:c r="I165" s="47" t="str"/>
      <x:c r="J165" s="47" t="str">
        <x:v>identify / harvest</x:v>
      </x:c>
      <x:c r="K165" s="47" t="str">
        <x:v>cutter</x:v>
      </x:c>
      <x:c r="L165" s="47" t="str">
        <x:v>world</x:v>
      </x:c>
      <x:c r="M165" s="47" t="str">
        <x:v>plant identification</x:v>
      </x:c>
      <x:c r="N165" s="47" t="str">
        <x:v>moderate</x:v>
      </x:c>
      <x:c r="O165" s="51" t="n">
        <x:v>20</x:v>
      </x:c>
      <x:c r="P165" s="51" t="n">
        <x:v>0</x:v>
      </x:c>
      <x:c r="Q165" s="47" t="str">
        <x:v>fiber extraction sample</x:v>
      </x:c>
      <x:c r="R165" s="47" t="str">
        <x:v>irritant / weak / overharvest</x:v>
      </x:c>
      <x:c r="S165" s="47" t="str"/>
      <x:c r="T165" s="47" t="str"/>
      <x:c r="U165" s="47" t="str">
        <x:v>Governed node; variants not separated</x:v>
      </x:c>
      <x:c r="V165" s="49"/>
      <x:c r="W165" s="49"/>
    </x:row>
    <x:row r="166">
      <x:c r="A166" s="47" t="str">
        <x:v>S-BAST-FIBER</x:v>
      </x:c>
      <x:c r="B166" s="47" t="str">
        <x:v>Bast/stem-fiber plant</x:v>
      </x:c>
      <x:c r="C166" s="47" t="str">
        <x:v>Fiber</x:v>
      </x:c>
      <x:c r="D166" s="47" t="str">
        <x:v>Source</x:v>
      </x:c>
      <x:c r="E166" s="47" t="str">
        <x:v>H1</x:v>
      </x:c>
      <x:c r="F166" s="47" t="str">
        <x:v>Recoverable/harvested resource</x:v>
      </x:c>
      <x:c r="G166" s="47" t="str">
        <x:v>Usually</x:v>
      </x:c>
      <x:c r="H166" s="47" t="str">
        <x:v>Find / recover / harvest</x:v>
      </x:c>
      <x:c r="I166" s="47" t="str"/>
      <x:c r="J166" s="47" t="str">
        <x:v>identify / strip / rett</x:v>
      </x:c>
      <x:c r="K166" s="47" t="str">
        <x:v>cutter / scraper</x:v>
      </x:c>
      <x:c r="L166" s="47" t="str">
        <x:v>water-separated processing</x:v>
      </x:c>
      <x:c r="M166" s="47" t="str">
        <x:v>plant + retting</x:v>
      </x:c>
      <x:c r="N166" s="47" t="str">
        <x:v>moderate</x:v>
      </x:c>
      <x:c r="O166" s="51" t="n">
        <x:v>30</x:v>
      </x:c>
      <x:c r="P166" s="51" t="n">
        <x:v>1440</x:v>
      </x:c>
      <x:c r="Q166" s="47" t="str">
        <x:v>long clean fiber sample</x:v>
      </x:c>
      <x:c r="R166" s="47" t="str">
        <x:v>rot / water pollution</x:v>
      </x:c>
      <x:c r="S166" s="47" t="str"/>
      <x:c r="T166" s="47" t="str"/>
      <x:c r="U166" s="47" t="str">
        <x:v>Compressed family/assembly</x:v>
      </x:c>
      <x:c r="V166" s="49"/>
      <x:c r="W166" s="49"/>
    </x:row>
    <x:row r="167">
      <x:c r="A167" s="47" t="str">
        <x:v>S-SALV-TEXTILE</x:v>
      </x:c>
      <x:c r="B167" s="47" t="str">
        <x:v>Salvaged textile/webbing</x:v>
      </x:c>
      <x:c r="C167" s="47" t="str">
        <x:v>Salvage</x:v>
      </x:c>
      <x:c r="D167" s="47" t="str">
        <x:v>Source</x:v>
      </x:c>
      <x:c r="E167" s="47" t="str">
        <x:v>H0</x:v>
      </x:c>
      <x:c r="F167" s="47" t="str">
        <x:v>Recoverable/harvested resource</x:v>
      </x:c>
      <x:c r="G167" s="47" t="str">
        <x:v>Usually</x:v>
      </x:c>
      <x:c r="H167" s="47" t="str">
        <x:v>Find / recover / harvest</x:v>
      </x:c>
      <x:c r="I167" s="47" t="str"/>
      <x:c r="J167" s="47" t="str">
        <x:v>recover / quarantine / clean</x:v>
      </x:c>
      <x:c r="K167" s="47" t="str">
        <x:v>cutter</x:v>
      </x:c>
      <x:c r="L167" s="47" t="str">
        <x:v>quarantine</x:v>
      </x:c>
      <x:c r="M167" s="47" t="str">
        <x:v>provenance and textile inspection</x:v>
      </x:c>
      <x:c r="N167" s="47" t="str">
        <x:v>variable</x:v>
      </x:c>
      <x:c r="O167" s="51" t="n">
        <x:v>15</x:v>
      </x:c>
      <x:c r="P167" s="51" t="n">
        <x:v>120</x:v>
      </x:c>
      <x:c r="Q167" s="47" t="str">
        <x:v>odor / mold / wet-load inspection</x:v>
      </x:c>
      <x:c r="R167" s="47" t="str">
        <x:v>fuel / mold / UV damage</x:v>
      </x:c>
      <x:c r="S167" s="47" t="str"/>
      <x:c r="T167" s="47" t="str"/>
      <x:c r="U167" s="47" t="str">
        <x:v>Compressed family/assembly</x:v>
      </x:c>
      <x:c r="V167" s="49"/>
      <x:c r="W167" s="49"/>
    </x:row>
    <x:row r="168">
      <x:c r="A168" s="47" t="str">
        <x:v>S-MIXED-SCRAP</x:v>
      </x:c>
      <x:c r="B168" s="47" t="str">
        <x:v>Mixed metal scrap</x:v>
      </x:c>
      <x:c r="C168" s="47" t="str">
        <x:v>Metal</x:v>
      </x:c>
      <x:c r="D168" s="47" t="str">
        <x:v>Source</x:v>
      </x:c>
      <x:c r="E168" s="47" t="str">
        <x:v>H1</x:v>
      </x:c>
      <x:c r="F168" s="47" t="str">
        <x:v>Recoverable/harvested resource</x:v>
      </x:c>
      <x:c r="G168" s="47" t="str">
        <x:v>Usually</x:v>
      </x:c>
      <x:c r="H168" s="47" t="str">
        <x:v>Find / recover / harvest</x:v>
      </x:c>
      <x:c r="I168" s="47" t="str"/>
      <x:c r="J168" s="47" t="str">
        <x:v>recover / isolate / sort</x:v>
      </x:c>
      <x:c r="K168" s="47" t="str">
        <x:v>magnet / file / cutter</x:v>
      </x:c>
      <x:c r="L168" s="47" t="str">
        <x:v>salvage yard</x:v>
      </x:c>
      <x:c r="M168" s="47" t="str">
        <x:v>metal and contamination reading</x:v>
      </x:c>
      <x:c r="N168" s="47" t="str">
        <x:v>variable</x:v>
      </x:c>
      <x:c r="O168" s="51" t="n">
        <x:v>20</x:v>
      </x:c>
      <x:c r="P168" s="51" t="n">
        <x:v>0</x:v>
      </x:c>
      <x:c r="Q168" s="47" t="str">
        <x:v>form / alloy evidence</x:v>
      </x:c>
      <x:c r="R168" s="47" t="str">
        <x:v>mixed alloy / coating / sharp</x:v>
      </x:c>
      <x:c r="S168" s="47" t="str"/>
      <x:c r="T168" s="47" t="str"/>
      <x:c r="U168" s="47" t="str">
        <x:v>Governed node; variants not separated</x:v>
      </x:c>
      <x:c r="V168" s="49"/>
      <x:c r="W168" s="49"/>
    </x:row>
    <x:row r="169">
      <x:c r="A169" s="47" t="str">
        <x:v>S-ORE</x:v>
      </x:c>
      <x:c r="B169" s="47" t="str">
        <x:v>Geological ore candidate</x:v>
      </x:c>
      <x:c r="C169" s="47" t="str">
        <x:v>Metal</x:v>
      </x:c>
      <x:c r="D169" s="47" t="str">
        <x:v>Source</x:v>
      </x:c>
      <x:c r="E169" s="47" t="str">
        <x:v>H3</x:v>
      </x:c>
      <x:c r="F169" s="47" t="str">
        <x:v>Recoverable/harvested resource</x:v>
      </x:c>
      <x:c r="G169" s="47" t="str">
        <x:v>Usually</x:v>
      </x:c>
      <x:c r="H169" s="47" t="str">
        <x:v>Find / recover / harvest</x:v>
      </x:c>
      <x:c r="I169" s="47" t="str"/>
      <x:c r="J169" s="47" t="str">
        <x:v>prospect / sample / excavate</x:v>
      </x:c>
      <x:c r="K169" s="47" t="str">
        <x:v>hammer / shovel</x:v>
      </x:c>
      <x:c r="L169" s="47" t="str">
        <x:v>deposit</x:v>
      </x:c>
      <x:c r="M169" s="47" t="str">
        <x:v>geology and ore recognition</x:v>
      </x:c>
      <x:c r="N169" s="47" t="str">
        <x:v>high</x:v>
      </x:c>
      <x:c r="O169" s="51" t="n">
        <x:v>60</x:v>
      </x:c>
      <x:c r="P169" s="51" t="n">
        <x:v>0</x:v>
      </x:c>
      <x:c r="Q169" s="47" t="str">
        <x:v>concentration and reduction sample</x:v>
      </x:c>
      <x:c r="R169" s="47" t="str">
        <x:v>waste rock / collapse / no deposit</x:v>
      </x:c>
      <x:c r="S169" s="47" t="str"/>
      <x:c r="T169" s="47" t="str"/>
      <x:c r="U169" s="47" t="str">
        <x:v>Governed node; variants not separated</x:v>
      </x:c>
      <x:c r="V169" s="49"/>
      <x:c r="W169" s="49"/>
    </x:row>
    <x:row r="170">
      <x:c r="A170" s="47" t="str">
        <x:v>S-FOG</x:v>
      </x:c>
      <x:c r="B170" s="47" t="str">
        <x:v>Harvestable fog event</x:v>
      </x:c>
      <x:c r="C170" s="47" t="str">
        <x:v>Water</x:v>
      </x:c>
      <x:c r="D170" s="47" t="str">
        <x:v>Source</x:v>
      </x:c>
      <x:c r="E170" s="47" t="str">
        <x:v>H2</x:v>
      </x:c>
      <x:c r="F170" s="47" t="str">
        <x:v>Environmental resource</x:v>
      </x:c>
      <x:c r="G170" s="47" t="str">
        <x:v>No</x:v>
      </x:c>
      <x:c r="H170" s="47" t="str">
        <x:v>Find / recover / harvest</x:v>
      </x:c>
      <x:c r="I170" s="47" t="str"/>
      <x:c r="J170" s="47" t="str">
        <x:v>observe / measure / capture</x:v>
      </x:c>
      <x:c r="K170" s="47" t="str">
        <x:v>mesh / gauge</x:v>
      </x:c>
      <x:c r="L170" s="47" t="str">
        <x:v>exposed ridge or coast</x:v>
      </x:c>
      <x:c r="M170" s="47" t="str">
        <x:v>weather and water hygiene</x:v>
      </x:c>
      <x:c r="N170" s="47" t="str">
        <x:v>light</x:v>
      </x:c>
      <x:c r="O170" s="51" t="n">
        <x:v>10</x:v>
      </x:c>
      <x:c r="P170" s="51" t="n">
        <x:v>240</x:v>
      </x:c>
      <x:c r="Q170" s="47" t="str">
        <x:v>repeatable clean yield</x:v>
      </x:c>
      <x:c r="R170" s="47" t="str">
        <x:v>insufficient fog / contamination</x:v>
      </x:c>
      <x:c r="S170" s="47" t="str"/>
      <x:c r="T170" s="47" t="str"/>
      <x:c r="U170" s="47" t="str">
        <x:v>Governed node; variants not separated</x:v>
      </x:c>
      <x:c r="V170" s="49"/>
      <x:c r="W170" s="49"/>
    </x:row>
    <x:row r="171">
      <x:c r="A171" s="47" t="str">
        <x:v>S-ANIMAL</x:v>
      </x:c>
      <x:c r="B171" s="47" t="str">
        <x:v>Manageable animal population</x:v>
      </x:c>
      <x:c r="C171" s="47" t="str">
        <x:v>Nature</x:v>
      </x:c>
      <x:c r="D171" s="47" t="str">
        <x:v>Source</x:v>
      </x:c>
      <x:c r="E171" s="47" t="str">
        <x:v>H2</x:v>
      </x:c>
      <x:c r="F171" s="47" t="str">
        <x:v>World ecology/population</x:v>
      </x:c>
      <x:c r="G171" s="47" t="str">
        <x:v>No</x:v>
      </x:c>
      <x:c r="H171" s="47" t="str">
        <x:v>Find / recover / harvest</x:v>
      </x:c>
      <x:c r="I171" s="47" t="str"/>
      <x:c r="J171" s="47" t="str">
        <x:v>observe / assess / capture</x:v>
      </x:c>
      <x:c r="K171" s="47" t="str">
        <x:v>enclosure / handling tools</x:v>
      </x:c>
      <x:c r="L171" s="47" t="str">
        <x:v>habitat/quarantine</x:v>
      </x:c>
      <x:c r="M171" s="47" t="str">
        <x:v>behavior / health / welfare</x:v>
      </x:c>
      <x:c r="N171" s="47" t="str">
        <x:v>variable</x:v>
      </x:c>
      <x:c r="O171" s="51" t="n">
        <x:v>30</x:v>
      </x:c>
      <x:c r="P171" s="51" t="n">
        <x:v>0</x:v>
      </x:c>
      <x:c r="Q171" s="47" t="str">
        <x:v>species and individual suitability</x:v>
      </x:c>
      <x:c r="R171" s="47" t="str">
        <x:v>injury / stress / ecological harm</x:v>
      </x:c>
      <x:c r="S171" s="47" t="str"/>
      <x:c r="T171" s="47" t="str"/>
      <x:c r="U171" s="47" t="str">
        <x:v>Governed node; variants not separated</x:v>
      </x:c>
      <x:c r="V171" s="49"/>
      <x:c r="W171" s="49"/>
    </x:row>
    <x:row r="172">
      <x:c r="A172" s="47" t="str">
        <x:v>S-FODDER</x:v>
      </x:c>
      <x:c r="B172" s="47" t="str">
        <x:v>Renewable fodder/feed base</x:v>
      </x:c>
      <x:c r="C172" s="47" t="str">
        <x:v>Nature</x:v>
      </x:c>
      <x:c r="D172" s="47" t="str">
        <x:v>Source</x:v>
      </x:c>
      <x:c r="E172" s="47" t="str">
        <x:v>H2</x:v>
      </x:c>
      <x:c r="F172" s="47" t="str">
        <x:v>World ecology/population</x:v>
      </x:c>
      <x:c r="G172" s="47" t="str">
        <x:v>No</x:v>
      </x:c>
      <x:c r="H172" s="47" t="str">
        <x:v>Find / recover / harvest</x:v>
      </x:c>
      <x:c r="I172" s="47" t="str"/>
      <x:c r="J172" s="47" t="str">
        <x:v>grow / harvest / store</x:v>
      </x:c>
      <x:c r="K172" s="47" t="str">
        <x:v>hoe / basket</x:v>
      </x:c>
      <x:c r="L172" s="47" t="str">
        <x:v>plot/store</x:v>
      </x:c>
      <x:c r="M172" s="47" t="str">
        <x:v>nutrition and cultivation</x:v>
      </x:c>
      <x:c r="N172" s="47" t="str">
        <x:v>moderate</x:v>
      </x:c>
      <x:c r="O172" s="51" t="n">
        <x:v>30</x:v>
      </x:c>
      <x:c r="P172" s="51" t="n">
        <x:v>1440</x:v>
      </x:c>
      <x:c r="Q172" s="47" t="str">
        <x:v>intake and health evidence</x:v>
      </x:c>
      <x:c r="R172" s="47" t="str">
        <x:v>deficiency / spoilage / competition</x:v>
      </x:c>
      <x:c r="S172" s="47" t="str"/>
      <x:c r="T172" s="47" t="str"/>
      <x:c r="U172" s="47" t="str">
        <x:v>Compressed family/assembly</x:v>
      </x:c>
      <x:c r="V172" s="49"/>
      <x:c r="W172" s="49"/>
    </x:row>
    <x:row r="173">
      <x:c r="A173" s="47" t="str">
        <x:v>P-GRADED-FIBER</x:v>
      </x:c>
      <x:c r="B173" s="47" t="str">
        <x:v>Clean graded fiber</x:v>
      </x:c>
      <x:c r="C173" s="47" t="str">
        <x:v>Fiber</x:v>
      </x:c>
      <x:c r="D173" s="47" t="str">
        <x:v>Process</x:v>
      </x:c>
      <x:c r="E173" s="47" t="str">
        <x:v>H1</x:v>
      </x:c>
      <x:c r="F173" s="47" t="str">
        <x:v>Process output (family)</x:v>
      </x:c>
      <x:c r="G173" s="47" t="str">
        <x:v>No</x:v>
      </x:c>
      <x:c r="H173" s="47" t="str">
        <x:v>Make / assemble / qualify</x:v>
      </x:c>
      <x:c r="I173" s="47" t="str">
        <x:v>S-COIR; S-LEAF-FIBER; S-BAST-FIBER; S-SALV-TEXTILE</x:v>
      </x:c>
      <x:c r="J173" s="47" t="str">
        <x:v>extract / wash / dry / grade</x:v>
      </x:c>
      <x:c r="K173" s="47" t="str">
        <x:v>cutter / comb</x:v>
      </x:c>
      <x:c r="L173" s="47" t="str">
        <x:v>drying rack</x:v>
      </x:c>
      <x:c r="M173" s="47" t="str">
        <x:v>fiber preparation</x:v>
      </x:c>
      <x:c r="N173" s="47" t="str">
        <x:v>moderate</x:v>
      </x:c>
      <x:c r="O173" s="51" t="n">
        <x:v>45</x:v>
      </x:c>
      <x:c r="P173" s="51" t="n">
        <x:v>240</x:v>
      </x:c>
      <x:c r="Q173" s="47" t="str">
        <x:v>length / cleanliness / wet response</x:v>
      </x:c>
      <x:c r="R173" s="47" t="str">
        <x:v>rot / contamination / short fiber</x:v>
      </x:c>
      <x:c r="S173" s="47" t="str"/>
      <x:c r="T173" s="47" t="str"/>
      <x:c r="U173" s="47" t="str">
        <x:v>Abstract; not a discrete item</x:v>
      </x:c>
      <x:c r="V173" s="49"/>
      <x:c r="W173" s="49"/>
    </x:row>
    <x:row r="174">
      <x:c r="A174" s="47" t="str">
        <x:v>T-SPINDLE</x:v>
      </x:c>
      <x:c r="B174" s="47" t="str">
        <x:v>Spindle/twisting tool</x:v>
      </x:c>
      <x:c r="C174" s="47" t="str">
        <x:v>Fiber</x:v>
      </x:c>
      <x:c r="D174" s="47" t="str">
        <x:v>Tool</x:v>
      </x:c>
      <x:c r="E174" s="47" t="str">
        <x:v>H1</x:v>
      </x:c>
      <x:c r="F174" s="47" t="str">
        <x:v>Carryable tool/equipment</x:v>
      </x:c>
      <x:c r="G174" s="47" t="str">
        <x:v>Yes</x:v>
      </x:c>
      <x:c r="H174" s="47" t="str">
        <x:v>Make / assemble / qualify</x:v>
      </x:c>
      <x:c r="I174" s="47" t="str">
        <x:v>P-STRAIGHT-POLE; P-PEG</x:v>
      </x:c>
      <x:c r="J174" s="47" t="str">
        <x:v>shape / balance / fit</x:v>
      </x:c>
      <x:c r="K174" s="47" t="str">
        <x:v>knife / measure</x:v>
      </x:c>
      <x:c r="L174" s="47" t="str">
        <x:v>work mat</x:v>
      </x:c>
      <x:c r="M174" s="47" t="str">
        <x:v>rotation and fiber control</x:v>
      </x:c>
      <x:c r="N174" s="47" t="str">
        <x:v>light</x:v>
      </x:c>
      <x:c r="O174" s="51" t="n">
        <x:v>30</x:v>
      </x:c>
      <x:c r="P174" s="51" t="n">
        <x:v>0</x:v>
      </x:c>
      <x:c r="Q174" s="47" t="str">
        <x:v>consistent twist</x:v>
      </x:c>
      <x:c r="R174" s="47" t="str">
        <x:v>wobble / break / snag</x:v>
      </x:c>
      <x:c r="S174" s="47" t="str"/>
      <x:c r="T174" s="47" t="str"/>
      <x:c r="U174" s="47" t="str">
        <x:v>Compressed family/assembly</x:v>
      </x:c>
      <x:c r="V174" s="49"/>
      <x:c r="W174" s="49"/>
    </x:row>
    <x:row r="175">
      <x:c r="A175" s="47" t="str">
        <x:v>P-YARN</x:v>
      </x:c>
      <x:c r="B175" s="47" t="str">
        <x:v>Consistent yarn/strand</x:v>
      </x:c>
      <x:c r="C175" s="47" t="str">
        <x:v>Fiber</x:v>
      </x:c>
      <x:c r="D175" s="47" t="str">
        <x:v>Process</x:v>
      </x:c>
      <x:c r="E175" s="47" t="str">
        <x:v>H1</x:v>
      </x:c>
      <x:c r="F175" s="47" t="str">
        <x:v>Process output (family)</x:v>
      </x:c>
      <x:c r="G175" s="47" t="str">
        <x:v>No</x:v>
      </x:c>
      <x:c r="H175" s="47" t="str">
        <x:v>Make / assemble / qualify</x:v>
      </x:c>
      <x:c r="I175" s="47" t="str">
        <x:v>P-GRADED-FIBER; T-SPINDLE</x:v>
      </x:c>
      <x:c r="J175" s="47" t="str">
        <x:v>spin / splice / ply</x:v>
      </x:c>
      <x:c r="K175" s="47" t="str">
        <x:v>spindle</x:v>
      </x:c>
      <x:c r="L175" s="47" t="str">
        <x:v>fiber station</x:v>
      </x:c>
      <x:c r="M175" s="47" t="str">
        <x:v>fiber consistency</x:v>
      </x:c>
      <x:c r="N175" s="47" t="str">
        <x:v>light</x:v>
      </x:c>
      <x:c r="O175" s="51" t="n">
        <x:v>60</x:v>
      </x:c>
      <x:c r="P175" s="51" t="n">
        <x:v>0</x:v>
      </x:c>
      <x:c r="Q175" s="47" t="str">
        <x:v>diameter and break comparison</x:v>
      </x:c>
      <x:c r="R175" s="47" t="str">
        <x:v>uneven / weak / overtwist</x:v>
      </x:c>
      <x:c r="S175" s="47" t="str"/>
      <x:c r="T175" s="47" t="str"/>
      <x:c r="U175" s="47" t="str">
        <x:v>Abstract; not a discrete item</x:v>
      </x:c>
      <x:c r="V175" s="49"/>
      <x:c r="W175" s="49"/>
    </x:row>
    <x:row r="176">
      <x:c r="A176" s="47" t="str">
        <x:v>T-LOOM</x:v>
      </x:c>
      <x:c r="B176" s="47" t="str">
        <x:v>Frame loom/net gauge</x:v>
      </x:c>
      <x:c r="C176" s="47" t="str">
        <x:v>Fiber</x:v>
      </x:c>
      <x:c r="D176" s="47" t="str">
        <x:v>Tool</x:v>
      </x:c>
      <x:c r="E176" s="47" t="str">
        <x:v>H2</x:v>
      </x:c>
      <x:c r="F176" s="47" t="str">
        <x:v>Carryable tool/equipment</x:v>
      </x:c>
      <x:c r="G176" s="47" t="str">
        <x:v>Yes</x:v>
      </x:c>
      <x:c r="H176" s="47" t="str">
        <x:v>Make / assemble / qualify</x:v>
      </x:c>
      <x:c r="I176" s="47" t="str">
        <x:v>P-STRAIGHT-POLE; T-MEASURE</x:v>
      </x:c>
      <x:c r="J176" s="47" t="str">
        <x:v>lay out / join / tension</x:v>
      </x:c>
      <x:c r="K176" s="47" t="str">
        <x:v>knife / measure</x:v>
      </x:c>
      <x:c r="L176" s="47" t="str">
        <x:v>bench</x:v>
      </x:c>
      <x:c r="M176" s="47" t="str">
        <x:v>geometry and tension</x:v>
      </x:c>
      <x:c r="N176" s="47" t="str">
        <x:v>moderate</x:v>
      </x:c>
      <x:c r="O176" s="51" t="n">
        <x:v>120</x:v>
      </x:c>
      <x:c r="P176" s="51" t="n">
        <x:v>0</x:v>
      </x:c>
      <x:c r="Q176" s="47" t="str">
        <x:v>square stable frame</x:v>
      </x:c>
      <x:c r="R176" s="47" t="str">
        <x:v>rack / uneven tension</x:v>
      </x:c>
      <x:c r="S176" s="47" t="str"/>
      <x:c r="T176" s="47" t="str"/>
      <x:c r="U176" s="47" t="str">
        <x:v>Compressed family/assembly</x:v>
      </x:c>
      <x:c r="V176" s="49"/>
      <x:c r="W176" s="49"/>
    </x:row>
    <x:row r="177">
      <x:c r="A177" s="47" t="str">
        <x:v>P-CLOTH</x:v>
      </x:c>
      <x:c r="B177" s="47" t="str">
        <x:v>Woven textile panel</x:v>
      </x:c>
      <x:c r="C177" s="47" t="str">
        <x:v>Fiber</x:v>
      </x:c>
      <x:c r="D177" s="47" t="str">
        <x:v>Process</x:v>
      </x:c>
      <x:c r="E177" s="47" t="str">
        <x:v>H2</x:v>
      </x:c>
      <x:c r="F177" s="47" t="str">
        <x:v>Process output (family)</x:v>
      </x:c>
      <x:c r="G177" s="47" t="str">
        <x:v>No</x:v>
      </x:c>
      <x:c r="H177" s="47" t="str">
        <x:v>Make / assemble / qualify</x:v>
      </x:c>
      <x:c r="I177" s="47" t="str">
        <x:v>P-YARN; T-LOOM</x:v>
      </x:c>
      <x:c r="J177" s="47" t="str">
        <x:v>warp / weave / finish</x:v>
      </x:c>
      <x:c r="K177" s="47" t="str">
        <x:v>loom / needle</x:v>
      </x:c>
      <x:c r="L177" s="47" t="str">
        <x:v>fiber cell</x:v>
      </x:c>
      <x:c r="M177" s="47" t="str">
        <x:v>weaving and finishing</x:v>
      </x:c>
      <x:c r="N177" s="47" t="str">
        <x:v>moderate</x:v>
      </x:c>
      <x:c r="O177" s="51" t="n">
        <x:v>240</x:v>
      </x:c>
      <x:c r="P177" s="51" t="n">
        <x:v>0</x:v>
      </x:c>
      <x:c r="Q177" s="47" t="str">
        <x:v>seam / abrasion / wet test</x:v>
      </x:c>
      <x:c r="R177" s="47" t="str">
        <x:v>distortion / weak edge</x:v>
      </x:c>
      <x:c r="S177" s="47" t="str"/>
      <x:c r="T177" s="47" t="str"/>
      <x:c r="U177" s="47" t="str">
        <x:v>Abstract; not a discrete item</x:v>
      </x:c>
      <x:c r="V177" s="49"/>
      <x:c r="W177" s="49"/>
    </x:row>
    <x:row r="178">
      <x:c r="A178" s="47" t="str">
        <x:v>A-FIBER-STATION</x:v>
      </x:c>
      <x:c r="B178" s="47" t="str">
        <x:v>Fiber preparation station</x:v>
      </x:c>
      <x:c r="C178" s="47" t="str">
        <x:v>Workshop</x:v>
      </x:c>
      <x:c r="D178" s="47" t="str">
        <x:v>Assembly</x:v>
      </x:c>
      <x:c r="E178" s="47" t="str">
        <x:v>H2</x:v>
      </x:c>
      <x:c r="F178" s="47" t="str">
        <x:v>Placeable/deployable assembly</x:v>
      </x:c>
      <x:c r="G178" s="47" t="str">
        <x:v>No</x:v>
      </x:c>
      <x:c r="H178" s="47" t="str">
        <x:v>Make / assemble / qualify</x:v>
      </x:c>
      <x:c r="I178" s="47" t="str">
        <x:v>W-BENCH; T-LOOM</x:v>
      </x:c>
      <x:c r="J178" s="47" t="str">
        <x:v>rack / comb / twist / gauge</x:v>
      </x:c>
      <x:c r="K178" s="47" t="str">
        <x:v>spindle / loom</x:v>
      </x:c>
      <x:c r="L178" s="47" t="str">
        <x:v>covered dry cell</x:v>
      </x:c>
      <x:c r="M178" s="47" t="str">
        <x:v>fiber workflow</x:v>
      </x:c>
      <x:c r="N178" s="47" t="str">
        <x:v>moderate</x:v>
      </x:c>
      <x:c r="O178" s="51" t="n">
        <x:v>180</x:v>
      </x:c>
      <x:c r="P178" s="51" t="n">
        <x:v>0</x:v>
      </x:c>
      <x:c r="Q178" s="47" t="str">
        <x:v>clean dry repeat work</x:v>
      </x:c>
      <x:c r="R178" s="47" t="str">
        <x:v>mold / contamination / poor ergonomics</x:v>
      </x:c>
      <x:c r="S178" s="47" t="str"/>
      <x:c r="T178" s="47" t="str"/>
      <x:c r="U178" s="47" t="str">
        <x:v>Compressed family/assembly</x:v>
      </x:c>
      <x:c r="V178" s="49"/>
      <x:c r="W178" s="49"/>
    </x:row>
    <x:row r="179">
      <x:c r="A179" s="47" t="str">
        <x:v>A-MEDICAL-TEXTILE</x:v>
      </x:c>
      <x:c r="B179" s="47" t="str">
        <x:v>Qualified clean medical textile</x:v>
      </x:c>
      <x:c r="C179" s="47" t="str">
        <x:v>Medicine</x:v>
      </x:c>
      <x:c r="D179" s="47" t="str">
        <x:v>Endpoint</x:v>
      </x:c>
      <x:c r="E179" s="47" t="str">
        <x:v>H2</x:v>
      </x:c>
      <x:c r="F179" s="47" t="str">
        <x:v>Placeable system/capability</x:v>
      </x:c>
      <x:c r="G179" s="47" t="str">
        <x:v>No</x:v>
      </x:c>
      <x:c r="H179" s="47" t="str">
        <x:v>Make / assemble / qualify</x:v>
      </x:c>
      <x:c r="I179" s="47" t="str">
        <x:v>P-CLOTH; W-CLEAN</x:v>
      </x:c>
      <x:c r="J179" s="47" t="str">
        <x:v>clean / boil where suitable / dry / store</x:v>
      </x:c>
      <x:c r="K179" s="47" t="str">
        <x:v>needle / vessel</x:v>
      </x:c>
      <x:c r="L179" s="47" t="str">
        <x:v>clean surface</x:v>
      </x:c>
      <x:c r="M179" s="47" t="str">
        <x:v>hygiene and material suitability</x:v>
      </x:c>
      <x:c r="N179" s="47" t="str">
        <x:v>light</x:v>
      </x:c>
      <x:c r="O179" s="51" t="n">
        <x:v>30</x:v>
      </x:c>
      <x:c r="P179" s="51" t="n">
        <x:v>120</x:v>
      </x:c>
      <x:c r="Q179" s="47" t="str">
        <x:v>clean dry protected lot</x:v>
      </x:c>
      <x:c r="R179" s="47" t="str">
        <x:v>lint / contamination / heat damage</x:v>
      </x:c>
      <x:c r="S179" s="47" t="str"/>
      <x:c r="T179" s="47" t="str"/>
      <x:c r="U179" s="47" t="str">
        <x:v>Governed node; variants not separated</x:v>
      </x:c>
      <x:c r="V179" s="49"/>
      <x:c r="W179" s="49"/>
    </x:row>
    <x:row r="180">
      <x:c r="A180" s="47" t="str">
        <x:v>A-NET</x:v>
      </x:c>
      <x:c r="B180" s="47" t="str">
        <x:v>Load-tested net/mesh</x:v>
      </x:c>
      <x:c r="C180" s="47" t="str">
        <x:v>Fiber</x:v>
      </x:c>
      <x:c r="D180" s="47" t="str">
        <x:v>Assembly</x:v>
      </x:c>
      <x:c r="E180" s="47" t="str">
        <x:v>H2</x:v>
      </x:c>
      <x:c r="F180" s="47" t="str">
        <x:v>Deployable/carryable assembly</x:v>
      </x:c>
      <x:c r="G180" s="47" t="str">
        <x:v>Mixed</x:v>
      </x:c>
      <x:c r="H180" s="47" t="str">
        <x:v>Recover / repair / qualify</x:v>
      </x:c>
      <x:c r="I180" s="47" t="str">
        <x:v>P-CORD; A-FIBER-STATION</x:v>
      </x:c>
      <x:c r="J180" s="47" t="str">
        <x:v>knot / gauge / edge / repair</x:v>
      </x:c>
      <x:c r="K180" s="47" t="str">
        <x:v>needle / gauge</x:v>
      </x:c>
      <x:c r="L180" s="47" t="str">
        <x:v>fiber station</x:v>
      </x:c>
      <x:c r="M180" s="47" t="str">
        <x:v>mesh geometry and load</x:v>
      </x:c>
      <x:c r="N180" s="47" t="str">
        <x:v>moderate</x:v>
      </x:c>
      <x:c r="O180" s="51" t="n">
        <x:v>180</x:v>
      </x:c>
      <x:c r="P180" s="51" t="n">
        <x:v>0</x:v>
      </x:c>
      <x:c r="Q180" s="47" t="str">
        <x:v>mesh / edge / wet-load test</x:v>
      </x:c>
      <x:c r="R180" s="47" t="str">
        <x:v>weak knot / ghost gear</x:v>
      </x:c>
      <x:c r="S180" s="47" t="str"/>
      <x:c r="T180" s="47" t="str"/>
      <x:c r="U180" s="47" t="str">
        <x:v>Compressed family/assembly</x:v>
      </x:c>
      <x:c r="V180" s="49"/>
      <x:c r="W180" s="49"/>
    </x:row>
    <x:row r="181">
      <x:c r="A181" s="47" t="str">
        <x:v>A-BOWSTRING</x:v>
      </x:c>
      <x:c r="B181" s="47" t="str">
        <x:v>Qualified bowstring</x:v>
      </x:c>
      <x:c r="C181" s="47" t="str">
        <x:v>Weapons</x:v>
      </x:c>
      <x:c r="D181" s="47" t="str">
        <x:v>Assembly</x:v>
      </x:c>
      <x:c r="E181" s="47" t="str">
        <x:v>H2</x:v>
      </x:c>
      <x:c r="F181" s="47" t="str">
        <x:v>Weapon component</x:v>
      </x:c>
      <x:c r="G181" s="47" t="str">
        <x:v>Yes</x:v>
      </x:c>
      <x:c r="H181" s="47" t="str">
        <x:v>Make / assemble / qualify</x:v>
      </x:c>
      <x:c r="I181" s="47" t="str">
        <x:v>P-GRADED-FIBER; T-SPINDLE</x:v>
      </x:c>
      <x:c r="J181" s="47" t="str">
        <x:v>spin / ply / loop / proof</x:v>
      </x:c>
      <x:c r="K181" s="47" t="str">
        <x:v>spindle</x:v>
      </x:c>
      <x:c r="L181" s="47" t="str">
        <x:v>dry fiber cell</x:v>
      </x:c>
      <x:c r="M181" s="47" t="str">
        <x:v>fiber and stored energy</x:v>
      </x:c>
      <x:c r="N181" s="47" t="str">
        <x:v>light</x:v>
      </x:c>
      <x:c r="O181" s="51" t="n">
        <x:v>60</x:v>
      </x:c>
      <x:c r="P181" s="51" t="n">
        <x:v>0</x:v>
      </x:c>
      <x:c r="Q181" s="47" t="str">
        <x:v>creep / break / abrasion test</x:v>
      </x:c>
      <x:c r="R181" s="47" t="str">
        <x:v>snap / limb damage</x:v>
      </x:c>
      <x:c r="S181" s="47" t="str">
        <x:v>Weapon component</x:v>
      </x:c>
      <x:c r="T181" s="47" t="str"/>
      <x:c r="U181" s="47" t="str">
        <x:v>Governed node; variants not separated</x:v>
      </x:c>
      <x:c r="V181" s="49"/>
      <x:c r="W181" s="49"/>
    </x:row>
    <x:row r="182">
      <x:c r="A182" s="47" t="str">
        <x:v>P-ALLOY-SORT</x:v>
      </x:c>
      <x:c r="B182" s="47" t="str">
        <x:v>Sorted qualified metal stock</x:v>
      </x:c>
      <x:c r="C182" s="47" t="str">
        <x:v>Metal</x:v>
      </x:c>
      <x:c r="D182" s="47" t="str">
        <x:v>Process</x:v>
      </x:c>
      <x:c r="E182" s="47" t="str">
        <x:v>H2</x:v>
      </x:c>
      <x:c r="F182" s="47" t="str">
        <x:v>Process output (family)</x:v>
      </x:c>
      <x:c r="G182" s="47" t="str">
        <x:v>No</x:v>
      </x:c>
      <x:c r="H182" s="47" t="str">
        <x:v>Make / assemble / qualify</x:v>
      </x:c>
      <x:c r="I182" s="47" t="str">
        <x:v>S-MIXED-SCRAP; T-FILE</x:v>
      </x:c>
      <x:c r="J182" s="47" t="str">
        <x:v>clean / identify / coupon test</x:v>
      </x:c>
      <x:c r="K182" s="47" t="str">
        <x:v>file / magnet / measure</x:v>
      </x:c>
      <x:c r="L182" s="47" t="str">
        <x:v>salvage yard</x:v>
      </x:c>
      <x:c r="M182" s="47" t="str">
        <x:v>alloy and contamination evidence</x:v>
      </x:c>
      <x:c r="N182" s="47" t="str">
        <x:v>moderate</x:v>
      </x:c>
      <x:c r="O182" s="51" t="n">
        <x:v>45</x:v>
      </x:c>
      <x:c r="P182" s="51" t="n">
        <x:v>0</x:v>
      </x:c>
      <x:c r="Q182" s="47" t="str">
        <x:v>separated labeled stock</x:v>
      </x:c>
      <x:c r="R182" s="47" t="str">
        <x:v>mixed alloy / lost form</x:v>
      </x:c>
      <x:c r="S182" s="47" t="str"/>
      <x:c r="T182" s="47" t="str"/>
      <x:c r="U182" s="47" t="str">
        <x:v>Abstract; not a discrete item</x:v>
      </x:c>
      <x:c r="V182" s="49"/>
      <x:c r="W182" s="49"/>
    </x:row>
    <x:row r="183">
      <x:c r="A183" s="47" t="str">
        <x:v>P-ORE-CONC</x:v>
      </x:c>
      <x:c r="B183" s="47" t="str">
        <x:v>Ore concentrate/test batch</x:v>
      </x:c>
      <x:c r="C183" s="47" t="str">
        <x:v>Metal</x:v>
      </x:c>
      <x:c r="D183" s="47" t="str">
        <x:v>Process</x:v>
      </x:c>
      <x:c r="E183" s="47" t="str">
        <x:v>H4</x:v>
      </x:c>
      <x:c r="F183" s="47" t="str">
        <x:v>Process output (family)</x:v>
      </x:c>
      <x:c r="G183" s="47" t="str">
        <x:v>No</x:v>
      </x:c>
      <x:c r="H183" s="47" t="str">
        <x:v>Make / assemble / qualify</x:v>
      </x:c>
      <x:c r="I183" s="47" t="str">
        <x:v>S-ORE; T-HAMMER</x:v>
      </x:c>
      <x:c r="J183" s="47" t="str">
        <x:v>crush / grade / concentrate</x:v>
      </x:c>
      <x:c r="K183" s="47" t="str">
        <x:v>hammer / sieve</x:v>
      </x:c>
      <x:c r="L183" s="47" t="str">
        <x:v>ore yard</x:v>
      </x:c>
      <x:c r="M183" s="47" t="str">
        <x:v>geology and beneficiation</x:v>
      </x:c>
      <x:c r="N183" s="47" t="str">
        <x:v>high</x:v>
      </x:c>
      <x:c r="O183" s="51" t="n">
        <x:v>180</x:v>
      </x:c>
      <x:c r="P183" s="51" t="n">
        <x:v>0</x:v>
      </x:c>
      <x:c r="Q183" s="47" t="str">
        <x:v>reduction sample</x:v>
      </x:c>
      <x:c r="R183" s="47" t="str">
        <x:v>waste rock / contamination</x:v>
      </x:c>
      <x:c r="S183" s="47" t="str"/>
      <x:c r="T183" s="47" t="str"/>
      <x:c r="U183" s="47" t="str">
        <x:v>Abstract; not a discrete item</x:v>
      </x:c>
      <x:c r="V183" s="49"/>
      <x:c r="W183" s="49"/>
    </x:row>
    <x:row r="184">
      <x:c r="A184" s="47" t="str">
        <x:v>P-BILLET</x:v>
      </x:c>
      <x:c r="B184" s="47" t="str">
        <x:v>Recycled metal billet</x:v>
      </x:c>
      <x:c r="C184" s="47" t="str">
        <x:v>Metal</x:v>
      </x:c>
      <x:c r="D184" s="47" t="str">
        <x:v>Endpoint</x:v>
      </x:c>
      <x:c r="E184" s="47" t="str">
        <x:v>H4</x:v>
      </x:c>
      <x:c r="F184" s="47" t="str">
        <x:v>Placeable system/capability</x:v>
      </x:c>
      <x:c r="G184" s="47" t="str">
        <x:v>No</x:v>
      </x:c>
      <x:c r="H184" s="47" t="str">
        <x:v>Make / assemble / qualify</x:v>
      </x:c>
      <x:c r="I184" s="47" t="str">
        <x:v>P-ALLOY-SORT; W-FORGE</x:v>
      </x:c>
      <x:c r="J184" s="47" t="str">
        <x:v>melt / cast / cool / inspect</x:v>
      </x:c>
      <x:c r="K184" s="47" t="str">
        <x:v>crucible / tongs</x:v>
      </x:c>
      <x:c r="L184" s="47" t="str">
        <x:v>forge/casting cell</x:v>
      </x:c>
      <x:c r="M184" s="47" t="str">
        <x:v>alloy / mold / thermal control</x:v>
      </x:c>
      <x:c r="N184" s="47" t="str">
        <x:v>high heat</x:v>
      </x:c>
      <x:c r="O184" s="51" t="n">
        <x:v>120</x:v>
      </x:c>
      <x:c r="P184" s="51" t="n">
        <x:v>120</x:v>
      </x:c>
      <x:c r="Q184" s="47" t="str">
        <x:v>sound coupon and work response</x:v>
      </x:c>
      <x:c r="R184" s="47" t="str">
        <x:v>porosity / brittle mix / burn</x:v>
      </x:c>
      <x:c r="S184" s="47" t="str"/>
      <x:c r="T184" s="47" t="str"/>
      <x:c r="U184" s="47" t="str">
        <x:v>Governed node; variants not separated</x:v>
      </x:c>
      <x:c r="V184" s="49"/>
      <x:c r="W184" s="49"/>
    </x:row>
    <x:row r="185">
      <x:c r="A185" s="47" t="str">
        <x:v>P-SMELTED-METAL</x:v>
      </x:c>
      <x:c r="B185" s="47" t="str">
        <x:v>Smelted ore metal/bloom</x:v>
      </x:c>
      <x:c r="C185" s="47" t="str">
        <x:v>Metal</x:v>
      </x:c>
      <x:c r="D185" s="47" t="str">
        <x:v>Endpoint</x:v>
      </x:c>
      <x:c r="E185" s="47" t="str">
        <x:v>H5</x:v>
      </x:c>
      <x:c r="F185" s="47" t="str">
        <x:v>Placeable system/capability</x:v>
      </x:c>
      <x:c r="G185" s="47" t="str">
        <x:v>No</x:v>
      </x:c>
      <x:c r="H185" s="47" t="str">
        <x:v>Make / assemble / qualify</x:v>
      </x:c>
      <x:c r="I185" s="47" t="str">
        <x:v>P-ORE-CONC; W-FORGE</x:v>
      </x:c>
      <x:c r="J185" s="47" t="str">
        <x:v>reduce / separate / consolidate</x:v>
      </x:c>
      <x:c r="K185" s="47" t="str">
        <x:v>forge tools</x:v>
      </x:c>
      <x:c r="L185" s="47" t="str">
        <x:v>smelter/forge</x:v>
      </x:c>
      <x:c r="M185" s="47" t="str">
        <x:v>ore / refractory / chemistry</x:v>
      </x:c>
      <x:c r="N185" s="47" t="str">
        <x:v>very high heat</x:v>
      </x:c>
      <x:c r="O185" s="51" t="n">
        <x:v>360</x:v>
      </x:c>
      <x:c r="P185" s="51" t="n">
        <x:v>240</x:v>
      </x:c>
      <x:c r="Q185" s="47" t="str">
        <x:v>metal yield and defect evidence</x:v>
      </x:c>
      <x:c r="R185" s="47" t="str">
        <x:v>slag / no reduction / fire</x:v>
      </x:c>
      <x:c r="S185" s="47" t="str"/>
      <x:c r="T185" s="47" t="str"/>
      <x:c r="U185" s="47" t="str">
        <x:v>Compressed family/assembly</x:v>
      </x:c>
      <x:c r="V185" s="49"/>
      <x:c r="W185" s="49"/>
    </x:row>
    <x:row r="186">
      <x:c r="A186" s="47" t="str">
        <x:v>W-PRECISION</x:v>
      </x:c>
      <x:c r="B186" s="47" t="str">
        <x:v>Held and measured precision bench</x:v>
      </x:c>
      <x:c r="C186" s="47" t="str">
        <x:v>Workshop</x:v>
      </x:c>
      <x:c r="D186" s="47" t="str">
        <x:v>Workspace</x:v>
      </x:c>
      <x:c r="E186" s="47" t="str">
        <x:v>H3</x:v>
      </x:c>
      <x:c r="F186" s="47" t="str">
        <x:v>Placeable workspace</x:v>
      </x:c>
      <x:c r="G186" s="47" t="str">
        <x:v>No</x:v>
      </x:c>
      <x:c r="H186" s="47" t="str">
        <x:v>Make / assemble / qualify</x:v>
      </x:c>
      <x:c r="I186" s="47" t="str">
        <x:v>W-BENCH; T-CLAMP</x:v>
      </x:c>
      <x:c r="J186" s="47" t="str">
        <x:v>clamp / align / measure / compare</x:v>
      </x:c>
      <x:c r="K186" s="47" t="str">
        <x:v>clamp / measure</x:v>
      </x:c>
      <x:c r="L186" s="47" t="str">
        <x:v>dry shop</x:v>
      </x:c>
      <x:c r="M186" s="47" t="str">
        <x:v>layout and workholding</x:v>
      </x:c>
      <x:c r="N186" s="47" t="str">
        <x:v>moderate</x:v>
      </x:c>
      <x:c r="O186" s="51" t="n">
        <x:v>180</x:v>
      </x:c>
      <x:c r="P186" s="51" t="n">
        <x:v>0</x:v>
      </x:c>
      <x:c r="Q186" s="47" t="str">
        <x:v>repeatable fit sample</x:v>
      </x:c>
      <x:c r="R186" s="47" t="str">
        <x:v>misalignment / crushed part</x:v>
      </x:c>
      <x:c r="S186" s="47" t="str"/>
      <x:c r="T186" s="47" t="str"/>
      <x:c r="U186" s="47" t="str">
        <x:v>Governed node; variants not separated</x:v>
      </x:c>
      <x:c r="V186" s="49"/>
      <x:c r="W186" s="49"/>
    </x:row>
    <x:row r="187">
      <x:c r="A187" s="47" t="str">
        <x:v>A-PARTS-CATALOG</x:v>
      </x:c>
      <x:c r="B187" s="47" t="str">
        <x:v>Parts and compatibility catalog</x:v>
      </x:c>
      <x:c r="C187" s="47" t="str">
        <x:v>Salvage</x:v>
      </x:c>
      <x:c r="D187" s="47" t="str">
        <x:v>Endpoint</x:v>
      </x:c>
      <x:c r="E187" s="47" t="str">
        <x:v>H2</x:v>
      </x:c>
      <x:c r="F187" s="47" t="str">
        <x:v>Placeable system/capability</x:v>
      </x:c>
      <x:c r="G187" s="47" t="str">
        <x:v>No</x:v>
      </x:c>
      <x:c r="H187" s="47" t="str">
        <x:v>Make / assemble / qualify</x:v>
      </x:c>
      <x:c r="I187" s="47" t="str">
        <x:v>W-ARCHIVE; S-MANUAL</x:v>
      </x:c>
      <x:c r="J187" s="47" t="str">
        <x:v>identify / label / cross-reference</x:v>
      </x:c>
      <x:c r="K187" s="47" t="str">
        <x:v>journal / measure</x:v>
      </x:c>
      <x:c r="L187" s="47" t="str">
        <x:v>archive</x:v>
      </x:c>
      <x:c r="M187" s="47" t="str">
        <x:v>systems and provenance</x:v>
      </x:c>
      <x:c r="N187" s="47" t="str">
        <x:v>light</x:v>
      </x:c>
      <x:c r="O187" s="51" t="n">
        <x:v>60</x:v>
      </x:c>
      <x:c r="P187" s="51" t="n">
        <x:v>0</x:v>
      </x:c>
      <x:c r="Q187" s="47" t="str">
        <x:v>part retrieved and matched later</x:v>
      </x:c>
      <x:c r="R187" s="47" t="str">
        <x:v>mislabel / false compatibility</x:v>
      </x:c>
      <x:c r="S187" s="47" t="str"/>
      <x:c r="T187" s="47" t="str"/>
      <x:c r="U187" s="47" t="str">
        <x:v>Governed node; variants not separated</x:v>
      </x:c>
      <x:c r="V187" s="49"/>
      <x:c r="W187" s="49"/>
    </x:row>
    <x:row r="188">
      <x:c r="A188" s="47" t="str">
        <x:v>A-SALVAGE-YARD</x:v>
      </x:c>
      <x:c r="B188" s="47" t="str">
        <x:v>Covered salvage sorting yard</x:v>
      </x:c>
      <x:c r="C188" s="47" t="str">
        <x:v>Salvage</x:v>
      </x:c>
      <x:c r="D188" s="47" t="str">
        <x:v>Assembly</x:v>
      </x:c>
      <x:c r="E188" s="47" t="str">
        <x:v>H2</x:v>
      </x:c>
      <x:c r="F188" s="47" t="str">
        <x:v>Placeable/deployable assembly</x:v>
      </x:c>
      <x:c r="G188" s="47" t="str">
        <x:v>No</x:v>
      </x:c>
      <x:c r="H188" s="47" t="str">
        <x:v>Make / assemble / qualify</x:v>
      </x:c>
      <x:c r="I188" s="47" t="str">
        <x:v>A-COVERED-STORE; A-ROOF</x:v>
      </x:c>
      <x:c r="J188" s="47" t="str">
        <x:v>zone / drain / rack / label</x:v>
      </x:c>
      <x:c r="K188" s="47" t="str">
        <x:v>shelter tools</x:v>
      </x:c>
      <x:c r="L188" s="47" t="str">
        <x:v>home edge</x:v>
      </x:c>
      <x:c r="M188" s="47" t="str">
        <x:v>hazard separation and logistics</x:v>
      </x:c>
      <x:c r="N188" s="47" t="str">
        <x:v>high</x:v>
      </x:c>
      <x:c r="O188" s="51" t="n">
        <x:v>360</x:v>
      </x:c>
      <x:c r="P188" s="51" t="n">
        <x:v>0</x:v>
      </x:c>
      <x:c r="Q188" s="47" t="str">
        <x:v>clean/hazard routes remain separated</x:v>
      </x:c>
      <x:c r="R188" s="47" t="str">
        <x:v>hoard / runoff / fire</x:v>
      </x:c>
      <x:c r="S188" s="47" t="str"/>
      <x:c r="T188" s="47" t="str"/>
      <x:c r="U188" s="47" t="str">
        <x:v>Governed node; variants not separated</x:v>
      </x:c>
      <x:c r="V188" s="49"/>
      <x:c r="W188" s="49"/>
    </x:row>
    <x:row r="189">
      <x:c r="A189" s="47" t="str">
        <x:v>A-QUARANTINE</x:v>
      </x:c>
      <x:c r="B189" s="47" t="str">
        <x:v>Salvage quarantine bay</x:v>
      </x:c>
      <x:c r="C189" s="47" t="str">
        <x:v>Salvage</x:v>
      </x:c>
      <x:c r="D189" s="47" t="str">
        <x:v>Endpoint</x:v>
      </x:c>
      <x:c r="E189" s="47" t="str">
        <x:v>H2</x:v>
      </x:c>
      <x:c r="F189" s="47" t="str">
        <x:v>Placeable system/capability</x:v>
      </x:c>
      <x:c r="G189" s="47" t="str">
        <x:v>No</x:v>
      </x:c>
      <x:c r="H189" s="47" t="str">
        <x:v>Make / assemble / qualify</x:v>
      </x:c>
      <x:c r="I189" s="47" t="str">
        <x:v>A-ROOF; W-CLEAN</x:v>
      </x:c>
      <x:c r="J189" s="47" t="str">
        <x:v>isolate / clean / observe</x:v>
      </x:c>
      <x:c r="K189" s="47" t="str">
        <x:v>containers / gloves route</x:v>
      </x:c>
      <x:c r="L189" s="47" t="str">
        <x:v>drained covered bay</x:v>
      </x:c>
      <x:c r="M189" s="47" t="str">
        <x:v>contamination control</x:v>
      </x:c>
      <x:c r="N189" s="47" t="str">
        <x:v>moderate</x:v>
      </x:c>
      <x:c r="O189" s="51" t="n">
        <x:v>120</x:v>
      </x:c>
      <x:c r="P189" s="51" t="n">
        <x:v>240</x:v>
      </x:c>
      <x:c r="Q189" s="47" t="str">
        <x:v>no cross-contamination</x:v>
      </x:c>
      <x:c r="R189" s="47" t="str">
        <x:v>home/source contamination</x:v>
      </x:c>
      <x:c r="S189" s="47" t="str"/>
      <x:c r="T189" s="47" t="str"/>
      <x:c r="U189" s="47" t="str">
        <x:v>Governed node; variants not separated</x:v>
      </x:c>
      <x:c r="V189" s="49"/>
      <x:c r="W189" s="49"/>
    </x:row>
    <x:row r="190">
      <x:c r="A190" s="47" t="str">
        <x:v>A-WASTE-CONTROL</x:v>
      </x:c>
      <x:c r="B190" s="47" t="str">
        <x:v>Waste routing and containment</x:v>
      </x:c>
      <x:c r="C190" s="47" t="str">
        <x:v>Salvage</x:v>
      </x:c>
      <x:c r="D190" s="47" t="str">
        <x:v>Endpoint</x:v>
      </x:c>
      <x:c r="E190" s="47" t="str">
        <x:v>H2</x:v>
      </x:c>
      <x:c r="F190" s="47" t="str">
        <x:v>Placeable system/capability</x:v>
      </x:c>
      <x:c r="G190" s="47" t="str">
        <x:v>No</x:v>
      </x:c>
      <x:c r="H190" s="47" t="str">
        <x:v>Recover / repair / qualify</x:v>
      </x:c>
      <x:c r="I190" s="47" t="str">
        <x:v>A-SALVAGE-YARD; A-LATRINE</x:v>
      </x:c>
      <x:c r="J190" s="47" t="str">
        <x:v>reuse / recover / contain / dispose</x:v>
      </x:c>
      <x:c r="K190" s="47" t="str">
        <x:v>sorting/handling</x:v>
      </x:c>
      <x:c r="L190" s="47" t="str">
        <x:v>yard/latrine edge</x:v>
      </x:c>
      <x:c r="M190" s="47" t="str">
        <x:v>hazard and ecology</x:v>
      </x:c>
      <x:c r="N190" s="47" t="str">
        <x:v>moderate</x:v>
      </x:c>
      <x:c r="O190" s="51" t="n">
        <x:v>120</x:v>
      </x:c>
      <x:c r="P190" s="51" t="n">
        <x:v>0</x:v>
      </x:c>
      <x:c r="Q190" s="47" t="str">
        <x:v>mass accounted and protected</x:v>
      </x:c>
      <x:c r="R190" s="47" t="str">
        <x:v>leak / fire / clutter</x:v>
      </x:c>
      <x:c r="S190" s="47" t="str"/>
      <x:c r="T190" s="47" t="str"/>
      <x:c r="U190" s="47" t="str">
        <x:v>Governed node; variants not separated</x:v>
      </x:c>
      <x:c r="V190" s="49"/>
      <x:c r="W190" s="49"/>
    </x:row>
    <x:row r="191">
      <x:c r="A191" s="47" t="str">
        <x:v>A-BURIED-RECOVERY</x:v>
      </x:c>
      <x:c r="B191" s="47" t="str">
        <x:v>Buried salvage recovery operation</x:v>
      </x:c>
      <x:c r="C191" s="47" t="str">
        <x:v>Salvage</x:v>
      </x:c>
      <x:c r="D191" s="47" t="str">
        <x:v>Endpoint</x:v>
      </x:c>
      <x:c r="E191" s="47" t="str">
        <x:v>H2</x:v>
      </x:c>
      <x:c r="F191" s="47" t="str">
        <x:v>Placeable system/capability</x:v>
      </x:c>
      <x:c r="G191" s="47" t="str">
        <x:v>No</x:v>
      </x:c>
      <x:c r="H191" s="47" t="str">
        <x:v>Recover / repair / qualify</x:v>
      </x:c>
      <x:c r="I191" s="47" t="str">
        <x:v>T-SHOVEL; T-PRY</x:v>
      </x:c>
      <x:c r="J191" s="47" t="str">
        <x:v>excavate / brace / lever / recover</x:v>
      </x:c>
      <x:c r="K191" s="47" t="str">
        <x:v>shovel / pry</x:v>
      </x:c>
      <x:c r="L191" s="47" t="str">
        <x:v>beach excavation</x:v>
      </x:c>
      <x:c r="M191" s="47" t="str">
        <x:v>earthwork and load control</x:v>
      </x:c>
      <x:c r="N191" s="47" t="str">
        <x:v>high</x:v>
      </x:c>
      <x:c r="O191" s="51" t="n">
        <x:v>120</x:v>
      </x:c>
      <x:c r="P191" s="51" t="n">
        <x:v>0</x:v>
      </x:c>
      <x:c r="Q191" s="47" t="str">
        <x:v>recovered without collapse/damage</x:v>
      </x:c>
      <x:c r="R191" s="47" t="str">
        <x:v>collapse / crush / tide loss</x:v>
      </x:c>
      <x:c r="S191" s="47" t="str"/>
      <x:c r="T191" s="47" t="str"/>
      <x:c r="U191" s="47" t="str">
        <x:v>Compressed family/assembly</x:v>
      </x:c>
      <x:c r="V191" s="49"/>
      <x:c r="W191" s="49"/>
    </x:row>
    <x:row r="192">
      <x:c r="A192" s="47" t="str">
        <x:v>A-STOVE</x:v>
      </x:c>
      <x:c r="B192" s="47" t="str">
        <x:v>Efficient enclosed stove</x:v>
      </x:c>
      <x:c r="C192" s="47" t="str">
        <x:v>Fire</x:v>
      </x:c>
      <x:c r="D192" s="47" t="str">
        <x:v>Assembly</x:v>
      </x:c>
      <x:c r="E192" s="47" t="str">
        <x:v>H3</x:v>
      </x:c>
      <x:c r="F192" s="47" t="str">
        <x:v>Placeable/deployable assembly</x:v>
      </x:c>
      <x:c r="G192" s="47" t="str">
        <x:v>No</x:v>
      </x:c>
      <x:c r="H192" s="47" t="str">
        <x:v>Make / assemble / qualify</x:v>
      </x:c>
      <x:c r="I192" s="47" t="str">
        <x:v>W-HEARTH; P-FIRED-CERAMIC</x:v>
      </x:c>
      <x:c r="J192" s="47" t="str">
        <x:v>build / draft / burn / clean</x:v>
      </x:c>
      <x:c r="K192" s="47" t="str">
        <x:v>masonry/ceramic tools</x:v>
      </x:c>
      <x:c r="L192" s="47" t="str">
        <x:v>fire-separated home edge</x:v>
      </x:c>
      <x:c r="M192" s="47" t="str">
        <x:v>combustion and smoke</x:v>
      </x:c>
      <x:c r="N192" s="47" t="str">
        <x:v>high</x:v>
      </x:c>
      <x:c r="O192" s="51" t="n">
        <x:v>300</x:v>
      </x:c>
      <x:c r="P192" s="51" t="n">
        <x:v>60</x:v>
      </x:c>
      <x:c r="Q192" s="47" t="str">
        <x:v>controlled burn and safe exhaust</x:v>
      </x:c>
      <x:c r="R192" s="47" t="str">
        <x:v>CO/smoke / fire / poor draft</x:v>
      </x:c>
      <x:c r="S192" s="47" t="str"/>
      <x:c r="T192" s="47" t="str"/>
      <x:c r="U192" s="47" t="str">
        <x:v>Governed node; variants not separated</x:v>
      </x:c>
      <x:c r="V192" s="49"/>
      <x:c r="W192" s="49"/>
    </x:row>
    <x:row r="193">
      <x:c r="A193" s="47" t="str">
        <x:v>A-OVEN</x:v>
      </x:c>
      <x:c r="B193" s="47" t="str">
        <x:v>Thermal-mass oven</x:v>
      </x:c>
      <x:c r="C193" s="47" t="str">
        <x:v>Fire</x:v>
      </x:c>
      <x:c r="D193" s="47" t="str">
        <x:v>Endpoint</x:v>
      </x:c>
      <x:c r="E193" s="47" t="str">
        <x:v>H3</x:v>
      </x:c>
      <x:c r="F193" s="47" t="str">
        <x:v>Placeable system/capability</x:v>
      </x:c>
      <x:c r="G193" s="47" t="str">
        <x:v>No</x:v>
      </x:c>
      <x:c r="H193" s="47" t="str">
        <x:v>Make / assemble / qualify</x:v>
      </x:c>
      <x:c r="I193" s="47" t="str">
        <x:v>A-STOVE; P-FIRED-CERAMIC</x:v>
      </x:c>
      <x:c r="J193" s="47" t="str">
        <x:v>preheat / bake / cool / inspect</x:v>
      </x:c>
      <x:c r="K193" s="47" t="str">
        <x:v>stove tools</x:v>
      </x:c>
      <x:c r="L193" s="47" t="str">
        <x:v>fire cell</x:v>
      </x:c>
      <x:c r="M193" s="47" t="str">
        <x:v>residual heat and food</x:v>
      </x:c>
      <x:c r="N193" s="47" t="str">
        <x:v>moderate heat</x:v>
      </x:c>
      <x:c r="O193" s="51" t="n">
        <x:v>240</x:v>
      </x:c>
      <x:c r="P193" s="51" t="n">
        <x:v>120</x:v>
      </x:c>
      <x:c r="Q193" s="47" t="str">
        <x:v>repeatable temperature curve</x:v>
      </x:c>
      <x:c r="R193" s="47" t="str">
        <x:v>crack / undercook / fire</x:v>
      </x:c>
      <x:c r="S193" s="47" t="str"/>
      <x:c r="T193" s="47" t="str"/>
      <x:c r="U193" s="47" t="str">
        <x:v>Governed node; variants not separated</x:v>
      </x:c>
      <x:c r="V193" s="49"/>
      <x:c r="W193" s="49"/>
    </x:row>
    <x:row r="194">
      <x:c r="A194" s="47" t="str">
        <x:v>A-OPEN-STEAM</x:v>
      </x:c>
      <x:c r="B194" s="47" t="str">
        <x:v>Open-steam process station</x:v>
      </x:c>
      <x:c r="C194" s="47" t="str">
        <x:v>Fire</x:v>
      </x:c>
      <x:c r="D194" s="47" t="str">
        <x:v>Endpoint</x:v>
      </x:c>
      <x:c r="E194" s="47" t="str">
        <x:v>H4</x:v>
      </x:c>
      <x:c r="F194" s="47" t="str">
        <x:v>Placeable system/capability</x:v>
      </x:c>
      <x:c r="G194" s="47" t="str">
        <x:v>No</x:v>
      </x:c>
      <x:c r="H194" s="47" t="str">
        <x:v>Make / assemble / qualify</x:v>
      </x:c>
      <x:c r="I194" s="47" t="str">
        <x:v>C-FOUND-PAN; A-PIPE</x:v>
      </x:c>
      <x:c r="J194" s="47" t="str">
        <x:v>heat / vapor route / condense / drain</x:v>
      </x:c>
      <x:c r="K194" s="47" t="str">
        <x:v>vessel / pipe</x:v>
      </x:c>
      <x:c r="L194" s="47" t="str">
        <x:v>ventilated process cell</x:v>
      </x:c>
      <x:c r="M194" s="47" t="str">
        <x:v>steam/scald and materials</x:v>
      </x:c>
      <x:c r="N194" s="47" t="str">
        <x:v>high heat</x:v>
      </x:c>
      <x:c r="O194" s="51" t="n">
        <x:v>120</x:v>
      </x:c>
      <x:c r="P194" s="51" t="n">
        <x:v>60</x:v>
      </x:c>
      <x:c r="Q194" s="47" t="str">
        <x:v>stable non-pressurized flow</x:v>
      </x:c>
      <x:c r="R194" s="47" t="str">
        <x:v>scald / leak / contamination</x:v>
      </x:c>
      <x:c r="S194" s="47" t="str"/>
      <x:c r="T194" s="47" t="str">
        <x:v>Core steam chain</x:v>
      </x:c>
      <x:c r="U194" s="47" t="str">
        <x:v>Named; requires component decomposition</x:v>
      </x:c>
      <x:c r="V194" s="49"/>
      <x:c r="W194" s="49"/>
    </x:row>
    <x:row r="195">
      <x:c r="A195" s="47" t="str">
        <x:v>A-PRESSURE-CONTROL</x:v>
      </x:c>
      <x:c r="B195" s="47" t="str">
        <x:v>Pressure relief and control set</x:v>
      </x:c>
      <x:c r="C195" s="47" t="str">
        <x:v>Power</x:v>
      </x:c>
      <x:c r="D195" s="47" t="str">
        <x:v>Assembly</x:v>
      </x:c>
      <x:c r="E195" s="47" t="str">
        <x:v>H5</x:v>
      </x:c>
      <x:c r="F195" s="47" t="str">
        <x:v>Placeable/deployable assembly</x:v>
      </x:c>
      <x:c r="G195" s="47" t="str">
        <x:v>No</x:v>
      </x:c>
      <x:c r="H195" s="47" t="str">
        <x:v>Make / assemble / qualify</x:v>
      </x:c>
      <x:c r="I195" s="47" t="str">
        <x:v>A-VALVE; T-METER</x:v>
      </x:c>
      <x:c r="J195" s="47" t="str">
        <x:v>install / calibrate / test / isolate</x:v>
      </x:c>
      <x:c r="K195" s="47" t="str">
        <x:v>meter / valve tools</x:v>
      </x:c>
      <x:c r="L195" s="47" t="str">
        <x:v>precision bench</x:v>
      </x:c>
      <x:c r="M195" s="47" t="str">
        <x:v>pressure systems</x:v>
      </x:c>
      <x:c r="N195" s="47" t="str">
        <x:v>moderate</x:v>
      </x:c>
      <x:c r="O195" s="51" t="n">
        <x:v>240</x:v>
      </x:c>
      <x:c r="P195" s="51" t="n">
        <x:v>0</x:v>
      </x:c>
      <x:c r="Q195" s="47" t="str">
        <x:v>safe relief/control test</x:v>
      </x:c>
      <x:c r="R195" s="47" t="str">
        <x:v>overpressure / false gauge</x:v>
      </x:c>
      <x:c r="S195" s="47" t="str"/>
      <x:c r="T195" s="47" t="str">
        <x:v>Core steam chain</x:v>
      </x:c>
      <x:c r="U195" s="47" t="str">
        <x:v>Named; requires component decomposition</x:v>
      </x:c>
      <x:c r="V195" s="49"/>
      <x:c r="W195" s="49"/>
    </x:row>
    <x:row r="196">
      <x:c r="A196" s="47" t="str">
        <x:v>A-PRESSURE-BOILER</x:v>
      </x:c>
      <x:c r="B196" s="47" t="str">
        <x:v>Qualified pressure boiler</x:v>
      </x:c>
      <x:c r="C196" s="47" t="str">
        <x:v>Power</x:v>
      </x:c>
      <x:c r="D196" s="47" t="str">
        <x:v>Assembly</x:v>
      </x:c>
      <x:c r="E196" s="47" t="str">
        <x:v>H6</x:v>
      </x:c>
      <x:c r="F196" s="47" t="str">
        <x:v>Placeable/deployable assembly</x:v>
      </x:c>
      <x:c r="G196" s="47" t="str">
        <x:v>No</x:v>
      </x:c>
      <x:c r="H196" s="47" t="str">
        <x:v>Make / assemble / qualify</x:v>
      </x:c>
      <x:c r="I196" s="47" t="str">
        <x:v>P-METAL-STOCK; A-PRESSURE-CONTROL</x:v>
      </x:c>
      <x:c r="J196" s="47" t="str">
        <x:v>inspect / assemble / hydrotest / fire</x:v>
      </x:c>
      <x:c r="K196" s="47" t="str">
        <x:v>metal/pressure tools</x:v>
      </x:c>
      <x:c r="L196" s="47" t="str">
        <x:v>separate power house</x:v>
      </x:c>
      <x:c r="M196" s="47" t="str">
        <x:v>boiler integrity and feedwater</x:v>
      </x:c>
      <x:c r="N196" s="47" t="str">
        <x:v>high</x:v>
      </x:c>
      <x:c r="O196" s="51" t="n">
        <x:v>960</x:v>
      </x:c>
      <x:c r="P196" s="51" t="n">
        <x:v>480</x:v>
      </x:c>
      <x:c r="Q196" s="47" t="str">
        <x:v>qualified boundary and shutdown</x:v>
      </x:c>
      <x:c r="R196" s="47" t="str">
        <x:v>rupture / leak / scale</x:v>
      </x:c>
      <x:c r="S196" s="47" t="str"/>
      <x:c r="T196" s="47" t="str">
        <x:v>Core steam chain</x:v>
      </x:c>
      <x:c r="U196" s="47" t="str">
        <x:v>Named; requires component decomposition</x:v>
      </x:c>
      <x:c r="V196" s="49"/>
      <x:c r="W196" s="49"/>
    </x:row>
    <x:row r="197">
      <x:c r="A197" s="47" t="str">
        <x:v>A-STEAM-ENGINE</x:v>
      </x:c>
      <x:c r="B197" s="47" t="str">
        <x:v>Steam prime mover</x:v>
      </x:c>
      <x:c r="C197" s="47" t="str">
        <x:v>Power</x:v>
      </x:c>
      <x:c r="D197" s="47" t="str">
        <x:v>Assembly</x:v>
      </x:c>
      <x:c r="E197" s="47" t="str">
        <x:v>H6</x:v>
      </x:c>
      <x:c r="F197" s="47" t="str">
        <x:v>Placeable/deployable assembly</x:v>
      </x:c>
      <x:c r="G197" s="47" t="str">
        <x:v>No</x:v>
      </x:c>
      <x:c r="H197" s="47" t="str">
        <x:v>Make / assemble / qualify</x:v>
      </x:c>
      <x:c r="I197" s="47" t="str">
        <x:v>A-PRESSURE-BOILER; S-BEARING</x:v>
      </x:c>
      <x:c r="J197" s="47" t="str">
        <x:v>valve / expand / lubricate / govern</x:v>
      </x:c>
      <x:c r="K197" s="47" t="str">
        <x:v>precision tools</x:v>
      </x:c>
      <x:c r="L197" s="47" t="str">
        <x:v>power house</x:v>
      </x:c>
      <x:c r="M197" s="47" t="str">
        <x:v>mechanics and steam</x:v>
      </x:c>
      <x:c r="N197" s="47" t="str">
        <x:v>high</x:v>
      </x:c>
      <x:c r="O197" s="51" t="n">
        <x:v>1200</x:v>
      </x:c>
      <x:c r="P197" s="51" t="n">
        <x:v>240</x:v>
      </x:c>
      <x:c r="Q197" s="47" t="str">
        <x:v>controlled no-load and load run</x:v>
      </x:c>
      <x:c r="R197" s="47" t="str">
        <x:v>overspeed / seizure / steam release</x:v>
      </x:c>
      <x:c r="S197" s="47" t="str"/>
      <x:c r="T197" s="47" t="str">
        <x:v>Core steam chain</x:v>
      </x:c>
      <x:c r="U197" s="47" t="str">
        <x:v>Named; requires component decomposition</x:v>
      </x:c>
      <x:c r="V197" s="49"/>
      <x:c r="W197" s="49"/>
    </x:row>
    <x:row r="198">
      <x:c r="A198" s="47" t="str">
        <x:v>A-STEAM-PUMP</x:v>
      </x:c>
      <x:c r="B198" s="47" t="str">
        <x:v>Steam-driven water/mine pump</x:v>
      </x:c>
      <x:c r="C198" s="47" t="str">
        <x:v>Power</x:v>
      </x:c>
      <x:c r="D198" s="47" t="str">
        <x:v>Endpoint</x:v>
      </x:c>
      <x:c r="E198" s="47" t="str">
        <x:v>H6</x:v>
      </x:c>
      <x:c r="F198" s="47" t="str">
        <x:v>Placeable system/capability</x:v>
      </x:c>
      <x:c r="G198" s="47" t="str">
        <x:v>No</x:v>
      </x:c>
      <x:c r="H198" s="47" t="str">
        <x:v>Make / assemble / qualify</x:v>
      </x:c>
      <x:c r="I198" s="47" t="str">
        <x:v>A-STEAM-ENGINE; A-PUMP</x:v>
      </x:c>
      <x:c r="J198" s="47" t="str">
        <x:v>couple / prime / pump / shut down</x:v>
      </x:c>
      <x:c r="K198" s="47" t="str">
        <x:v>engine/pump tools</x:v>
      </x:c>
      <x:c r="L198" s="47" t="str">
        <x:v>power/water system</x:v>
      </x:c>
      <x:c r="M198" s="47" t="str">
        <x:v>hydraulics and steam</x:v>
      </x:c>
      <x:c r="N198" s="47" t="str">
        <x:v>moderate</x:v>
      </x:c>
      <x:c r="O198" s="51" t="n">
        <x:v>240</x:v>
      </x:c>
      <x:c r="P198" s="51" t="n">
        <x:v>0</x:v>
      </x:c>
      <x:c r="Q198" s="47" t="str">
        <x:v>flow and safe-stop test</x:v>
      </x:c>
      <x:c r="R198" s="47" t="str">
        <x:v>cavitation / flood / rupture</x:v>
      </x:c>
      <x:c r="S198" s="47" t="str"/>
      <x:c r="T198" s="47" t="str">
        <x:v>Core steam chain</x:v>
      </x:c>
      <x:c r="U198" s="47" t="str">
        <x:v>Named; requires component decomposition</x:v>
      </x:c>
      <x:c r="V198" s="49"/>
      <x:c r="W198" s="49"/>
    </x:row>
    <x:row r="199">
      <x:c r="A199" s="47" t="str">
        <x:v>A-STEAM-GEN</x:v>
      </x:c>
      <x:c r="B199" s="47" t="str">
        <x:v>Steam-electric generation set</x:v>
      </x:c>
      <x:c r="C199" s="47" t="str">
        <x:v>Power</x:v>
      </x:c>
      <x:c r="D199" s="47" t="str">
        <x:v>Endpoint</x:v>
      </x:c>
      <x:c r="E199" s="47" t="str">
        <x:v>H6</x:v>
      </x:c>
      <x:c r="F199" s="47" t="str">
        <x:v>Placeable system/capability</x:v>
      </x:c>
      <x:c r="G199" s="47" t="str">
        <x:v>No</x:v>
      </x:c>
      <x:c r="H199" s="47" t="str">
        <x:v>Make / assemble / qualify</x:v>
      </x:c>
      <x:c r="I199" s="47" t="str">
        <x:v>A-STEAM-ENGINE; A-GENERATOR</x:v>
      </x:c>
      <x:c r="J199" s="47" t="str">
        <x:v>couple / govern / generate / protect</x:v>
      </x:c>
      <x:c r="K199" s="47" t="str">
        <x:v>meter / precision tools</x:v>
      </x:c>
      <x:c r="L199" s="47" t="str">
        <x:v>power house</x:v>
      </x:c>
      <x:c r="M199" s="47" t="str">
        <x:v>steam + electrical</x:v>
      </x:c>
      <x:c r="N199" s="47" t="str">
        <x:v>moderate</x:v>
      </x:c>
      <x:c r="O199" s="51" t="n">
        <x:v>360</x:v>
      </x:c>
      <x:c r="P199" s="51" t="n">
        <x:v>0</x:v>
      </x:c>
      <x:c r="Q199" s="47" t="str">
        <x:v>stable protected output</x:v>
      </x:c>
      <x:c r="R199" s="47" t="str">
        <x:v>overspeed / shock / fire</x:v>
      </x:c>
      <x:c r="S199" s="47" t="str"/>
      <x:c r="T199" s="47" t="str">
        <x:v>Core steam chain</x:v>
      </x:c>
      <x:c r="U199" s="47" t="str">
        <x:v>Named; requires component decomposition</x:v>
      </x:c>
      <x:c r="V199" s="49"/>
      <x:c r="W199" s="49"/>
    </x:row>
    <x:row r="200">
      <x:c r="A200" s="47" t="str">
        <x:v>W-FIBER-CELL</x:v>
      </x:c>
      <x:c r="B200" s="47" t="str">
        <x:v>Specialist fiber workshop cell</x:v>
      </x:c>
      <x:c r="C200" s="47" t="str">
        <x:v>Workshop</x:v>
      </x:c>
      <x:c r="D200" s="47" t="str">
        <x:v>Endpoint</x:v>
      </x:c>
      <x:c r="E200" s="47" t="str">
        <x:v>H3</x:v>
      </x:c>
      <x:c r="F200" s="47" t="str">
        <x:v>Placeable system/capability</x:v>
      </x:c>
      <x:c r="G200" s="47" t="str">
        <x:v>No</x:v>
      </x:c>
      <x:c r="H200" s="47" t="str">
        <x:v>Make / assemble / qualify</x:v>
      </x:c>
      <x:c r="I200" s="47" t="str">
        <x:v>A-FIBER-STATION; W-BENCH</x:v>
      </x:c>
      <x:c r="J200" s="47" t="str">
        <x:v>grade / spin / weave / test</x:v>
      </x:c>
      <x:c r="K200" s="47" t="str">
        <x:v>fiber station</x:v>
      </x:c>
      <x:c r="L200" s="47" t="str">
        <x:v>dry separated shop</x:v>
      </x:c>
      <x:c r="M200" s="47" t="str">
        <x:v>fiber workflow</x:v>
      </x:c>
      <x:c r="N200" s="47" t="str">
        <x:v>moderate</x:v>
      </x:c>
      <x:c r="O200" s="51" t="n">
        <x:v>240</x:v>
      </x:c>
      <x:c r="P200" s="51" t="n">
        <x:v>0</x:v>
      </x:c>
      <x:c r="Q200" s="47" t="str">
        <x:v>repeatable clean production</x:v>
      </x:c>
      <x:c r="R200" s="47" t="str">
        <x:v>mold / contamination</x:v>
      </x:c>
      <x:c r="S200" s="47" t="str"/>
      <x:c r="T200" s="47" t="str"/>
      <x:c r="U200" s="47" t="str">
        <x:v>Governed node; variants not separated</x:v>
      </x:c>
      <x:c r="V200" s="49"/>
      <x:c r="W200" s="49"/>
    </x:row>
    <x:row r="201">
      <x:c r="A201" s="47" t="str">
        <x:v>W-FOOD-CELL</x:v>
      </x:c>
      <x:c r="B201" s="47" t="str">
        <x:v>Clean food-processing cell</x:v>
      </x:c>
      <x:c r="C201" s="47" t="str">
        <x:v>Workshop</x:v>
      </x:c>
      <x:c r="D201" s="47" t="str">
        <x:v>Endpoint</x:v>
      </x:c>
      <x:c r="E201" s="47" t="str">
        <x:v>H3</x:v>
      </x:c>
      <x:c r="F201" s="47" t="str">
        <x:v>Placeable system/capability</x:v>
      </x:c>
      <x:c r="G201" s="47" t="str">
        <x:v>No</x:v>
      </x:c>
      <x:c r="H201" s="47" t="str">
        <x:v>Make / assemble / qualify</x:v>
      </x:c>
      <x:c r="I201" s="47" t="str">
        <x:v>W-BENCH; W-CLEAN</x:v>
      </x:c>
      <x:c r="J201" s="47" t="str">
        <x:v>wash / cut / heat / store</x:v>
      </x:c>
      <x:c r="K201" s="47" t="str">
        <x:v>food vessels</x:v>
      </x:c>
      <x:c r="L201" s="47" t="str">
        <x:v>clean separated shop</x:v>
      </x:c>
      <x:c r="M201" s="47" t="str">
        <x:v>hygiene and preservation</x:v>
      </x:c>
      <x:c r="N201" s="47" t="str">
        <x:v>moderate</x:v>
      </x:c>
      <x:c r="O201" s="51" t="n">
        <x:v>240</x:v>
      </x:c>
      <x:c r="P201" s="51" t="n">
        <x:v>0</x:v>
      </x:c>
      <x:c r="Q201" s="47" t="str">
        <x:v>clean workflow audit</x:v>
      </x:c>
      <x:c r="R201" s="47" t="str">
        <x:v>cross-contamination</x:v>
      </x:c>
      <x:c r="S201" s="47" t="str"/>
      <x:c r="T201" s="47" t="str"/>
      <x:c r="U201" s="47" t="str">
        <x:v>Governed node; variants not separated</x:v>
      </x:c>
      <x:c r="V201" s="49"/>
      <x:c r="W201" s="49"/>
    </x:row>
    <x:row r="202">
      <x:c r="A202" s="47" t="str">
        <x:v>W-ENGINE-CELL</x:v>
      </x:c>
      <x:c r="B202" s="47" t="str">
        <x:v>Engine/mechanical repair cell</x:v>
      </x:c>
      <x:c r="C202" s="47" t="str">
        <x:v>Workshop</x:v>
      </x:c>
      <x:c r="D202" s="47" t="str">
        <x:v>Endpoint</x:v>
      </x:c>
      <x:c r="E202" s="47" t="str">
        <x:v>H4</x:v>
      </x:c>
      <x:c r="F202" s="47" t="str">
        <x:v>Placeable system/capability</x:v>
      </x:c>
      <x:c r="G202" s="47" t="str">
        <x:v>No</x:v>
      </x:c>
      <x:c r="H202" s="47" t="str">
        <x:v>Make / assemble / qualify</x:v>
      </x:c>
      <x:c r="I202" s="47" t="str">
        <x:v>W-PRECISION; A-TRIPOD</x:v>
      </x:c>
      <x:c r="J202" s="47" t="str">
        <x:v>isolate / hold / measure / test</x:v>
      </x:c>
      <x:c r="K202" s="47" t="str">
        <x:v>precision bench / hoist</x:v>
      </x:c>
      <x:c r="L202" s="47" t="str">
        <x:v>drained mechanical shop</x:v>
      </x:c>
      <x:c r="M202" s="47" t="str">
        <x:v>mechanics and contamination</x:v>
      </x:c>
      <x:c r="N202" s="47" t="str">
        <x:v>high</x:v>
      </x:c>
      <x:c r="O202" s="51" t="n">
        <x:v>480</x:v>
      </x:c>
      <x:c r="P202" s="51" t="n">
        <x:v>0</x:v>
      </x:c>
      <x:c r="Q202" s="47" t="str">
        <x:v>subsystem bench test</x:v>
      </x:c>
      <x:c r="R202" s="47" t="str">
        <x:v>lost part / stored energy / spill</x:v>
      </x:c>
      <x:c r="S202" s="47" t="str"/>
      <x:c r="T202" s="47" t="str"/>
      <x:c r="U202" s="47" t="str">
        <x:v>Compressed family/assembly</x:v>
      </x:c>
      <x:c r="V202" s="49"/>
      <x:c r="W202" s="49"/>
    </x:row>
    <x:row r="203">
      <x:c r="A203" s="47" t="str">
        <x:v>A-DRAINAGE</x:v>
      </x:c>
      <x:c r="B203" s="47" t="str">
        <x:v>Shelter drainage network</x:v>
      </x:c>
      <x:c r="C203" s="47" t="str">
        <x:v>Shelter</x:v>
      </x:c>
      <x:c r="D203" s="47" t="str">
        <x:v>Assembly</x:v>
      </x:c>
      <x:c r="E203" s="47" t="str">
        <x:v>H2</x:v>
      </x:c>
      <x:c r="F203" s="47" t="str">
        <x:v>Placeable/deployable assembly</x:v>
      </x:c>
      <x:c r="G203" s="47" t="str">
        <x:v>No</x:v>
      </x:c>
      <x:c r="H203" s="47" t="str">
        <x:v>Make / assemble / qualify</x:v>
      </x:c>
      <x:c r="I203" s="47" t="str">
        <x:v>T-SHOVEL; T-MEASURE</x:v>
      </x:c>
      <x:c r="J203" s="47" t="str">
        <x:v>survey / dig / line / overflow test</x:v>
      </x:c>
      <x:c r="K203" s="47" t="str">
        <x:v>shovel / measure</x:v>
      </x:c>
      <x:c r="L203" s="47" t="str">
        <x:v>site</x:v>
      </x:c>
      <x:c r="M203" s="47" t="str">
        <x:v>hydrology and earthwork</x:v>
      </x:c>
      <x:c r="N203" s="47" t="str">
        <x:v>high</x:v>
      </x:c>
      <x:c r="O203" s="51" t="n">
        <x:v>360</x:v>
      </x:c>
      <x:c r="P203" s="51" t="n">
        <x:v>0</x:v>
      </x:c>
      <x:c r="Q203" s="47" t="str">
        <x:v>design-rain flow test</x:v>
      </x:c>
      <x:c r="R203" s="47" t="str">
        <x:v>scour / foundation saturation</x:v>
      </x:c>
      <x:c r="S203" s="47" t="str"/>
      <x:c r="T203" s="47" t="str"/>
      <x:c r="U203" s="47" t="str">
        <x:v>Compressed family/assembly</x:v>
      </x:c>
      <x:c r="V203" s="49"/>
      <x:c r="W203" s="49"/>
    </x:row>
    <x:row r="204">
      <x:c r="A204" s="47" t="str">
        <x:v>A-SHUTTERS</x:v>
      </x:c>
      <x:c r="B204" s="47" t="str">
        <x:v>Storm shutters/opening protection</x:v>
      </x:c>
      <x:c r="C204" s="47" t="str">
        <x:v>Shelter</x:v>
      </x:c>
      <x:c r="D204" s="47" t="str">
        <x:v>Assembly</x:v>
      </x:c>
      <x:c r="E204" s="47" t="str">
        <x:v>H3</x:v>
      </x:c>
      <x:c r="F204" s="47" t="str">
        <x:v>Placeable/deployable assembly</x:v>
      </x:c>
      <x:c r="G204" s="47" t="str">
        <x:v>No</x:v>
      </x:c>
      <x:c r="H204" s="47" t="str">
        <x:v>Make / assemble / qualify</x:v>
      </x:c>
      <x:c r="I204" s="47" t="str">
        <x:v>P-PLANK; P-CORD</x:v>
      </x:c>
      <x:c r="J204" s="47" t="str">
        <x:v>frame / hinge / latch / load test</x:v>
      </x:c>
      <x:c r="K204" s="47" t="str">
        <x:v>wood tools</x:v>
      </x:c>
      <x:c r="L204" s="47" t="str">
        <x:v>shelter openings</x:v>
      </x:c>
      <x:c r="M204" s="47" t="str">
        <x:v>load path and egress</x:v>
      </x:c>
      <x:c r="N204" s="47" t="str">
        <x:v>high</x:v>
      </x:c>
      <x:c r="O204" s="51" t="n">
        <x:v>240</x:v>
      </x:c>
      <x:c r="P204" s="51" t="n">
        <x:v>0</x:v>
      </x:c>
      <x:c r="Q204" s="47" t="str">
        <x:v>close/open/load/escape test</x:v>
      </x:c>
      <x:c r="R204" s="47" t="str">
        <x:v>trap / detach / block air</x:v>
      </x:c>
      <x:c r="S204" s="47" t="str"/>
      <x:c r="T204" s="47" t="str"/>
      <x:c r="U204" s="47" t="str">
        <x:v>Compressed family/assembly</x:v>
      </x:c>
      <x:c r="V204" s="49"/>
      <x:c r="W204" s="49"/>
    </x:row>
    <x:row r="205">
      <x:c r="A205" s="47" t="str">
        <x:v>A-VENT</x:v>
      </x:c>
      <x:c r="B205" s="47" t="str">
        <x:v>Controlled ventilation/smoke path</x:v>
      </x:c>
      <x:c r="C205" s="47" t="str">
        <x:v>Shelter</x:v>
      </x:c>
      <x:c r="D205" s="47" t="str">
        <x:v>Endpoint</x:v>
      </x:c>
      <x:c r="E205" s="47" t="str">
        <x:v>H2</x:v>
      </x:c>
      <x:c r="F205" s="47" t="str">
        <x:v>Placeable system/capability</x:v>
      </x:c>
      <x:c r="G205" s="47" t="str">
        <x:v>No</x:v>
      </x:c>
      <x:c r="H205" s="47" t="str">
        <x:v>Make / assemble / qualify</x:v>
      </x:c>
      <x:c r="I205" s="47" t="str">
        <x:v>A-ROOF; P-PLANK</x:v>
      </x:c>
      <x:c r="J205" s="47" t="str">
        <x:v>open / screen / draft / close</x:v>
      </x:c>
      <x:c r="K205" s="47" t="str">
        <x:v>cutting/joining</x:v>
      </x:c>
      <x:c r="L205" s="47" t="str">
        <x:v>shelter</x:v>
      </x:c>
      <x:c r="M205" s="47" t="str">
        <x:v>airflow / smoke / pests</x:v>
      </x:c>
      <x:c r="N205" s="47" t="str">
        <x:v>moderate</x:v>
      </x:c>
      <x:c r="O205" s="51" t="n">
        <x:v>180</x:v>
      </x:c>
      <x:c r="P205" s="51" t="n">
        <x:v>0</x:v>
      </x:c>
      <x:c r="Q205" s="47" t="str">
        <x:v>occupied airflow and rain test</x:v>
      </x:c>
      <x:c r="R205" s="47" t="str">
        <x:v>smoke / rain / pest entry</x:v>
      </x:c>
      <x:c r="S205" s="47" t="str"/>
      <x:c r="T205" s="47" t="str"/>
      <x:c r="U205" s="47" t="str">
        <x:v>Compressed family/assembly</x:v>
      </x:c>
      <x:c r="V205" s="49"/>
      <x:c r="W205" s="49"/>
    </x:row>
    <x:row r="206">
      <x:c r="A206" s="47" t="str">
        <x:v>A-FIRE-SEPARATION</x:v>
      </x:c>
      <x:c r="B206" s="47" t="str">
        <x:v>Hot-work/fire separation</x:v>
      </x:c>
      <x:c r="C206" s="47" t="str">
        <x:v>Shelter</x:v>
      </x:c>
      <x:c r="D206" s="47" t="str">
        <x:v>Endpoint</x:v>
      </x:c>
      <x:c r="E206" s="47" t="str">
        <x:v>H3</x:v>
      </x:c>
      <x:c r="F206" s="47" t="str">
        <x:v>Placeable system/capability</x:v>
      </x:c>
      <x:c r="G206" s="47" t="str">
        <x:v>No</x:v>
      </x:c>
      <x:c r="H206" s="47" t="str">
        <x:v>Make / assemble / qualify</x:v>
      </x:c>
      <x:c r="I206" s="47" t="str">
        <x:v>S-STONE; W-HEARTH</x:v>
      </x:c>
      <x:c r="J206" s="47" t="str">
        <x:v>space / barrier / drainage / egress</x:v>
      </x:c>
      <x:c r="K206" s="47" t="str">
        <x:v>masonry tools</x:v>
      </x:c>
      <x:c r="L206" s="47" t="str">
        <x:v>compound</x:v>
      </x:c>
      <x:c r="M206" s="47" t="str">
        <x:v>fire and fumes</x:v>
      </x:c>
      <x:c r="N206" s="47" t="str">
        <x:v>high</x:v>
      </x:c>
      <x:c r="O206" s="51" t="n">
        <x:v>360</x:v>
      </x:c>
      <x:c r="P206" s="51" t="n">
        <x:v>0</x:v>
      </x:c>
      <x:c r="Q206" s="47" t="str">
        <x:v>ember/heat/escape inspection</x:v>
      </x:c>
      <x:c r="R206" s="47" t="str">
        <x:v>compound fire / fumes</x:v>
      </x:c>
      <x:c r="S206" s="47" t="str"/>
      <x:c r="T206" s="47" t="str"/>
      <x:c r="U206" s="47" t="str">
        <x:v>Compressed family/assembly</x:v>
      </x:c>
      <x:c r="V206" s="49"/>
      <x:c r="W206" s="49"/>
    </x:row>
    <x:row r="207">
      <x:c r="A207" s="47" t="str">
        <x:v>A-SAFE-CELL</x:v>
      </x:c>
      <x:c r="B207" s="47" t="str">
        <x:v>Multi-hazard safe sleeping cell</x:v>
      </x:c>
      <x:c r="C207" s="47" t="str">
        <x:v>Shelter</x:v>
      </x:c>
      <x:c r="D207" s="47" t="str">
        <x:v>Assembly</x:v>
      </x:c>
      <x:c r="E207" s="47" t="str">
        <x:v>H4</x:v>
      </x:c>
      <x:c r="F207" s="47" t="str">
        <x:v>Placeable/deployable assembly</x:v>
      </x:c>
      <x:c r="G207" s="47" t="str">
        <x:v>No</x:v>
      </x:c>
      <x:c r="H207" s="47" t="str">
        <x:v>Make / assemble / qualify</x:v>
      </x:c>
      <x:c r="I207" s="47" t="str">
        <x:v>A-REFUGE; A-SHUTTERS; A-DRAINAGE</x:v>
      </x:c>
      <x:c r="J207" s="47" t="str">
        <x:v>brace / protect / ventilate / exit</x:v>
      </x:c>
      <x:c r="K207" s="47" t="str">
        <x:v>construction tools</x:v>
      </x:c>
      <x:c r="L207" s="47" t="str">
        <x:v>resilient house</x:v>
      </x:c>
      <x:c r="M207" s="47" t="str">
        <x:v>multi-hazard design</x:v>
      </x:c>
      <x:c r="N207" s="47" t="str">
        <x:v>very high</x:v>
      </x:c>
      <x:c r="O207" s="51" t="n">
        <x:v>960</x:v>
      </x:c>
      <x:c r="P207" s="51" t="n">
        <x:v>0</x:v>
      </x:c>
      <x:c r="Q207" s="47" t="str">
        <x:v>rain/wind/egress drill</x:v>
      </x:c>
      <x:c r="R207" s="47" t="str">
        <x:v>false refuge / trapped hazard</x:v>
      </x:c>
      <x:c r="S207" s="47" t="str"/>
      <x:c r="T207" s="47" t="str"/>
      <x:c r="U207" s="47" t="str">
        <x:v>Governed node; variants not separated</x:v>
      </x:c>
      <x:c r="V207" s="49"/>
      <x:c r="W207" s="49"/>
    </x:row>
    <x:row r="208">
      <x:c r="A208" s="47" t="str">
        <x:v>A-STORM-STORE</x:v>
      </x:c>
      <x:c r="B208" s="47" t="str">
        <x:v>Protected storm reserve</x:v>
      </x:c>
      <x:c r="C208" s="47" t="str">
        <x:v>Shelter</x:v>
      </x:c>
      <x:c r="D208" s="47" t="str">
        <x:v>Endpoint</x:v>
      </x:c>
      <x:c r="E208" s="47" t="str">
        <x:v>H4</x:v>
      </x:c>
      <x:c r="F208" s="47" t="str">
        <x:v>Placeable system/capability</x:v>
      </x:c>
      <x:c r="G208" s="47" t="str">
        <x:v>No</x:v>
      </x:c>
      <x:c r="H208" s="47" t="str">
        <x:v>Make / assemble / qualify</x:v>
      </x:c>
      <x:c r="I208" s="47" t="str">
        <x:v>A-COVERED-STORE; A-SAFE-CELL</x:v>
      </x:c>
      <x:c r="J208" s="47" t="str">
        <x:v>stock / isolate / rotate / access</x:v>
      </x:c>
      <x:c r="K208" s="47" t="str">
        <x:v>storage and labels</x:v>
      </x:c>
      <x:c r="L208" s="47" t="str">
        <x:v>safe cell/cache</x:v>
      </x:c>
      <x:c r="M208" s="47" t="str">
        <x:v>provisioning and redundancy</x:v>
      </x:c>
      <x:c r="N208" s="47" t="str">
        <x:v>moderate</x:v>
      </x:c>
      <x:c r="O208" s="51" t="n">
        <x:v>180</x:v>
      </x:c>
      <x:c r="P208" s="51" t="n">
        <x:v>0</x:v>
      </x:c>
      <x:c r="Q208" s="47" t="str">
        <x:v>access after simulated service loss</x:v>
      </x:c>
      <x:c r="R208" s="47" t="str">
        <x:v>single-point loss / spoilage</x:v>
      </x:c>
      <x:c r="S208" s="47" t="str"/>
      <x:c r="T208" s="47" t="str"/>
      <x:c r="U208" s="47" t="str">
        <x:v>Governed node; variants not separated</x:v>
      </x:c>
      <x:c r="V208" s="49"/>
      <x:c r="W208" s="49"/>
    </x:row>
    <x:row r="209">
      <x:c r="A209" s="47" t="str">
        <x:v>A-FORAGE-MAP</x:v>
      </x:c>
      <x:c r="B209" s="47" t="str">
        <x:v>Seasonal forage and habitat map</x:v>
      </x:c>
      <x:c r="C209" s="47" t="str">
        <x:v>Nature</x:v>
      </x:c>
      <x:c r="D209" s="47" t="str">
        <x:v>Endpoint</x:v>
      </x:c>
      <x:c r="E209" s="47" t="str">
        <x:v>H1</x:v>
      </x:c>
      <x:c r="F209" s="47" t="str">
        <x:v>Placeable system/capability</x:v>
      </x:c>
      <x:c r="G209" s="47" t="str">
        <x:v>No</x:v>
      </x:c>
      <x:c r="H209" s="47" t="str">
        <x:v>Make / assemble / qualify</x:v>
      </x:c>
      <x:c r="I209" s="47" t="str">
        <x:v>S-FOOD; W-ARCHIVE</x:v>
      </x:c>
      <x:c r="J209" s="47" t="str">
        <x:v>observe / identify / record / revisit</x:v>
      </x:c>
      <x:c r="K209" s="47" t="str">
        <x:v>journal</x:v>
      </x:c>
      <x:c r="L209" s="47" t="str">
        <x:v>field/archive</x:v>
      </x:c>
      <x:c r="M209" s="47" t="str">
        <x:v>plant/animal/weather evidence</x:v>
      </x:c>
      <x:c r="N209" s="47" t="str">
        <x:v>moderate</x:v>
      </x:c>
      <x:c r="O209" s="51" t="n">
        <x:v>120</x:v>
      </x:c>
      <x:c r="P209" s="51" t="n">
        <x:v>0</x:v>
      </x:c>
      <x:c r="Q209" s="47" t="str">
        <x:v>prediction confirmed across visits</x:v>
      </x:c>
      <x:c r="R209" s="47" t="str">
        <x:v>misidentification / overharvest</x:v>
      </x:c>
      <x:c r="S209" s="47" t="str"/>
      <x:c r="T209" s="47" t="str"/>
      <x:c r="U209" s="47" t="str">
        <x:v>Governed node; variants not separated</x:v>
      </x:c>
      <x:c r="V209" s="49"/>
      <x:c r="W209" s="49"/>
    </x:row>
    <x:row r="210">
      <x:c r="A210" s="47" t="str">
        <x:v>T-HOE</x:v>
      </x:c>
      <x:c r="B210" s="47" t="str">
        <x:v>Hoe/cultivation tool</x:v>
      </x:c>
      <x:c r="C210" s="47" t="str">
        <x:v>Tools</x:v>
      </x:c>
      <x:c r="D210" s="47" t="str">
        <x:v>Tool</x:v>
      </x:c>
      <x:c r="E210" s="47" t="str">
        <x:v>H1</x:v>
      </x:c>
      <x:c r="F210" s="47" t="str">
        <x:v>Carryable tool/equipment</x:v>
      </x:c>
      <x:c r="G210" s="47" t="str">
        <x:v>Yes</x:v>
      </x:c>
      <x:c r="H210" s="47" t="str">
        <x:v>Make / assemble / qualify</x:v>
      </x:c>
      <x:c r="I210" s="47" t="str">
        <x:v>T-DIG; P-STRAIGHT-POLE</x:v>
      </x:c>
      <x:c r="J210" s="47" t="str">
        <x:v>shape / haft / test</x:v>
      </x:c>
      <x:c r="K210" s="47" t="str">
        <x:v>cutter / mallet</x:v>
      </x:c>
      <x:c r="L210" s="47" t="str">
        <x:v>bench</x:v>
      </x:c>
      <x:c r="M210" s="47" t="str">
        <x:v>soil and tool geometry</x:v>
      </x:c>
      <x:c r="N210" s="47" t="str">
        <x:v>moderate</x:v>
      </x:c>
      <x:c r="O210" s="51" t="n">
        <x:v>90</x:v>
      </x:c>
      <x:c r="P210" s="51" t="n">
        <x:v>0</x:v>
      </x:c>
      <x:c r="Q210" s="47" t="str">
        <x:v>soil work without head shift</x:v>
      </x:c>
      <x:c r="R210" s="47" t="str">
        <x:v>split / strain / soil damage</x:v>
      </x:c>
      <x:c r="S210" s="47" t="str"/>
      <x:c r="T210" s="47" t="str"/>
      <x:c r="U210" s="47" t="str">
        <x:v>Compressed family/assembly</x:v>
      </x:c>
      <x:c r="V210" s="49"/>
      <x:c r="W210" s="49"/>
    </x:row>
    <x:row r="211">
      <x:c r="A211" s="47" t="str">
        <x:v>A-NURSERY</x:v>
      </x:c>
      <x:c r="B211" s="47" t="str">
        <x:v>Protected nursery and seed trial</x:v>
      </x:c>
      <x:c r="C211" s="47" t="str">
        <x:v>Nature</x:v>
      </x:c>
      <x:c r="D211" s="47" t="str">
        <x:v>Endpoint</x:v>
      </x:c>
      <x:c r="E211" s="47" t="str">
        <x:v>H2</x:v>
      </x:c>
      <x:c r="F211" s="47" t="str">
        <x:v>Placeable system/capability</x:v>
      </x:c>
      <x:c r="G211" s="47" t="str">
        <x:v>No</x:v>
      </x:c>
      <x:c r="H211" s="47" t="str">
        <x:v>Make / assemble / qualify</x:v>
      </x:c>
      <x:c r="I211" s="47" t="str">
        <x:v>P-SEED-LOT; T-HOE</x:v>
      </x:c>
      <x:c r="J211" s="47" t="str">
        <x:v>germinate / harden / record</x:v>
      </x:c>
      <x:c r="K211" s="47" t="str">
        <x:v>hoe / containers</x:v>
      </x:c>
      <x:c r="L211" s="47" t="str">
        <x:v>protected garden</x:v>
      </x:c>
      <x:c r="M211" s="47" t="str">
        <x:v>seed and plant care</x:v>
      </x:c>
      <x:c r="N211" s="47" t="str">
        <x:v>moderate</x:v>
      </x:c>
      <x:c r="O211" s="51" t="n">
        <x:v>120</x:v>
      </x:c>
      <x:c r="P211" s="51" t="n">
        <x:v>2880</x:v>
      </x:c>
      <x:c r="Q211" s="47" t="str">
        <x:v>viable transplant/seed retention</x:v>
      </x:c>
      <x:c r="R211" s="47" t="str">
        <x:v>rot / dry / disease</x:v>
      </x:c>
      <x:c r="S211" s="47" t="str"/>
      <x:c r="T211" s="47" t="str"/>
      <x:c r="U211" s="47" t="str">
        <x:v>Governed node; variants not separated</x:v>
      </x:c>
      <x:c r="V211" s="49"/>
      <x:c r="W211" s="49"/>
    </x:row>
    <x:row r="212">
      <x:c r="A212" s="47" t="str">
        <x:v>A-IRRIGATION</x:v>
      </x:c>
      <x:c r="B212" s="47" t="str">
        <x:v>Controlled irrigation network</x:v>
      </x:c>
      <x:c r="C212" s="47" t="str">
        <x:v>Water</x:v>
      </x:c>
      <x:c r="D212" s="47" t="str">
        <x:v>Endpoint</x:v>
      </x:c>
      <x:c r="E212" s="47" t="str">
        <x:v>H3</x:v>
      </x:c>
      <x:c r="F212" s="47" t="str">
        <x:v>Placeable system/capability</x:v>
      </x:c>
      <x:c r="G212" s="47" t="str">
        <x:v>No</x:v>
      </x:c>
      <x:c r="H212" s="47" t="str">
        <x:v>Make / assemble / qualify</x:v>
      </x:c>
      <x:c r="I212" s="47" t="str">
        <x:v>A-CISTERN; A-PIPE</x:v>
      </x:c>
      <x:c r="J212" s="47" t="str">
        <x:v>store / distribute / shut off / drain</x:v>
      </x:c>
      <x:c r="K212" s="47" t="str">
        <x:v>pipe / valve</x:v>
      </x:c>
      <x:c r="L212" s="47" t="str">
        <x:v>garden</x:v>
      </x:c>
      <x:c r="M212" s="47" t="str">
        <x:v>water and soil</x:v>
      </x:c>
      <x:c r="N212" s="47" t="str">
        <x:v>moderate</x:v>
      </x:c>
      <x:c r="O212" s="51" t="n">
        <x:v>360</x:v>
      </x:c>
      <x:c r="P212" s="51" t="n">
        <x:v>0</x:v>
      </x:c>
      <x:c r="Q212" s="47" t="str">
        <x:v>uniform flow and leak reserve</x:v>
      </x:c>
      <x:c r="R212" s="47" t="str">
        <x:v>empty cistern / waterlog / contaminate</x:v>
      </x:c>
      <x:c r="S212" s="47" t="str"/>
      <x:c r="T212" s="47" t="str"/>
      <x:c r="U212" s="47" t="str">
        <x:v>Compressed family/assembly</x:v>
      </x:c>
      <x:c r="V212" s="49"/>
      <x:c r="W212" s="49"/>
    </x:row>
    <x:row r="213">
      <x:c r="A213" s="47" t="str">
        <x:v>A-ANIMAL-ENC</x:v>
      </x:c>
      <x:c r="B213" s="47" t="str">
        <x:v>Species-appropriate animal enclosure</x:v>
      </x:c>
      <x:c r="C213" s="47" t="str">
        <x:v>Nature</x:v>
      </x:c>
      <x:c r="D213" s="47" t="str">
        <x:v>Assembly</x:v>
      </x:c>
      <x:c r="E213" s="47" t="str">
        <x:v>H3</x:v>
      </x:c>
      <x:c r="F213" s="47" t="str">
        <x:v>Placeable/deployable assembly</x:v>
      </x:c>
      <x:c r="G213" s="47" t="str">
        <x:v>No</x:v>
      </x:c>
      <x:c r="H213" s="47" t="str">
        <x:v>Make / assemble / qualify</x:v>
      </x:c>
      <x:c r="I213" s="47" t="str">
        <x:v>P-STRAIGHT-POLE; P-CORD</x:v>
      </x:c>
      <x:c r="J213" s="47" t="str">
        <x:v>exclude / shelter / handle / clean</x:v>
      </x:c>
      <x:c r="K213" s="47" t="str">
        <x:v>construction/fiber tools</x:v>
      </x:c>
      <x:c r="L213" s="47" t="str">
        <x:v>homestead edge</x:v>
      </x:c>
      <x:c r="M213" s="47" t="str">
        <x:v>behavior and welfare</x:v>
      </x:c>
      <x:c r="N213" s="47" t="str">
        <x:v>high</x:v>
      </x:c>
      <x:c r="O213" s="51" t="n">
        <x:v>480</x:v>
      </x:c>
      <x:c r="P213" s="51" t="n">
        <x:v>0</x:v>
      </x:c>
      <x:c r="Q213" s="47" t="str">
        <x:v>escape/predator/weather/cleaning test</x:v>
      </x:c>
      <x:c r="R213" s="47" t="str">
        <x:v>injury / escape / disease</x:v>
      </x:c>
      <x:c r="S213" s="47" t="str"/>
      <x:c r="T213" s="47" t="str"/>
      <x:c r="U213" s="47" t="str">
        <x:v>Governed node; variants not separated</x:v>
      </x:c>
      <x:c r="V213" s="49"/>
      <x:c r="W213" s="49"/>
    </x:row>
    <x:row r="214">
      <x:c r="A214" s="47" t="str">
        <x:v>A-HUSBANDRY</x:v>
      </x:c>
      <x:c r="B214" s="47" t="str">
        <x:v>Sustainable husbandry system</x:v>
      </x:c>
      <x:c r="C214" s="47" t="str">
        <x:v>Nature</x:v>
      </x:c>
      <x:c r="D214" s="47" t="str">
        <x:v>Endpoint</x:v>
      </x:c>
      <x:c r="E214" s="47" t="str">
        <x:v>H4</x:v>
      </x:c>
      <x:c r="F214" s="47" t="str">
        <x:v>Placeable system/capability</x:v>
      </x:c>
      <x:c r="G214" s="47" t="str">
        <x:v>No</x:v>
      </x:c>
      <x:c r="H214" s="47" t="str">
        <x:v>Make / assemble / qualify</x:v>
      </x:c>
      <x:c r="I214" s="47" t="str">
        <x:v>S-ANIMAL; S-FODDER; A-ANIMAL-ENC</x:v>
      </x:c>
      <x:c r="J214" s="47" t="str">
        <x:v>feed / water / health / breed / record</x:v>
      </x:c>
      <x:c r="K214" s="47" t="str">
        <x:v>handling and clean tools</x:v>
      </x:c>
      <x:c r="L214" s="47" t="str">
        <x:v>enclosure + feed store</x:v>
      </x:c>
      <x:c r="M214" s="47" t="str">
        <x:v>animal care and population</x:v>
      </x:c>
      <x:c r="N214" s="47" t="str">
        <x:v>moderate daily</x:v>
      </x:c>
      <x:c r="O214" s="51" t="n">
        <x:v>60</x:v>
      </x:c>
      <x:c r="P214" s="51" t="n">
        <x:v>1440</x:v>
      </x:c>
      <x:c r="Q214" s="47" t="str">
        <x:v>health, welfare and feed continuity</x:v>
      </x:c>
      <x:c r="R214" s="47" t="str">
        <x:v>disease / starvation / ecological harm</x:v>
      </x:c>
      <x:c r="S214" s="47" t="str"/>
      <x:c r="T214" s="47" t="str"/>
      <x:c r="U214" s="47" t="str">
        <x:v>Compressed family/assembly</x:v>
      </x:c>
      <x:c r="V214" s="49"/>
      <x:c r="W214" s="49"/>
    </x:row>
    <x:row r="215">
      <x:c r="A215" s="47" t="str">
        <x:v>A-WELL</x:v>
      </x:c>
      <x:c r="B215" s="47" t="str">
        <x:v>Protected dug well and lift</x:v>
      </x:c>
      <x:c r="C215" s="47" t="str">
        <x:v>Water</x:v>
      </x:c>
      <x:c r="D215" s="47" t="str">
        <x:v>Endpoint</x:v>
      </x:c>
      <x:c r="E215" s="47" t="str">
        <x:v>H4</x:v>
      </x:c>
      <x:c r="F215" s="47" t="str">
        <x:v>Placeable system/capability</x:v>
      </x:c>
      <x:c r="G215" s="47" t="str">
        <x:v>No</x:v>
      </x:c>
      <x:c r="H215" s="47" t="str">
        <x:v>Make / assemble / qualify</x:v>
      </x:c>
      <x:c r="I215" s="47" t="str">
        <x:v>T-SHOVEL; A-PUMP; A-DRAINAGE</x:v>
      </x:c>
      <x:c r="J215" s="47" t="str">
        <x:v>survey / excavate / line / protect / test</x:v>
      </x:c>
      <x:c r="K215" s="47" t="str">
        <x:v>shovel / pump</x:v>
      </x:c>
      <x:c r="L215" s="47" t="str">
        <x:v>safe groundwater site</x:v>
      </x:c>
      <x:c r="M215" s="47" t="str">
        <x:v>geology / sanitation / shoring</x:v>
      </x:c>
      <x:c r="N215" s="47" t="str">
        <x:v>very high</x:v>
      </x:c>
      <x:c r="O215" s="51" t="n">
        <x:v>1440</x:v>
      </x:c>
      <x:c r="P215" s="51" t="n">
        <x:v>0</x:v>
      </x:c>
      <x:c r="Q215" s="47" t="str">
        <x:v>seasonal yield and repeated safety evidence</x:v>
      </x:c>
      <x:c r="R215" s="47" t="str">
        <x:v>collapse / salt / contamination</x:v>
      </x:c>
      <x:c r="S215" s="47" t="str"/>
      <x:c r="T215" s="47" t="str"/>
      <x:c r="U215" s="47" t="str">
        <x:v>Governed node; variants not separated</x:v>
      </x:c>
      <x:c r="V215" s="49"/>
      <x:c r="W215" s="49"/>
    </x:row>
    <x:row r="216">
      <x:c r="A216" s="47" t="str">
        <x:v>A-FOG-COLLECTOR</x:v>
      </x:c>
      <x:c r="B216" s="47" t="str">
        <x:v>Fog mesh and clean storage</x:v>
      </x:c>
      <x:c r="C216" s="47" t="str">
        <x:v>Water</x:v>
      </x:c>
      <x:c r="D216" s="47" t="str">
        <x:v>Endpoint</x:v>
      </x:c>
      <x:c r="E216" s="47" t="str">
        <x:v>H3</x:v>
      </x:c>
      <x:c r="F216" s="47" t="str">
        <x:v>Placeable system/capability</x:v>
      </x:c>
      <x:c r="G216" s="47" t="str">
        <x:v>No</x:v>
      </x:c>
      <x:c r="H216" s="47" t="str">
        <x:v>Make / assemble / qualify</x:v>
      </x:c>
      <x:c r="I216" s="47" t="str">
        <x:v>S-FOG; A-NET; A-CISTERN</x:v>
      </x:c>
      <x:c r="J216" s="47" t="str">
        <x:v>site / tension / drain / store</x:v>
      </x:c>
      <x:c r="K216" s="47" t="str">
        <x:v>net / frame</x:v>
      </x:c>
      <x:c r="L216" s="47" t="str">
        <x:v>fog-exposed site</x:v>
      </x:c>
      <x:c r="M216" s="47" t="str">
        <x:v>weather and water hygiene</x:v>
      </x:c>
      <x:c r="N216" s="47" t="str">
        <x:v>high</x:v>
      </x:c>
      <x:c r="O216" s="51" t="n">
        <x:v>360</x:v>
      </x:c>
      <x:c r="P216" s="51" t="n">
        <x:v>480</x:v>
      </x:c>
      <x:c r="Q216" s="47" t="str">
        <x:v>repeatable yield and clean lot</x:v>
      </x:c>
      <x:c r="R216" s="47" t="str">
        <x:v>no yield / dirty mesh / wind damage</x:v>
      </x:c>
      <x:c r="S216" s="47" t="str"/>
      <x:c r="T216" s="47" t="str"/>
      <x:c r="U216" s="47" t="str">
        <x:v>Governed node; variants not separated</x:v>
      </x:c>
      <x:c r="V216" s="49"/>
      <x:c r="W216" s="49"/>
    </x:row>
    <x:row r="217">
      <x:c r="A217" s="47" t="str">
        <x:v>T-BOW</x:v>
      </x:c>
      <x:c r="B217" s="47" t="str">
        <x:v>Tillering-tested bow</x:v>
      </x:c>
      <x:c r="C217" s="47" t="str">
        <x:v>Weapons</x:v>
      </x:c>
      <x:c r="D217" s="47" t="str">
        <x:v>Endpoint</x:v>
      </x:c>
      <x:c r="E217" s="47" t="str">
        <x:v>H3</x:v>
      </x:c>
      <x:c r="F217" s="47" t="str">
        <x:v>Carryable weapon</x:v>
      </x:c>
      <x:c r="G217" s="47" t="str">
        <x:v>Yes</x:v>
      </x:c>
      <x:c r="H217" s="47" t="str">
        <x:v>Make / assemble / qualify</x:v>
      </x:c>
      <x:c r="I217" s="47" t="str">
        <x:v>P-STRAIGHT-POLE; A-BOWSTRING</x:v>
      </x:c>
      <x:c r="J217" s="47" t="str">
        <x:v>season / shape / tiller / proof</x:v>
      </x:c>
      <x:c r="K217" s="47" t="str">
        <x:v>knife / measure / string</x:v>
      </x:c>
      <x:c r="L217" s="47" t="str">
        <x:v>bench/range</x:v>
      </x:c>
      <x:c r="M217" s="47" t="str">
        <x:v>wood tension and archery</x:v>
      </x:c>
      <x:c r="N217" s="47" t="str">
        <x:v>moderate</x:v>
      </x:c>
      <x:c r="O217" s="51" t="n">
        <x:v>360</x:v>
      </x:c>
      <x:c r="P217" s="51" t="n">
        <x:v>1440</x:v>
      </x:c>
      <x:c r="Q217" s="47" t="str">
        <x:v>progressive draw and grouping</x:v>
      </x:c>
      <x:c r="R217" s="47" t="str">
        <x:v>limb/string failure</x:v>
      </x:c>
      <x:c r="S217" s="47" t="str">
        <x:v>Weapon family</x:v>
      </x:c>
      <x:c r="T217" s="47" t="str"/>
      <x:c r="U217" s="47" t="str">
        <x:v>Governed node; variants not separated</x:v>
      </x:c>
      <x:c r="V217" s="49"/>
      <x:c r="W217" s="49"/>
    </x:row>
    <x:row r="218">
      <x:c r="A218" s="47" t="str">
        <x:v>T-ARROW</x:v>
      </x:c>
      <x:c r="B218" s="47" t="str">
        <x:v>Matched arrow set</x:v>
      </x:c>
      <x:c r="C218" s="47" t="str">
        <x:v>Weapons</x:v>
      </x:c>
      <x:c r="D218" s="47" t="str">
        <x:v>Endpoint</x:v>
      </x:c>
      <x:c r="E218" s="47" t="str">
        <x:v>H3</x:v>
      </x:c>
      <x:c r="F218" s="47" t="str">
        <x:v>Carryable ammunition set</x:v>
      </x:c>
      <x:c r="G218" s="47" t="str">
        <x:v>Yes</x:v>
      </x:c>
      <x:c r="H218" s="47" t="str">
        <x:v>Make / assemble / qualify</x:v>
      </x:c>
      <x:c r="I218" s="47" t="str">
        <x:v>P-STRAIGHT-POLE; P-SHARP-EDGE</x:v>
      </x:c>
      <x:c r="J218" s="47" t="str">
        <x:v>straighten / point / fletch / match</x:v>
      </x:c>
      <x:c r="K218" s="47" t="str">
        <x:v>knife / measure</x:v>
      </x:c>
      <x:c r="L218" s="47" t="str">
        <x:v>bench</x:v>
      </x:c>
      <x:c r="M218" s="47" t="str">
        <x:v>shaft/point/aerodynamics</x:v>
      </x:c>
      <x:c r="N218" s="47" t="str">
        <x:v>light</x:v>
      </x:c>
      <x:c r="O218" s="51" t="n">
        <x:v>120</x:v>
      </x:c>
      <x:c r="P218" s="51" t="n">
        <x:v>0</x:v>
      </x:c>
      <x:c r="Q218" s="47" t="str">
        <x:v>straightness / mass / flight grouping</x:v>
      </x:c>
      <x:c r="R218" s="47" t="str">
        <x:v>erratic flight / point loss</x:v>
      </x:c>
      <x:c r="S218" s="47" t="str">
        <x:v>Ammunition family</x:v>
      </x:c>
      <x:c r="T218" s="47" t="str"/>
      <x:c r="U218" s="47" t="str">
        <x:v>Compressed family/assembly</x:v>
      </x:c>
      <x:c r="V218" s="49"/>
      <x:c r="W218" s="49"/>
    </x:row>
    <x:row r="219">
      <x:c r="A219" s="47" t="str">
        <x:v>A-SNARE</x:v>
      </x:c>
      <x:c r="B219" s="47" t="str">
        <x:v>Selective checked snare/trap</x:v>
      </x:c>
      <x:c r="C219" s="47" t="str">
        <x:v>Hunting</x:v>
      </x:c>
      <x:c r="D219" s="47" t="str">
        <x:v>Endpoint</x:v>
      </x:c>
      <x:c r="E219" s="47" t="str">
        <x:v>H2</x:v>
      </x:c>
      <x:c r="F219" s="47" t="str">
        <x:v>Deployable hunting device</x:v>
      </x:c>
      <x:c r="G219" s="47" t="str">
        <x:v>No</x:v>
      </x:c>
      <x:c r="H219" s="47" t="str">
        <x:v>Make / assemble / qualify</x:v>
      </x:c>
      <x:c r="I219" s="47" t="str">
        <x:v>P-CORD; P-PEG; A-FORAGE-MAP</x:v>
      </x:c>
      <x:c r="J219" s="47" t="str">
        <x:v>site / set / anchor / monitor</x:v>
      </x:c>
      <x:c r="K219" s="47" t="str">
        <x:v>cord / peg</x:v>
      </x:c>
      <x:c r="L219" s="47" t="str">
        <x:v>habitat</x:v>
      </x:c>
      <x:c r="M219" s="47" t="str">
        <x:v>species / trigger / welfare</x:v>
      </x:c>
      <x:c r="N219" s="47" t="str">
        <x:v>moderate</x:v>
      </x:c>
      <x:c r="O219" s="51" t="n">
        <x:v>45</x:v>
      </x:c>
      <x:c r="P219" s="51" t="n">
        <x:v>240</x:v>
      </x:c>
      <x:c r="Q219" s="47" t="str">
        <x:v>target/anchor/check protocol</x:v>
      </x:c>
      <x:c r="R219" s="47" t="str">
        <x:v>non-target / ghost harm / escape</x:v>
      </x:c>
      <x:c r="S219" s="47" t="str">
        <x:v>Hunting trap/device</x:v>
      </x:c>
      <x:c r="T219" s="47" t="str"/>
      <x:c r="U219" s="47" t="str">
        <x:v>Compressed family/assembly</x:v>
      </x:c>
      <x:c r="V219" s="49"/>
      <x:c r="W219" s="49"/>
    </x:row>
    <x:row r="220">
      <x:c r="A220" s="47" t="str">
        <x:v>T-SNORKEL-KIT</x:v>
      </x:c>
      <x:c r="B220" s="47" t="str">
        <x:v>Qualified mask/snorkel/fin kit</x:v>
      </x:c>
      <x:c r="C220" s="47" t="str">
        <x:v>Diving</x:v>
      </x:c>
      <x:c r="D220" s="47" t="str">
        <x:v>Tool</x:v>
      </x:c>
      <x:c r="E220" s="47" t="str">
        <x:v>H2</x:v>
      </x:c>
      <x:c r="F220" s="47" t="str">
        <x:v>Carryable tool/equipment</x:v>
      </x:c>
      <x:c r="G220" s="47" t="str">
        <x:v>Yes</x:v>
      </x:c>
      <x:c r="H220" s="47" t="str">
        <x:v>Recover / repair / qualify</x:v>
      </x:c>
      <x:c r="I220" s="47" t="str">
        <x:v>S-GLASS; S-RUBBER</x:v>
      </x:c>
      <x:c r="J220" s="47" t="str">
        <x:v>inspect / repair / fit / test</x:v>
      </x:c>
      <x:c r="K220" s="47" t="str">
        <x:v>seals / straps</x:v>
      </x:c>
      <x:c r="L220" s="47" t="str">
        <x:v>clean marine bench</x:v>
      </x:c>
      <x:c r="M220" s="47" t="str">
        <x:v>equipment and fit</x:v>
      </x:c>
      <x:c r="N220" s="47" t="str">
        <x:v>light</x:v>
      </x:c>
      <x:c r="O220" s="51" t="n">
        <x:v>60</x:v>
      </x:c>
      <x:c r="P220" s="51" t="n">
        <x:v>0</x:v>
      </x:c>
      <x:c r="Q220" s="47" t="str">
        <x:v>shallow leak/fit/clear test</x:v>
      </x:c>
      <x:c r="R220" s="47" t="str">
        <x:v>flood / strap / false confidence</x:v>
      </x:c>
      <x:c r="S220" s="47" t="str"/>
      <x:c r="T220" s="47" t="str"/>
      <x:c r="U220" s="47" t="str">
        <x:v>Compressed family/assembly</x:v>
      </x:c>
      <x:c r="V220" s="49"/>
      <x:c r="W220" s="49"/>
    </x:row>
    <x:row r="221">
      <x:c r="A221" s="47" t="str">
        <x:v>A-SNORKEL-SURVEY</x:v>
      </x:c>
      <x:c r="B221" s="47" t="str">
        <x:v>Snorkel survey capability</x:v>
      </x:c>
      <x:c r="C221" s="47" t="str">
        <x:v>Diving</x:v>
      </x:c>
      <x:c r="D221" s="47" t="str">
        <x:v>Endpoint</x:v>
      </x:c>
      <x:c r="E221" s="47" t="str">
        <x:v>H2</x:v>
      </x:c>
      <x:c r="F221" s="47" t="str">
        <x:v>Placeable system/capability</x:v>
      </x:c>
      <x:c r="G221" s="47" t="str">
        <x:v>No</x:v>
      </x:c>
      <x:c r="H221" s="47" t="str">
        <x:v>Make / assemble / qualify</x:v>
      </x:c>
      <x:c r="I221" s="47" t="str">
        <x:v>T-SNORKEL-KIT; A-DIVE</x:v>
      </x:c>
      <x:c r="J221" s="47" t="str">
        <x:v>route / observe / mark / exit</x:v>
      </x:c>
      <x:c r="K221" s="47" t="str">
        <x:v>snorkel kit / float</x:v>
      </x:c>
      <x:c r="L221" s="47" t="str">
        <x:v>lagoon</x:v>
      </x:c>
      <x:c r="M221" s="47" t="str">
        <x:v>swim / marine observation</x:v>
      </x:c>
      <x:c r="N221" s="47" t="str">
        <x:v>high</x:v>
      </x:c>
      <x:c r="O221" s="51" t="n">
        <x:v>60</x:v>
      </x:c>
      <x:c r="P221" s="51" t="n">
        <x:v>0</x:v>
      </x:c>
      <x:c r="Q221" s="47" t="str">
        <x:v>same-route reserve and map</x:v>
      </x:c>
      <x:c r="R221" s="47" t="str">
        <x:v>current / sun / fixation</x:v>
      </x:c>
      <x:c r="S221" s="47" t="str"/>
      <x:c r="T221" s="47" t="str"/>
      <x:c r="U221" s="47" t="str">
        <x:v>Compressed family/assembly</x:v>
      </x:c>
      <x:c r="V221" s="49"/>
      <x:c r="W221" s="49"/>
    </x:row>
    <x:row r="222">
      <x:c r="A222" s="47" t="str">
        <x:v>A-DIVE-LINE</x:v>
      </x:c>
      <x:c r="B222" s="47" t="str">
        <x:v>Tended shallow-dive line system</x:v>
      </x:c>
      <x:c r="C222" s="47" t="str">
        <x:v>Diving</x:v>
      </x:c>
      <x:c r="D222" s="47" t="str">
        <x:v>Endpoint</x:v>
      </x:c>
      <x:c r="E222" s="47" t="str">
        <x:v>H3</x:v>
      </x:c>
      <x:c r="F222" s="47" t="str">
        <x:v>Placeable system/capability</x:v>
      </x:c>
      <x:c r="G222" s="47" t="str">
        <x:v>No</x:v>
      </x:c>
      <x:c r="H222" s="47" t="str">
        <x:v>Recover / repair / qualify</x:v>
      </x:c>
      <x:c r="I222" s="47" t="str">
        <x:v>P-ROPE; A-FLOAT</x:v>
      </x:c>
      <x:c r="J222" s="47" t="str">
        <x:v>anchor / tend / signal / recover</x:v>
      </x:c>
      <x:c r="K222" s="47" t="str">
        <x:v>rated rope / float</x:v>
      </x:c>
      <x:c r="L222" s="47" t="str">
        <x:v>shore/boat</x:v>
      </x:c>
      <x:c r="M222" s="47" t="str">
        <x:v>line and rescue discipline</x:v>
      </x:c>
      <x:c r="N222" s="47" t="str">
        <x:v>high</x:v>
      </x:c>
      <x:c r="O222" s="51" t="n">
        <x:v>90</x:v>
      </x:c>
      <x:c r="P222" s="51" t="n">
        <x:v>0</x:v>
      </x:c>
      <x:c r="Q222" s="47" t="str">
        <x:v>signal/recovery/entanglement drill</x:v>
      </x:c>
      <x:c r="R222" s="47" t="str">
        <x:v>snag / false security</x:v>
      </x:c>
      <x:c r="S222" s="47" t="str"/>
      <x:c r="T222" s="47" t="str"/>
      <x:c r="U222" s="47" t="str">
        <x:v>Compressed family/assembly</x:v>
      </x:c>
      <x:c r="V222" s="49"/>
      <x:c r="W222" s="49"/>
    </x:row>
    <x:row r="223">
      <x:c r="A223" s="47" t="str">
        <x:v>A-PUMP-DRAIN</x:v>
      </x:c>
      <x:c r="B223" s="47" t="str">
        <x:v>Pump/drain/reposition marine operation</x:v>
      </x:c>
      <x:c r="C223" s="47" t="str">
        <x:v>Diving</x:v>
      </x:c>
      <x:c r="D223" s="47" t="str">
        <x:v>Endpoint</x:v>
      </x:c>
      <x:c r="E223" s="47" t="str">
        <x:v>H4</x:v>
      </x:c>
      <x:c r="F223" s="47" t="str">
        <x:v>Placeable system/capability</x:v>
      </x:c>
      <x:c r="G223" s="47" t="str">
        <x:v>No</x:v>
      </x:c>
      <x:c r="H223" s="47" t="str">
        <x:v>Make / assemble / qualify</x:v>
      </x:c>
      <x:c r="I223" s="47" t="str">
        <x:v>A-PUMP; A-PIPE</x:v>
      </x:c>
      <x:c r="J223" s="47" t="str">
        <x:v>seal / pump / monitor / stabilize</x:v>
      </x:c>
      <x:c r="K223" s="47" t="str">
        <x:v>pump / pipe</x:v>
      </x:c>
      <x:c r="L223" s="47" t="str">
        <x:v>wreck/boatyard</x:v>
      </x:c>
      <x:c r="M223" s="47" t="str">
        <x:v>hydraulics and stability</x:v>
      </x:c>
      <x:c r="N223" s="47" t="str">
        <x:v>high</x:v>
      </x:c>
      <x:c r="O223" s="51" t="n">
        <x:v>240</x:v>
      </x:c>
      <x:c r="P223" s="51" t="n">
        <x:v>0</x:v>
      </x:c>
      <x:c r="Q223" s="47" t="str">
        <x:v>stable water level and safe stop</x:v>
      </x:c>
      <x:c r="R223" s="47" t="str">
        <x:v>shift / flood / contamination</x:v>
      </x:c>
      <x:c r="S223" s="47" t="str"/>
      <x:c r="T223" s="47" t="str"/>
      <x:c r="U223" s="47" t="str">
        <x:v>Compressed family/assembly</x:v>
      </x:c>
      <x:c r="V223" s="49"/>
      <x:c r="W223" s="49"/>
    </x:row>
    <x:row r="224">
      <x:c r="A224" s="47" t="str">
        <x:v>A-REMOTE-SURVEY</x:v>
      </x:c>
      <x:c r="B224" s="47" t="str">
        <x:v>Remote camera/sonar survey</x:v>
      </x:c>
      <x:c r="C224" s="47" t="str">
        <x:v>Diving</x:v>
      </x:c>
      <x:c r="D224" s="47" t="str">
        <x:v>Endpoint</x:v>
      </x:c>
      <x:c r="E224" s="47" t="str">
        <x:v>H5</x:v>
      </x:c>
      <x:c r="F224" s="47" t="str">
        <x:v>Placeable system/capability</x:v>
      </x:c>
      <x:c r="G224" s="47" t="str">
        <x:v>No</x:v>
      </x:c>
      <x:c r="H224" s="47" t="str">
        <x:v>Make / assemble / qualify</x:v>
      </x:c>
      <x:c r="I224" s="47" t="str">
        <x:v>A-RECEIVER; A-GRID</x:v>
      </x:c>
      <x:c r="J224" s="47" t="str">
        <x:v>power / lower / navigate / interpret</x:v>
      </x:c>
      <x:c r="K224" s="47" t="str">
        <x:v>camera/receiver/grid</x:v>
      </x:c>
      <x:c r="L224" s="47" t="str">
        <x:v>boat/shore station</x:v>
      </x:c>
      <x:c r="M224" s="47" t="str">
        <x:v>electronics and marine survey</x:v>
      </x:c>
      <x:c r="N224" s="47" t="str">
        <x:v>moderate</x:v>
      </x:c>
      <x:c r="O224" s="51" t="n">
        <x:v>180</x:v>
      </x:c>
      <x:c r="P224" s="51" t="n">
        <x:v>0</x:v>
      </x:c>
      <x:c r="Q224" s="47" t="str">
        <x:v>located target and recoverable record</x:v>
      </x:c>
      <x:c r="R224" s="47" t="str">
        <x:v>cable loss / false reading</x:v>
      </x:c>
      <x:c r="S224" s="47" t="str"/>
      <x:c r="T224" s="47" t="str"/>
      <x:c r="U224" s="47" t="str">
        <x:v>Compressed family/assembly</x:v>
      </x:c>
      <x:c r="V224" s="49"/>
      <x:c r="W224" s="49"/>
    </x:row>
    <x:row r="225">
      <x:c r="A225" s="47" t="str">
        <x:v>A-STEWARDSHIP</x:v>
      </x:c>
      <x:c r="B225" s="47" t="str">
        <x:v>Second-Life stewardship ledger</x:v>
      </x:c>
      <x:c r="C225" s="47" t="str">
        <x:v>Time</x:v>
      </x:c>
      <x:c r="D225" s="47" t="str">
        <x:v>Assembly</x:v>
      </x:c>
      <x:c r="E225" s="47" t="str">
        <x:v>H3</x:v>
      </x:c>
      <x:c r="F225" s="47" t="str">
        <x:v>Placeable/deployable assembly</x:v>
      </x:c>
      <x:c r="G225" s="47" t="str">
        <x:v>No</x:v>
      </x:c>
      <x:c r="H225" s="47" t="str">
        <x:v>Make / assemble / qualify</x:v>
      </x:c>
      <x:c r="I225" s="47" t="str">
        <x:v>W-ARCHIVE; A-WORKING-HOME</x:v>
      </x:c>
      <x:c r="J225" s="47" t="str">
        <x:v>commission / schedule / limit / report</x:v>
      </x:c>
      <x:c r="K225" s="47" t="str">
        <x:v>archive / labels</x:v>
      </x:c>
      <x:c r="L225" s="47" t="str">
        <x:v>working home</x:v>
      </x:c>
      <x:c r="M225" s="47" t="str">
        <x:v>planning and maintenance</x:v>
      </x:c>
      <x:c r="N225" s="47" t="str">
        <x:v>light</x:v>
      </x:c>
      <x:c r="O225" s="51" t="n">
        <x:v>120</x:v>
      </x:c>
      <x:c r="P225" s="51" t="n">
        <x:v>0</x:v>
      </x:c>
      <x:c r="Q225" s="47" t="str">
        <x:v>return report matches physical state</x:v>
      </x:c>
      <x:c r="R225" s="47" t="str">
        <x:v>hidden debt / chore wall</x:v>
      </x:c>
      <x:c r="S225" s="47" t="str"/>
      <x:c r="T225" s="47" t="str"/>
      <x:c r="U225" s="47" t="str">
        <x:v>Governed node; variants not separated</x:v>
      </x:c>
      <x:c r="V225" s="49"/>
      <x:c r="W225" s="49"/>
    </x:row>
    <x:row r="226">
      <x:c r="A226" s="47" t="str">
        <x:v>A-SAFE-ROUTINE</x:v>
      </x:c>
      <x:c r="B226" s="47" t="str">
        <x:v>Offline-safe proven routine</x:v>
      </x:c>
      <x:c r="C226" s="47" t="str">
        <x:v>Time</x:v>
      </x:c>
      <x:c r="D226" s="47" t="str">
        <x:v>Endpoint</x:v>
      </x:c>
      <x:c r="E226" s="47" t="str">
        <x:v>H4</x:v>
      </x:c>
      <x:c r="F226" s="47" t="str">
        <x:v>Placeable system/capability</x:v>
      </x:c>
      <x:c r="G226" s="47" t="str">
        <x:v>No</x:v>
      </x:c>
      <x:c r="H226" s="47" t="str">
        <x:v>Make / assemble / qualify</x:v>
      </x:c>
      <x:c r="I226" s="47" t="str">
        <x:v>A-STEWARDSHIP; A-VALVE</x:v>
      </x:c>
      <x:c r="J226" s="47" t="str">
        <x:v>stage / run / stop / report</x:v>
      </x:c>
      <x:c r="K226" s="47" t="str">
        <x:v>controls / storage</x:v>
      </x:c>
      <x:c r="L226" s="47" t="str">
        <x:v>commissioned system</x:v>
      </x:c>
      <x:c r="M226" s="47" t="str">
        <x:v>automation and fault response</x:v>
      </x:c>
      <x:c r="N226" s="47" t="str">
        <x:v>none while offline</x:v>
      </x:c>
      <x:c r="O226" s="51" t="n">
        <x:v>60</x:v>
      </x:c>
      <x:c r="P226" s="51" t="n">
        <x:v>1440</x:v>
      </x:c>
      <x:c r="Q226" s="47" t="str">
        <x:v>input limit and safe-stop drill</x:v>
      </x:c>
      <x:c r="R226" s="47" t="str">
        <x:v>overrun / hidden hazard</x:v>
      </x:c>
      <x:c r="S226" s="47" t="str"/>
      <x:c r="T226" s="47" t="str"/>
      <x:c r="U226" s="47" t="str">
        <x:v>Governed node; variants not separated</x:v>
      </x:c>
      <x:c r="V226" s="49"/>
      <x:c r="W226" s="49"/>
    </x:row>
  </x:sheetData>
  <x:mergeCells>
    <x:mergeCell ref="A1:W1"/>
    <x:mergeCell ref="A2:W2"/>
  </x:mergeCells>
  <x:dataValidations count="1">
    <x:dataValidation type="list" sqref="V5:V226">
      <x:formula1>"Keep,Rename,Expand family,Split variants,Remove,Needs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a1ee856ce74f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32" hidden="0" customWidth="1"/>
    <x:col min="4" max="4" width="14" hidden="0" customWidth="1"/>
    <x:col min="5" max="5" width="14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12" hidden="0" customWidth="1"/>
    <x:col min="11" max="11" width="30" hidden="0" customWidth="1"/>
    <x:col min="12" max="12" width="30" hidden="0" customWidth="1"/>
  </x:cols>
  <x:sheetData>
    <x:row r="1" ht="28" customHeight="1">
      <x:c r="A1" s="3" t="str">
        <x:v>Tool Roster — Exact Current Count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2" customHeight="1">
      <x:c r="A2" s="7" t="str">
        <x:v>32 nodes are classified as Tool. The Domain column shows why the count is broader than hand tools alone; specialist equipment remains visible rather than being silently excluded.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6" t="str">
        <x:v>#</x:v>
      </x:c>
      <x:c r="B4" s="17" t="str">
        <x:v>Node ID</x:v>
      </x:c>
      <x:c r="C4" s="17" t="str">
        <x:v>Name</x:v>
      </x:c>
      <x:c r="D4" s="17" t="str">
        <x:v>Domain</x:v>
      </x:c>
      <x:c r="E4" s="17" t="str">
        <x:v>Threshold</x:v>
      </x:c>
      <x:c r="F4" s="17" t="str">
        <x:v>Inputs</x:v>
      </x:c>
      <x:c r="G4" s="17" t="str">
        <x:v>Required tools</x:v>
      </x:c>
      <x:c r="H4" s="17" t="str">
        <x:v>Workspace</x:v>
      </x:c>
      <x:c r="I4" s="17" t="str">
        <x:v>Skills / knowledge</x:v>
      </x:c>
      <x:c r="J4" s="17" t="str">
        <x:v>Active min</x:v>
      </x:c>
      <x:c r="K4" s="17" t="str">
        <x:v>Qualification</x:v>
      </x:c>
      <x:c r="L4" s="18" t="str">
        <x:v>Audit note</x:v>
      </x:c>
    </x:row>
    <x:row r="5">
      <x:c r="A5" s="46" t="n">
        <x:v>1</x:v>
      </x:c>
      <x:c r="B5" s="46" t="str">
        <x:v>T-HAMMERSTONE</x:v>
      </x:c>
      <x:c r="C5" s="46" t="str">
        <x:v>Hammer stone</x:v>
      </x:c>
      <x:c r="D5" s="46" t="str">
        <x:v>Tools</x:v>
      </x:c>
      <x:c r="E5" s="46" t="str">
        <x:v>H0</x:v>
      </x:c>
      <x:c r="F5" s="46" t="str">
        <x:v>S-STONE</x:v>
      </x:c>
      <x:c r="G5" s="46" t="str"/>
      <x:c r="H5" s="46" t="str">
        <x:v>world</x:v>
      </x:c>
      <x:c r="I5" s="46" t="str">
        <x:v>stone / striking</x:v>
      </x:c>
      <x:c r="J5" s="50" t="n">
        <x:v>5</x:v>
      </x:c>
      <x:c r="K5" s="46" t="str">
        <x:v>controlled strike</x:v>
      </x:c>
      <x:c r="L5" s="46" t="str">
        <x:v>Dual-use tool; no weapon model</x:v>
      </x:c>
    </x:row>
    <x:row r="6">
      <x:c r="A6" s="47" t="n">
        <x:v>2</x:v>
      </x:c>
      <x:c r="B6" s="47" t="str">
        <x:v>T-STONE-KNIFE</x:v>
      </x:c>
      <x:c r="C6" s="47" t="str">
        <x:v>Stone hand cutter</x:v>
      </x:c>
      <x:c r="D6" s="47" t="str">
        <x:v>Tools</x:v>
      </x:c>
      <x:c r="E6" s="47" t="str">
        <x:v>H0</x:v>
      </x:c>
      <x:c r="F6" s="47" t="str">
        <x:v>P-SHARP-EDGE; S-FIBER</x:v>
      </x:c>
      <x:c r="G6" s="47" t="str">
        <x:v>T-HAMMERSTONE</x:v>
      </x:c>
      <x:c r="H6" s="47" t="str">
        <x:v>W-WORKMAT</x:v>
      </x:c>
      <x:c r="I6" s="47" t="str">
        <x:v>edge / binding</x:v>
      </x:c>
      <x:c r="J6" s="51" t="n">
        <x:v>20</x:v>
      </x:c>
      <x:c r="K6" s="47" t="str">
        <x:v>safe varied cutting</x:v>
      </x:c>
      <x:c r="L6" s="47" t="str">
        <x:v>Dual-use tool; no weapon model</x:v>
      </x:c>
    </x:row>
    <x:row r="7">
      <x:c r="A7" s="47" t="n">
        <x:v>3</x:v>
      </x:c>
      <x:c r="B7" s="47" t="str">
        <x:v>T-MEASURE</x:v>
      </x:c>
      <x:c r="C7" s="47" t="str">
        <x:v>Marked cord/gauge/level</x:v>
      </x:c>
      <x:c r="D7" s="47" t="str">
        <x:v>Tools</x:v>
      </x:c>
      <x:c r="E7" s="47" t="str">
        <x:v>H2</x:v>
      </x:c>
      <x:c r="F7" s="47" t="str">
        <x:v>P-CORD; P-STRAIGHT-POLE; P-CLEAN-WATER</x:v>
      </x:c>
      <x:c r="G7" s="47" t="str">
        <x:v>T-STONE-KNIFE</x:v>
      </x:c>
      <x:c r="H7" s="47" t="str">
        <x:v>W-WORKMAT</x:v>
      </x:c>
      <x:c r="I7" s="47" t="str">
        <x:v>measurement</x:v>
      </x:c>
      <x:c r="J7" s="51" t="n">
        <x:v>45</x:v>
      </x:c>
      <x:c r="K7" s="47" t="str">
        <x:v>known-length/level test</x:v>
      </x:c>
      <x:c r="L7" s="47" t="str">
        <x:v>General work tool</x:v>
      </x:c>
    </x:row>
    <x:row r="8">
      <x:c r="A8" s="47" t="n">
        <x:v>4</x:v>
      </x:c>
      <x:c r="B8" s="47" t="str">
        <x:v>T-AXE</x:v>
      </x:c>
      <x:c r="C8" s="47" t="str">
        <x:v>Handled chopping tool</x:v>
      </x:c>
      <x:c r="D8" s="47" t="str">
        <x:v>Tools</x:v>
      </x:c>
      <x:c r="E8" s="47" t="str">
        <x:v>H2</x:v>
      </x:c>
      <x:c r="F8" s="47" t="str">
        <x:v>P-SHARP-EDGE; P-STRAIGHT-POLE; P-CORD; P-PEG</x:v>
      </x:c>
      <x:c r="G8" s="47" t="str">
        <x:v>T-MALLET</x:v>
      </x:c>
      <x:c r="H8" s="47" t="str">
        <x:v>W-BENCH</x:v>
      </x:c>
      <x:c r="I8" s="47" t="str">
        <x:v>toolmaking / timber</x:v>
      </x:c>
      <x:c r="J8" s="51" t="n">
        <x:v>120</x:v>
      </x:c>
      <x:c r="K8" s="47" t="str">
        <x:v>repeated strike/haft test</x:v>
      </x:c>
      <x:c r="L8" s="47" t="str">
        <x:v>Dual-use tool; no weapon model</x:v>
      </x:c>
    </x:row>
    <x:row r="9">
      <x:c r="A9" s="47" t="n">
        <x:v>5</x:v>
      </x:c>
      <x:c r="B9" s="47" t="str">
        <x:v>T-ADZE</x:v>
      </x:c>
      <x:c r="C9" s="47" t="str">
        <x:v>Adze/hewing tool</x:v>
      </x:c>
      <x:c r="D9" s="47" t="str">
        <x:v>Tools</x:v>
      </x:c>
      <x:c r="E9" s="47" t="str">
        <x:v>H3</x:v>
      </x:c>
      <x:c r="F9" s="47" t="str">
        <x:v>P-METAL-STOCK; P-STRAIGHT-POLE; P-PEG</x:v>
      </x:c>
      <x:c r="G9" s="47" t="str">
        <x:v>T-HAMMER</x:v>
      </x:c>
      <x:c r="H9" s="47" t="str">
        <x:v>W-BENCH</x:v>
      </x:c>
      <x:c r="I9" s="47" t="str">
        <x:v>metal / timber</x:v>
      </x:c>
      <x:c r="J9" s="51" t="n">
        <x:v>180</x:v>
      </x:c>
      <x:c r="K9" s="47" t="str">
        <x:v>controlled hew</x:v>
      </x:c>
      <x:c r="L9" s="47" t="str">
        <x:v>General work tool</x:v>
      </x:c>
    </x:row>
    <x:row r="10">
      <x:c r="A10" s="47" t="n">
        <x:v>6</x:v>
      </x:c>
      <x:c r="B10" s="47" t="str">
        <x:v>T-MALLET</x:v>
      </x:c>
      <x:c r="C10" s="47" t="str">
        <x:v>Wood/stone mallet</x:v>
      </x:c>
      <x:c r="D10" s="47" t="str">
        <x:v>Tools</x:v>
      </x:c>
      <x:c r="E10" s="47" t="str">
        <x:v>H1</x:v>
      </x:c>
      <x:c r="F10" s="47" t="str">
        <x:v>P-STRAIGHT-POLE; P-PEG</x:v>
      </x:c>
      <x:c r="G10" s="47" t="str">
        <x:v>T-STONE-KNIFE</x:v>
      </x:c>
      <x:c r="H10" s="47" t="str">
        <x:v>W-WORKMAT</x:v>
      </x:c>
      <x:c r="I10" s="47" t="str">
        <x:v>toolmaking</x:v>
      </x:c>
      <x:c r="J10" s="51" t="n">
        <x:v>45</x:v>
      </x:c>
      <x:c r="K10" s="47" t="str">
        <x:v>strike/haft test</x:v>
      </x:c>
      <x:c r="L10" s="47" t="str">
        <x:v>General work tool</x:v>
      </x:c>
    </x:row>
    <x:row r="11">
      <x:c r="A11" s="47" t="n">
        <x:v>7</x:v>
      </x:c>
      <x:c r="B11" s="47" t="str">
        <x:v>T-HAMMER</x:v>
      </x:c>
      <x:c r="C11" s="47" t="str">
        <x:v>Fitted metal hammer</x:v>
      </x:c>
      <x:c r="D11" s="47" t="str">
        <x:v>Tools</x:v>
      </x:c>
      <x:c r="E11" s="47" t="str">
        <x:v>H4</x:v>
      </x:c>
      <x:c r="F11" s="47" t="str">
        <x:v>P-METAL-STOCK; P-STRAIGHT-POLE; P-PEG; W-FORGE</x:v>
      </x:c>
      <x:c r="G11" s="47" t="str">
        <x:v>T-TONGS</x:v>
      </x:c>
      <x:c r="H11" s="47" t="str">
        <x:v>W-FORGE</x:v>
      </x:c>
      <x:c r="I11" s="47" t="str">
        <x:v>metal / toolmaking</x:v>
      </x:c>
      <x:c r="J11" s="51" t="n">
        <x:v>240</x:v>
      </x:c>
      <x:c r="K11" s="47" t="str">
        <x:v>face/haft/load test</x:v>
      </x:c>
      <x:c r="L11" s="47" t="str">
        <x:v>General work tool</x:v>
      </x:c>
    </x:row>
    <x:row r="12">
      <x:c r="A12" s="47" t="n">
        <x:v>8</x:v>
      </x:c>
      <x:c r="B12" s="47" t="str">
        <x:v>T-CHISEL</x:v>
      </x:c>
      <x:c r="C12" s="47" t="str">
        <x:v>Chisel/wedge set</x:v>
      </x:c>
      <x:c r="D12" s="47" t="str">
        <x:v>Tools</x:v>
      </x:c>
      <x:c r="E12" s="47" t="str">
        <x:v>H3</x:v>
      </x:c>
      <x:c r="F12" s="47" t="str">
        <x:v>P-METAL-STOCK; W-FORGE</x:v>
      </x:c>
      <x:c r="G12" s="47" t="str">
        <x:v>T-HAMMER</x:v>
      </x:c>
      <x:c r="H12" s="47" t="str">
        <x:v>W-FORGE</x:v>
      </x:c>
      <x:c r="I12" s="47" t="str">
        <x:v>metal / fracture</x:v>
      </x:c>
      <x:c r="J12" s="51" t="n">
        <x:v>180</x:v>
      </x:c>
      <x:c r="K12" s="47" t="str">
        <x:v>edge and strike test</x:v>
      </x:c>
      <x:c r="L12" s="47" t="str">
        <x:v>General work tool</x:v>
      </x:c>
    </x:row>
    <x:row r="13">
      <x:c r="A13" s="47" t="n">
        <x:v>9</x:v>
      </x:c>
      <x:c r="B13" s="47" t="str">
        <x:v>T-PRY</x:v>
      </x:c>
      <x:c r="C13" s="47" t="str">
        <x:v>Pry bar/leverage tool</x:v>
      </x:c>
      <x:c r="D13" s="47" t="str">
        <x:v>Tools</x:v>
      </x:c>
      <x:c r="E13" s="47" t="str">
        <x:v>H3</x:v>
      </x:c>
      <x:c r="F13" s="47" t="str">
        <x:v>P-METAL-STOCK; W-FORGE</x:v>
      </x:c>
      <x:c r="G13" s="47" t="str">
        <x:v>T-HAMMER</x:v>
      </x:c>
      <x:c r="H13" s="47" t="str">
        <x:v>W-FORGE</x:v>
      </x:c>
      <x:c r="I13" s="47" t="str">
        <x:v>metal / leverage</x:v>
      </x:c>
      <x:c r="J13" s="51" t="n">
        <x:v>120</x:v>
      </x:c>
      <x:c r="K13" s="47" t="str">
        <x:v>proof bend</x:v>
      </x:c>
      <x:c r="L13" s="47" t="str">
        <x:v>Dual-use tool; no weapon model</x:v>
      </x:c>
    </x:row>
    <x:row r="14">
      <x:c r="A14" s="47" t="n">
        <x:v>10</x:v>
      </x:c>
      <x:c r="B14" s="47" t="str">
        <x:v>T-AWL</x:v>
      </x:c>
      <x:c r="C14" s="47" t="str">
        <x:v>Awl/piercer</x:v>
      </x:c>
      <x:c r="D14" s="47" t="str">
        <x:v>Tools</x:v>
      </x:c>
      <x:c r="E14" s="47" t="str">
        <x:v>H1</x:v>
      </x:c>
      <x:c r="F14" s="47" t="str">
        <x:v>S-BONE; P-SHARP-EDGE</x:v>
      </x:c>
      <x:c r="G14" s="47" t="str">
        <x:v>T-STONE-KNIFE</x:v>
      </x:c>
      <x:c r="H14" s="47" t="str">
        <x:v>W-WORKMAT</x:v>
      </x:c>
      <x:c r="I14" s="47" t="str">
        <x:v>bone / sewing</x:v>
      </x:c>
      <x:c r="J14" s="51" t="n">
        <x:v>30</x:v>
      </x:c>
      <x:c r="K14" s="47" t="str">
        <x:v>pierce sample</x:v>
      </x:c>
      <x:c r="L14" s="47" t="str">
        <x:v>General work tool</x:v>
      </x:c>
    </x:row>
    <x:row r="15">
      <x:c r="A15" s="47" t="n">
        <x:v>11</x:v>
      </x:c>
      <x:c r="B15" s="47" t="str">
        <x:v>T-BOW-DRILL</x:v>
      </x:c>
      <x:c r="C15" s="47" t="str">
        <x:v>Bow/hand drill</x:v>
      </x:c>
      <x:c r="D15" s="47" t="str">
        <x:v>Tools</x:v>
      </x:c>
      <x:c r="E15" s="47" t="str">
        <x:v>H2</x:v>
      </x:c>
      <x:c r="F15" s="47" t="str">
        <x:v>P-STRAIGHT-POLE; P-CORD; P-SHARP-EDGE</x:v>
      </x:c>
      <x:c r="G15" s="47" t="str">
        <x:v>T-STONE-KNIFE</x:v>
      </x:c>
      <x:c r="H15" s="47" t="str">
        <x:v>W-WORKMAT</x:v>
      </x:c>
      <x:c r="I15" s="47" t="str">
        <x:v>boring / fire</x:v>
      </x:c>
      <x:c r="J15" s="51" t="n">
        <x:v>90</x:v>
      </x:c>
      <x:c r="K15" s="47" t="str">
        <x:v>controlled bore/ember</x:v>
      </x:c>
      <x:c r="L15" s="47" t="str">
        <x:v>General work tool</x:v>
      </x:c>
    </x:row>
    <x:row r="16">
      <x:c r="A16" s="47" t="n">
        <x:v>12</x:v>
      </x:c>
      <x:c r="B16" s="47" t="str">
        <x:v>T-DRILL</x:v>
      </x:c>
      <x:c r="C16" s="47" t="str">
        <x:v>Brace/drill and bits</x:v>
      </x:c>
      <x:c r="D16" s="47" t="str">
        <x:v>Tools</x:v>
      </x:c>
      <x:c r="E16" s="47" t="str">
        <x:v>H4</x:v>
      </x:c>
      <x:c r="F16" s="47" t="str">
        <x:v>P-METAL-STOCK; P-STRAIGHT-POLE; W-FORGE</x:v>
      </x:c>
      <x:c r="G16" s="47" t="str">
        <x:v>T-HAMMER</x:v>
      </x:c>
      <x:c r="H16" s="47" t="str">
        <x:v>W-BENCH</x:v>
      </x:c>
      <x:c r="I16" s="47" t="str">
        <x:v>metal / boring</x:v>
      </x:c>
      <x:c r="J16" s="51" t="n">
        <x:v>300</x:v>
      </x:c>
      <x:c r="K16" s="47" t="str">
        <x:v>round/aligned hole</x:v>
      </x:c>
      <x:c r="L16" s="47" t="str">
        <x:v>General work tool</x:v>
      </x:c>
    </x:row>
    <x:row r="17">
      <x:c r="A17" s="47" t="n">
        <x:v>13</x:v>
      </x:c>
      <x:c r="B17" s="47" t="str">
        <x:v>T-SAW</x:v>
      </x:c>
      <x:c r="C17" s="47" t="str">
        <x:v>Saw/hacksaw route</x:v>
      </x:c>
      <x:c r="D17" s="47" t="str">
        <x:v>Tools</x:v>
      </x:c>
      <x:c r="E17" s="47" t="str">
        <x:v>H4</x:v>
      </x:c>
      <x:c r="F17" s="47" t="str">
        <x:v>P-METAL-STOCK; P-STRAIGHT-POLE; W-FORGE</x:v>
      </x:c>
      <x:c r="G17" s="47" t="str">
        <x:v>T-FILE</x:v>
      </x:c>
      <x:c r="H17" s="47" t="str">
        <x:v>W-BENCH</x:v>
      </x:c>
      <x:c r="I17" s="47" t="str">
        <x:v>metal / timber</x:v>
      </x:c>
      <x:c r="J17" s="51" t="n">
        <x:v>360</x:v>
      </x:c>
      <x:c r="K17" s="47" t="str">
        <x:v>straight cut</x:v>
      </x:c>
      <x:c r="L17" s="47" t="str">
        <x:v>General work tool</x:v>
      </x:c>
    </x:row>
    <x:row r="18">
      <x:c r="A18" s="47" t="n">
        <x:v>14</x:v>
      </x:c>
      <x:c r="B18" s="47" t="str">
        <x:v>T-FILE</x:v>
      </x:c>
      <x:c r="C18" s="47" t="str">
        <x:v>File/abrasive tool</x:v>
      </x:c>
      <x:c r="D18" s="47" t="str">
        <x:v>Tools</x:v>
      </x:c>
      <x:c r="E18" s="47" t="str">
        <x:v>H3</x:v>
      </x:c>
      <x:c r="F18" s="47" t="str">
        <x:v>S-STONE; P-METAL-STOCK</x:v>
      </x:c>
      <x:c r="G18" s="47" t="str">
        <x:v>T-HAMMER</x:v>
      </x:c>
      <x:c r="H18" s="47" t="str">
        <x:v>W-FORGE</x:v>
      </x:c>
      <x:c r="I18" s="47" t="str">
        <x:v>abrasion / metal</x:v>
      </x:c>
      <x:c r="J18" s="51" t="n">
        <x:v>180</x:v>
      </x:c>
      <x:c r="K18" s="47" t="str">
        <x:v>controlled deburr</x:v>
      </x:c>
      <x:c r="L18" s="47" t="str">
        <x:v>General work tool</x:v>
      </x:c>
    </x:row>
    <x:row r="19">
      <x:c r="A19" s="47" t="n">
        <x:v>15</x:v>
      </x:c>
      <x:c r="B19" s="47" t="str">
        <x:v>T-TONGS</x:v>
      </x:c>
      <x:c r="C19" s="47" t="str">
        <x:v>Tongs/gripping tool</x:v>
      </x:c>
      <x:c r="D19" s="47" t="str">
        <x:v>Tools</x:v>
      </x:c>
      <x:c r="E19" s="47" t="str">
        <x:v>H3</x:v>
      </x:c>
      <x:c r="F19" s="47" t="str">
        <x:v>P-METAL-STOCK; W-FORGE</x:v>
      </x:c>
      <x:c r="G19" s="47" t="str">
        <x:v>T-HAMMER</x:v>
      </x:c>
      <x:c r="H19" s="47" t="str">
        <x:v>W-FORGE</x:v>
      </x:c>
      <x:c r="I19" s="47" t="str">
        <x:v>metal / holding</x:v>
      </x:c>
      <x:c r="J19" s="51" t="n">
        <x:v>180</x:v>
      </x:c>
      <x:c r="K19" s="47" t="str">
        <x:v>hot-object grip</x:v>
      </x:c>
      <x:c r="L19" s="47" t="str">
        <x:v>General work tool</x:v>
      </x:c>
    </x:row>
    <x:row r="20">
      <x:c r="A20" s="47" t="n">
        <x:v>16</x:v>
      </x:c>
      <x:c r="B20" s="47" t="str">
        <x:v>T-CLAMP</x:v>
      </x:c>
      <x:c r="C20" s="47" t="str">
        <x:v>Clamp/vice/jig</x:v>
      </x:c>
      <x:c r="D20" s="47" t="str">
        <x:v>Tools</x:v>
      </x:c>
      <x:c r="E20" s="47" t="str">
        <x:v>H3</x:v>
      </x:c>
      <x:c r="F20" s="47" t="str">
        <x:v>P-PLANK; P-PEG; S-FASTENER</x:v>
      </x:c>
      <x:c r="G20" s="47" t="str">
        <x:v>T-DRILL</x:v>
      </x:c>
      <x:c r="H20" s="47" t="str">
        <x:v>W-BENCH</x:v>
      </x:c>
      <x:c r="I20" s="47" t="str">
        <x:v>workholding</x:v>
      </x:c>
      <x:c r="J20" s="51" t="n">
        <x:v>180</x:v>
      </x:c>
      <x:c r="K20" s="47" t="str">
        <x:v>holding force/alignment</x:v>
      </x:c>
      <x:c r="L20" s="47" t="str">
        <x:v>General work tool</x:v>
      </x:c>
    </x:row>
    <x:row r="21">
      <x:c r="A21" s="47" t="n">
        <x:v>17</x:v>
      </x:c>
      <x:c r="B21" s="47" t="str">
        <x:v>T-DIG</x:v>
      </x:c>
      <x:c r="C21" s="47" t="str">
        <x:v>Digging stick/scoop</x:v>
      </x:c>
      <x:c r="D21" s="47" t="str">
        <x:v>Tools</x:v>
      </x:c>
      <x:c r="E21" s="47" t="str">
        <x:v>H1</x:v>
      </x:c>
      <x:c r="F21" s="47" t="str">
        <x:v>P-STRAIGHT-POLE; P-SHARP-EDGE</x:v>
      </x:c>
      <x:c r="G21" s="47" t="str">
        <x:v>T-STONE-KNIFE</x:v>
      </x:c>
      <x:c r="H21" s="47" t="str">
        <x:v>W-WORKMAT</x:v>
      </x:c>
      <x:c r="I21" s="47" t="str">
        <x:v>earthwork</x:v>
      </x:c>
      <x:c r="J21" s="51" t="n">
        <x:v>45</x:v>
      </x:c>
      <x:c r="K21" s="47" t="str">
        <x:v>soil penetration</x:v>
      </x:c>
      <x:c r="L21" s="47" t="str">
        <x:v>General work tool</x:v>
      </x:c>
    </x:row>
    <x:row r="22">
      <x:c r="A22" s="47" t="n">
        <x:v>18</x:v>
      </x:c>
      <x:c r="B22" s="47" t="str">
        <x:v>T-SHOVEL</x:v>
      </x:c>
      <x:c r="C22" s="47" t="str">
        <x:v>Fitted shovel/mattock</x:v>
      </x:c>
      <x:c r="D22" s="47" t="str">
        <x:v>Tools</x:v>
      </x:c>
      <x:c r="E22" s="47" t="str">
        <x:v>H3</x:v>
      </x:c>
      <x:c r="F22" s="47" t="str">
        <x:v>P-METAL-STOCK; P-STRAIGHT-POLE; S-FASTENER</x:v>
      </x:c>
      <x:c r="G22" s="47" t="str">
        <x:v>T-HAMMER</x:v>
      </x:c>
      <x:c r="H22" s="47" t="str">
        <x:v>W-BENCH</x:v>
      </x:c>
      <x:c r="I22" s="47" t="str">
        <x:v>earthwork / metal</x:v>
      </x:c>
      <x:c r="J22" s="51" t="n">
        <x:v>240</x:v>
      </x:c>
      <x:c r="K22" s="47" t="str">
        <x:v>dig/lift test</x:v>
      </x:c>
      <x:c r="L22" s="47" t="str">
        <x:v>General work tool</x:v>
      </x:c>
    </x:row>
    <x:row r="23">
      <x:c r="A23" s="47" t="n">
        <x:v>19</x:v>
      </x:c>
      <x:c r="B23" s="47" t="str">
        <x:v>T-NEEDLE</x:v>
      </x:c>
      <x:c r="C23" s="47" t="str">
        <x:v>Needle/sewing set</x:v>
      </x:c>
      <x:c r="D23" s="47" t="str">
        <x:v>Tools</x:v>
      </x:c>
      <x:c r="E23" s="47" t="str">
        <x:v>H2</x:v>
      </x:c>
      <x:c r="F23" s="47" t="str">
        <x:v>S-BONE; T-AWL</x:v>
      </x:c>
      <x:c r="G23" s="47" t="str">
        <x:v>T-STONE-KNIFE</x:v>
      </x:c>
      <x:c r="H23" s="47" t="str">
        <x:v>W-WORKMAT</x:v>
      </x:c>
      <x:c r="I23" s="47" t="str">
        <x:v>sewing</x:v>
      </x:c>
      <x:c r="J23" s="51" t="n">
        <x:v>45</x:v>
      </x:c>
      <x:c r="K23" s="47" t="str">
        <x:v>seam sample</x:v>
      </x:c>
      <x:c r="L23" s="47" t="str">
        <x:v>General work tool</x:v>
      </x:c>
    </x:row>
    <x:row r="24">
      <x:c r="A24" s="47" t="n">
        <x:v>20</x:v>
      </x:c>
      <x:c r="B24" s="47" t="str">
        <x:v>T-SNIPS</x:v>
      </x:c>
      <x:c r="C24" s="47" t="str">
        <x:v>Sheet cutting tool</x:v>
      </x:c>
      <x:c r="D24" s="47" t="str">
        <x:v>Tools</x:v>
      </x:c>
      <x:c r="E24" s="47" t="str">
        <x:v>H4</x:v>
      </x:c>
      <x:c r="F24" s="47" t="str">
        <x:v>P-METAL-STOCK; W-FORGE</x:v>
      </x:c>
      <x:c r="G24" s="47" t="str">
        <x:v>T-HAMMER</x:v>
      </x:c>
      <x:c r="H24" s="47" t="str">
        <x:v>W-FORGE</x:v>
      </x:c>
      <x:c r="I24" s="47" t="str">
        <x:v>metal / sheet</x:v>
      </x:c>
      <x:c r="J24" s="51" t="n">
        <x:v>300</x:v>
      </x:c>
      <x:c r="K24" s="47" t="str">
        <x:v>clean sheet cut</x:v>
      </x:c>
      <x:c r="L24" s="47" t="str">
        <x:v>General work tool</x:v>
      </x:c>
    </x:row>
    <x:row r="25">
      <x:c r="A25" s="47" t="n">
        <x:v>21</x:v>
      </x:c>
      <x:c r="B25" s="47" t="str">
        <x:v>T-PUNCH</x:v>
      </x:c>
      <x:c r="C25" s="47" t="str">
        <x:v>Punch/rivet set</x:v>
      </x:c>
      <x:c r="D25" s="47" t="str">
        <x:v>Tools</x:v>
      </x:c>
      <x:c r="E25" s="47" t="str">
        <x:v>H4</x:v>
      </x:c>
      <x:c r="F25" s="47" t="str">
        <x:v>P-METAL-STOCK; W-FORGE</x:v>
      </x:c>
      <x:c r="G25" s="47" t="str">
        <x:v>T-HAMMER</x:v>
      </x:c>
      <x:c r="H25" s="47" t="str">
        <x:v>W-FORGE</x:v>
      </x:c>
      <x:c r="I25" s="47" t="str">
        <x:v>metal / fastening</x:v>
      </x:c>
      <x:c r="J25" s="51" t="n">
        <x:v>180</x:v>
      </x:c>
      <x:c r="K25" s="47" t="str">
        <x:v>hole/rivet sample</x:v>
      </x:c>
      <x:c r="L25" s="47" t="str">
        <x:v>General work tool</x:v>
      </x:c>
    </x:row>
    <x:row r="26">
      <x:c r="A26" s="47" t="n">
        <x:v>22</x:v>
      </x:c>
      <x:c r="B26" s="47" t="str">
        <x:v>T-METER</x:v>
      </x:c>
      <x:c r="C26" s="47" t="str">
        <x:v>Electrical test meter</x:v>
      </x:c>
      <x:c r="D26" s="47" t="str">
        <x:v>Tools</x:v>
      </x:c>
      <x:c r="E26" s="47" t="str">
        <x:v>H5</x:v>
      </x:c>
      <x:c r="F26" s="47" t="str">
        <x:v>S-BATTERY; S-WIRE; S-RADIO</x:v>
      </x:c>
      <x:c r="G26" s="47" t="str"/>
      <x:c r="H26" s="47" t="str">
        <x:v>W-ELECTRICAL</x:v>
      </x:c>
      <x:c r="I26" s="47" t="str">
        <x:v>electrical / measurement</x:v>
      </x:c>
      <x:c r="J26" s="51" t="n">
        <x:v>240</x:v>
      </x:c>
      <x:c r="K26" s="47" t="str">
        <x:v>known reference test</x:v>
      </x:c>
      <x:c r="L26" s="47" t="str">
        <x:v>General work tool</x:v>
      </x:c>
    </x:row>
    <x:row r="27">
      <x:c r="A27" s="47" t="n">
        <x:v>23</x:v>
      </x:c>
      <x:c r="B27" s="47" t="str">
        <x:v>A-CRUTCH</x:v>
      </x:c>
      <x:c r="C27" s="47" t="str">
        <x:v>Crutch/cane</x:v>
      </x:c>
      <x:c r="D27" s="47" t="str">
        <x:v>Medicine</x:v>
      </x:c>
      <x:c r="E27" s="47" t="str">
        <x:v>H3</x:v>
      </x:c>
      <x:c r="F27" s="47" t="str">
        <x:v>P-STRAIGHT-POLE; P-MAT; P-CORD</x:v>
      </x:c>
      <x:c r="G27" s="47" t="str">
        <x:v>T-STONE-KNIFE</x:v>
      </x:c>
      <x:c r="H27" s="47" t="str">
        <x:v>W-BENCH</x:v>
      </x:c>
      <x:c r="I27" s="47" t="str">
        <x:v>medicine / construction</x:v>
      </x:c>
      <x:c r="J27" s="51" t="n">
        <x:v>90</x:v>
      </x:c>
      <x:c r="K27" s="47" t="str">
        <x:v>gait/load test</x:v>
      </x:c>
      <x:c r="L27" s="47" t="str">
        <x:v>Specialist tool/equipment</x:v>
      </x:c>
    </x:row>
    <x:row r="28">
      <x:c r="A28" s="47" t="n">
        <x:v>24</x:v>
      </x:c>
      <x:c r="B28" s="47" t="str">
        <x:v>A-FISH-LINE</x:v>
      </x:c>
      <x:c r="C28" s="47" t="str">
        <x:v>Fishing line/hook</x:v>
      </x:c>
      <x:c r="D28" s="47" t="str">
        <x:v>Food</x:v>
      </x:c>
      <x:c r="E28" s="47" t="str">
        <x:v>H2</x:v>
      </x:c>
      <x:c r="F28" s="47" t="str">
        <x:v>P-CORD; S-BONE; P-SHARP-EDGE</x:v>
      </x:c>
      <x:c r="G28" s="47" t="str">
        <x:v>T-STONE-KNIFE</x:v>
      </x:c>
      <x:c r="H28" s="47" t="str">
        <x:v>shore</x:v>
      </x:c>
      <x:c r="I28" s="47" t="str">
        <x:v>fishing / ecology</x:v>
      </x:c>
      <x:c r="J28" s="51" t="n">
        <x:v>60</x:v>
      </x:c>
      <x:c r="K28" s="47" t="str">
        <x:v>catch/retrieval test</x:v>
      </x:c>
      <x:c r="L28" s="47" t="str">
        <x:v>Specialist tool/equipment</x:v>
      </x:c>
    </x:row>
    <x:row r="29">
      <x:c r="A29" s="47" t="n">
        <x:v>25</x:v>
      </x:c>
      <x:c r="B29" s="47" t="str">
        <x:v>A-SPEAR</x:v>
      </x:c>
      <x:c r="C29" s="47" t="str">
        <x:v>Spear/harpoon</x:v>
      </x:c>
      <x:c r="D29" s="47" t="str">
        <x:v>Food</x:v>
      </x:c>
      <x:c r="E29" s="47" t="str">
        <x:v>H2</x:v>
      </x:c>
      <x:c r="F29" s="47" t="str">
        <x:v>P-STRAIGHT-POLE; P-SHARP-EDGE; P-CORD</x:v>
      </x:c>
      <x:c r="G29" s="47" t="str">
        <x:v>T-STONE-KNIFE</x:v>
      </x:c>
      <x:c r="H29" s="47" t="str">
        <x:v>safe range</x:v>
      </x:c>
      <x:c r="I29" s="47" t="str">
        <x:v>hunting / toolmaking</x:v>
      </x:c>
      <x:c r="J29" s="51" t="n">
        <x:v>90</x:v>
      </x:c>
      <x:c r="K29" s="47" t="str">
        <x:v>range/retention</x:v>
      </x:c>
      <x:c r="L29" s="47" t="str">
        <x:v>Weapon family (misclassified under Food)</x:v>
      </x:c>
    </x:row>
    <x:row r="30">
      <x:c r="A30" s="47" t="n">
        <x:v>26</x:v>
      </x:c>
      <x:c r="B30" s="47" t="str">
        <x:v>A-BASKET</x:v>
      </x:c>
      <x:c r="C30" s="47" t="str">
        <x:v>Carry basket</x:v>
      </x:c>
      <x:c r="D30" s="47" t="str">
        <x:v>Logistics</x:v>
      </x:c>
      <x:c r="E30" s="47" t="str">
        <x:v>H1</x:v>
      </x:c>
      <x:c r="F30" s="47" t="str">
        <x:v>P-MAT; P-CORD</x:v>
      </x:c>
      <x:c r="G30" s="47" t="str">
        <x:v>T-STONE-KNIFE</x:v>
      </x:c>
      <x:c r="H30" s="47" t="str">
        <x:v>W-WORKMAT</x:v>
      </x:c>
      <x:c r="I30" s="47" t="str">
        <x:v>weaving / logistics</x:v>
      </x:c>
      <x:c r="J30" s="51" t="n">
        <x:v>120</x:v>
      </x:c>
      <x:c r="K30" s="47" t="str">
        <x:v>load/carry</x:v>
      </x:c>
      <x:c r="L30" s="47" t="str">
        <x:v>Specialist tool/equipment</x:v>
      </x:c>
    </x:row>
    <x:row r="31">
      <x:c r="A31" s="47" t="n">
        <x:v>27</x:v>
      </x:c>
      <x:c r="B31" s="47" t="str">
        <x:v>A-PACK</x:v>
      </x:c>
      <x:c r="C31" s="47" t="str">
        <x:v>Pack frame/harness</x:v>
      </x:c>
      <x:c r="D31" s="47" t="str">
        <x:v>Logistics</x:v>
      </x:c>
      <x:c r="E31" s="47" t="str">
        <x:v>H3</x:v>
      </x:c>
      <x:c r="F31" s="47" t="str">
        <x:v>P-STRAIGHT-POLE; P-MAT; P-CORD</x:v>
      </x:c>
      <x:c r="G31" s="47" t="str">
        <x:v>T-MEASURE</x:v>
      </x:c>
      <x:c r="H31" s="47" t="str">
        <x:v>W-BENCH</x:v>
      </x:c>
      <x:c r="I31" s="47" t="str">
        <x:v>construction / logistics</x:v>
      </x:c>
      <x:c r="J31" s="51" t="n">
        <x:v>240</x:v>
      </x:c>
      <x:c r="K31" s="47" t="str">
        <x:v>fit/load/route</x:v>
      </x:c>
      <x:c r="L31" s="47" t="str">
        <x:v>Specialist tool/equipment</x:v>
      </x:c>
    </x:row>
    <x:row r="32">
      <x:c r="A32" s="47" t="n">
        <x:v>28</x:v>
      </x:c>
      <x:c r="B32" s="47" t="str">
        <x:v>A-FLOAT</x:v>
      </x:c>
      <x:c r="C32" s="47" t="str">
        <x:v>Flotation aid</x:v>
      </x:c>
      <x:c r="D32" s="47" t="str">
        <x:v>Maritime</x:v>
      </x:c>
      <x:c r="E32" s="47" t="str">
        <x:v>H1</x:v>
      </x:c>
      <x:c r="F32" s="47" t="str">
        <x:v>S-TIMBER; P-CORD</x:v>
      </x:c>
      <x:c r="G32" s="47" t="str"/>
      <x:c r="H32" s="47" t="str">
        <x:v>shore</x:v>
      </x:c>
      <x:c r="I32" s="47" t="str">
        <x:v>water safety</x:v>
      </x:c>
      <x:c r="J32" s="51" t="n">
        <x:v>45</x:v>
      </x:c>
      <x:c r="K32" s="47" t="str">
        <x:v>person-support/release</x:v>
      </x:c>
      <x:c r="L32" s="47" t="str">
        <x:v>Specialist tool/equipment</x:v>
      </x:c>
    </x:row>
    <x:row r="33">
      <x:c r="A33" s="47" t="n">
        <x:v>29</x:v>
      </x:c>
      <x:c r="B33" s="47" t="str">
        <x:v>T-SPINDLE</x:v>
      </x:c>
      <x:c r="C33" s="47" t="str">
        <x:v>Spindle/twisting tool</x:v>
      </x:c>
      <x:c r="D33" s="47" t="str">
        <x:v>Fiber</x:v>
      </x:c>
      <x:c r="E33" s="47" t="str">
        <x:v>H1</x:v>
      </x:c>
      <x:c r="F33" s="47" t="str">
        <x:v>P-STRAIGHT-POLE; P-PEG</x:v>
      </x:c>
      <x:c r="G33" s="47" t="str">
        <x:v>knife / measure</x:v>
      </x:c>
      <x:c r="H33" s="47" t="str">
        <x:v>work mat</x:v>
      </x:c>
      <x:c r="I33" s="47" t="str">
        <x:v>rotation and fiber control</x:v>
      </x:c>
      <x:c r="J33" s="51" t="n">
        <x:v>30</x:v>
      </x:c>
      <x:c r="K33" s="47" t="str">
        <x:v>consistent twist</x:v>
      </x:c>
      <x:c r="L33" s="47" t="str">
        <x:v>Specialist tool/equipment</x:v>
      </x:c>
    </x:row>
    <x:row r="34">
      <x:c r="A34" s="47" t="n">
        <x:v>30</x:v>
      </x:c>
      <x:c r="B34" s="47" t="str">
        <x:v>T-LOOM</x:v>
      </x:c>
      <x:c r="C34" s="47" t="str">
        <x:v>Frame loom/net gauge</x:v>
      </x:c>
      <x:c r="D34" s="47" t="str">
        <x:v>Fiber</x:v>
      </x:c>
      <x:c r="E34" s="47" t="str">
        <x:v>H2</x:v>
      </x:c>
      <x:c r="F34" s="47" t="str">
        <x:v>P-STRAIGHT-POLE; T-MEASURE</x:v>
      </x:c>
      <x:c r="G34" s="47" t="str">
        <x:v>knife / measure</x:v>
      </x:c>
      <x:c r="H34" s="47" t="str">
        <x:v>bench</x:v>
      </x:c>
      <x:c r="I34" s="47" t="str">
        <x:v>geometry and tension</x:v>
      </x:c>
      <x:c r="J34" s="51" t="n">
        <x:v>120</x:v>
      </x:c>
      <x:c r="K34" s="47" t="str">
        <x:v>square stable frame</x:v>
      </x:c>
      <x:c r="L34" s="47" t="str">
        <x:v>Specialist tool/equipment</x:v>
      </x:c>
    </x:row>
    <x:row r="35">
      <x:c r="A35" s="47" t="n">
        <x:v>31</x:v>
      </x:c>
      <x:c r="B35" s="47" t="str">
        <x:v>T-HOE</x:v>
      </x:c>
      <x:c r="C35" s="47" t="str">
        <x:v>Hoe/cultivation tool</x:v>
      </x:c>
      <x:c r="D35" s="47" t="str">
        <x:v>Tools</x:v>
      </x:c>
      <x:c r="E35" s="47" t="str">
        <x:v>H1</x:v>
      </x:c>
      <x:c r="F35" s="47" t="str">
        <x:v>T-DIG; P-STRAIGHT-POLE</x:v>
      </x:c>
      <x:c r="G35" s="47" t="str">
        <x:v>cutter / mallet</x:v>
      </x:c>
      <x:c r="H35" s="47" t="str">
        <x:v>bench</x:v>
      </x:c>
      <x:c r="I35" s="47" t="str">
        <x:v>soil and tool geometry</x:v>
      </x:c>
      <x:c r="J35" s="51" t="n">
        <x:v>90</x:v>
      </x:c>
      <x:c r="K35" s="47" t="str">
        <x:v>soil work without head shift</x:v>
      </x:c>
      <x:c r="L35" s="47" t="str">
        <x:v>General work tool</x:v>
      </x:c>
    </x:row>
    <x:row r="36">
      <x:c r="A36" s="47" t="n">
        <x:v>32</x:v>
      </x:c>
      <x:c r="B36" s="47" t="str">
        <x:v>T-SNORKEL-KIT</x:v>
      </x:c>
      <x:c r="C36" s="47" t="str">
        <x:v>Qualified mask/snorkel/fin kit</x:v>
      </x:c>
      <x:c r="D36" s="47" t="str">
        <x:v>Diving</x:v>
      </x:c>
      <x:c r="E36" s="47" t="str">
        <x:v>H2</x:v>
      </x:c>
      <x:c r="F36" s="47" t="str">
        <x:v>S-GLASS; S-RUBBER</x:v>
      </x:c>
      <x:c r="G36" s="47" t="str">
        <x:v>seals / straps</x:v>
      </x:c>
      <x:c r="H36" s="47" t="str">
        <x:v>clean marine bench</x:v>
      </x:c>
      <x:c r="I36" s="47" t="str">
        <x:v>equipment and fit</x:v>
      </x:c>
      <x:c r="J36" s="51" t="n">
        <x:v>60</x:v>
      </x:c>
      <x:c r="K36" s="47" t="str">
        <x:v>shallow leak/fit/clear test</x:v>
      </x:c>
      <x:c r="L36" s="47" t="str">
        <x:v>Specialist tool/equipment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51d7dc796c847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</x:cols>
  <x:sheetData>
    <x:row r="1" ht="28" customHeight="1">
      <x:c r="A1" s="3" t="str">
        <x:v>Weapons Audit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Current v2.8 combat/hunting nodes are separated from earlier-canon weapon families that never became standalone graph nodes. 'Absent' means absent by exact governed node, not forbidden from the game.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6" t="str">
        <x:v>Node ID</x:v>
      </x:c>
      <x:c r="B4" s="17" t="str">
        <x:v>Current name</x:v>
      </x:c>
      <x:c r="C4" s="17" t="str">
        <x:v>Domain</x:v>
      </x:c>
      <x:c r="D4" s="17" t="str">
        <x:v>Class</x:v>
      </x:c>
      <x:c r="E4" s="17" t="str">
        <x:v>Threshold</x:v>
      </x:c>
      <x:c r="F4" s="17" t="str">
        <x:v>Combat relation</x:v>
      </x:c>
      <x:c r="G4" s="17" t="str">
        <x:v>Inputs</x:v>
      </x:c>
      <x:c r="H4" s="18" t="str">
        <x:v>Qualification</x:v>
      </x:c>
    </x:row>
    <x:row r="5">
      <x:c r="A5" s="46" t="str">
        <x:v>T-STONE-KNIFE</x:v>
      </x:c>
      <x:c r="B5" s="46" t="str">
        <x:v>Stone hand cutter</x:v>
      </x:c>
      <x:c r="C5" s="46" t="str">
        <x:v>Tools</x:v>
      </x:c>
      <x:c r="D5" s="46" t="str">
        <x:v>Tool</x:v>
      </x:c>
      <x:c r="E5" s="46" t="str">
        <x:v>H0</x:v>
      </x:c>
      <x:c r="F5" s="46" t="str">
        <x:v>Dual-use tool; no weapon model</x:v>
      </x:c>
      <x:c r="G5" s="46" t="str">
        <x:v>P-SHARP-EDGE; S-FIBER</x:v>
      </x:c>
      <x:c r="H5" s="46" t="str">
        <x:v>safe varied cutting</x:v>
      </x:c>
    </x:row>
    <x:row r="6">
      <x:c r="A6" s="47" t="str">
        <x:v>T-AXE</x:v>
      </x:c>
      <x:c r="B6" s="47" t="str">
        <x:v>Handled chopping tool</x:v>
      </x:c>
      <x:c r="C6" s="47" t="str">
        <x:v>Tools</x:v>
      </x:c>
      <x:c r="D6" s="47" t="str">
        <x:v>Tool</x:v>
      </x:c>
      <x:c r="E6" s="47" t="str">
        <x:v>H2</x:v>
      </x:c>
      <x:c r="F6" s="47" t="str">
        <x:v>Dual-use tool; no weapon model</x:v>
      </x:c>
      <x:c r="G6" s="47" t="str">
        <x:v>P-SHARP-EDGE; P-STRAIGHT-POLE; P-CORD; P-PEG</x:v>
      </x:c>
      <x:c r="H6" s="47" t="str">
        <x:v>repeated strike/haft test</x:v>
      </x:c>
    </x:row>
    <x:row r="7">
      <x:c r="A7" s="47" t="str">
        <x:v>A-SPEAR</x:v>
      </x:c>
      <x:c r="B7" s="47" t="str">
        <x:v>Spear/harpoon</x:v>
      </x:c>
      <x:c r="C7" s="47" t="str">
        <x:v>Food</x:v>
      </x:c>
      <x:c r="D7" s="47" t="str">
        <x:v>Tool</x:v>
      </x:c>
      <x:c r="E7" s="47" t="str">
        <x:v>H2</x:v>
      </x:c>
      <x:c r="F7" s="47" t="str">
        <x:v>Weapon family (misclassified under Food)</x:v>
      </x:c>
      <x:c r="G7" s="47" t="str">
        <x:v>P-STRAIGHT-POLE; P-SHARP-EDGE; P-CORD</x:v>
      </x:c>
      <x:c r="H7" s="47" t="str">
        <x:v>range/retention</x:v>
      </x:c>
    </x:row>
    <x:row r="8">
      <x:c r="A8" s="47" t="str">
        <x:v>A-BOWSTRING</x:v>
      </x:c>
      <x:c r="B8" s="47" t="str">
        <x:v>Qualified bowstring</x:v>
      </x:c>
      <x:c r="C8" s="47" t="str">
        <x:v>Weapons</x:v>
      </x:c>
      <x:c r="D8" s="47" t="str">
        <x:v>Assembly</x:v>
      </x:c>
      <x:c r="E8" s="47" t="str">
        <x:v>H2</x:v>
      </x:c>
      <x:c r="F8" s="47" t="str">
        <x:v>Weapon component</x:v>
      </x:c>
      <x:c r="G8" s="47" t="str">
        <x:v>P-GRADED-FIBER; T-SPINDLE</x:v>
      </x:c>
      <x:c r="H8" s="47" t="str">
        <x:v>creep / break / abrasion test</x:v>
      </x:c>
    </x:row>
    <x:row r="9">
      <x:c r="A9" s="47" t="str">
        <x:v>T-BOW</x:v>
      </x:c>
      <x:c r="B9" s="47" t="str">
        <x:v>Tillering-tested bow</x:v>
      </x:c>
      <x:c r="C9" s="47" t="str">
        <x:v>Weapons</x:v>
      </x:c>
      <x:c r="D9" s="47" t="str">
        <x:v>Endpoint</x:v>
      </x:c>
      <x:c r="E9" s="47" t="str">
        <x:v>H3</x:v>
      </x:c>
      <x:c r="F9" s="47" t="str">
        <x:v>Weapon family</x:v>
      </x:c>
      <x:c r="G9" s="47" t="str">
        <x:v>P-STRAIGHT-POLE; A-BOWSTRING</x:v>
      </x:c>
      <x:c r="H9" s="47" t="str">
        <x:v>progressive draw and grouping</x:v>
      </x:c>
    </x:row>
    <x:row r="10">
      <x:c r="A10" s="47" t="str">
        <x:v>T-ARROW</x:v>
      </x:c>
      <x:c r="B10" s="47" t="str">
        <x:v>Matched arrow set</x:v>
      </x:c>
      <x:c r="C10" s="47" t="str">
        <x:v>Weapons</x:v>
      </x:c>
      <x:c r="D10" s="47" t="str">
        <x:v>Endpoint</x:v>
      </x:c>
      <x:c r="E10" s="47" t="str">
        <x:v>H3</x:v>
      </x:c>
      <x:c r="F10" s="47" t="str">
        <x:v>Ammunition family</x:v>
      </x:c>
      <x:c r="G10" s="47" t="str">
        <x:v>P-STRAIGHT-POLE; P-SHARP-EDGE</x:v>
      </x:c>
      <x:c r="H10" s="47" t="str">
        <x:v>straightness / mass / flight grouping</x:v>
      </x:c>
    </x:row>
    <x:row r="11">
      <x:c r="A11" s="47" t="str">
        <x:v>A-SNARE</x:v>
      </x:c>
      <x:c r="B11" s="47" t="str">
        <x:v>Selective checked snare/trap</x:v>
      </x:c>
      <x:c r="C11" s="47" t="str">
        <x:v>Hunting</x:v>
      </x:c>
      <x:c r="D11" s="47" t="str">
        <x:v>Endpoint</x:v>
      </x:c>
      <x:c r="E11" s="47" t="str">
        <x:v>H2</x:v>
      </x:c>
      <x:c r="F11" s="47" t="str">
        <x:v>Hunting trap/device</x:v>
      </x:c>
      <x:c r="G11" s="47" t="str">
        <x:v>P-CORD; P-PEG; A-FORAGE-MAP</x:v>
      </x:c>
      <x:c r="H11" s="47" t="str">
        <x:v>target/anchor/check protocol</x:v>
      </x:c>
    </x:row>
    <x:row r="15" ht="30" customHeight="1">
      <x:c r="A15" s="16" t="str">
        <x:v>Earlier-canon name</x:v>
      </x:c>
      <x:c r="B15" s="17" t="str">
        <x:v>Family</x:v>
      </x:c>
      <x:c r="C15" s="17" t="str">
        <x:v>Source</x:v>
      </x:c>
      <x:c r="D15" s="17" t="str">
        <x:v>v2.8 status</x:v>
      </x:c>
      <x:c r="E15" s="17" t="str">
        <x:v>Closest node</x:v>
      </x:c>
      <x:c r="F15" s="17" t="str">
        <x:v>Director action</x:v>
      </x:c>
      <x:c r="G15" s="18" t="str">
        <x:v>Director notes</x:v>
      </x:c>
    </x:row>
    <x:row r="16">
      <x:c r="A16" s="46" t="str">
        <x:v>Throwing stick</x:v>
      </x:c>
      <x:c r="B16" s="46" t="str">
        <x:v>Primitive hunting weapon</x:v>
      </x:c>
      <x:c r="C16" s="46" t="str">
        <x:v>v0.12 §8.2</x:v>
      </x:c>
      <x:c r="D16" s="46" t="str">
        <x:v>Absent</x:v>
      </x:c>
      <x:c r="E16" s="46" t="str"/>
      <x:c r="F16" s="48"/>
      <x:c r="G16" s="48"/>
    </x:row>
    <x:row r="17">
      <x:c r="A17" s="47" t="str">
        <x:v>Sling</x:v>
      </x:c>
      <x:c r="B17" s="47" t="str">
        <x:v>Primitive projectile weapon</x:v>
      </x:c>
      <x:c r="C17" s="47" t="str">
        <x:v>v0.12 §8.2</x:v>
      </x:c>
      <x:c r="D17" s="47" t="str">
        <x:v>Absent</x:v>
      </x:c>
      <x:c r="E17" s="47" t="str"/>
      <x:c r="F17" s="49"/>
      <x:c r="G17" s="49"/>
    </x:row>
    <x:row r="18">
      <x:c r="A18" s="47" t="str">
        <x:v>Thrusting spear</x:v>
      </x:c>
      <x:c r="B18" s="47" t="str">
        <x:v>Close weapon</x:v>
      </x:c>
      <x:c r="C18" s="47" t="str">
        <x:v>v0.12 §8.2 / v2.7 §12.4</x:v>
      </x:c>
      <x:c r="D18" s="47" t="str">
        <x:v>Collapsed</x:v>
      </x:c>
      <x:c r="E18" s="47" t="str">
        <x:v>Spear/harpoon</x:v>
      </x:c>
      <x:c r="F18" s="49"/>
      <x:c r="G18" s="49"/>
    </x:row>
    <x:row r="19">
      <x:c r="A19" s="47" t="str">
        <x:v>Throwing spear / javelin</x:v>
      </x:c>
      <x:c r="B19" s="47" t="str">
        <x:v>Projectile weapon</x:v>
      </x:c>
      <x:c r="C19" s="47" t="str">
        <x:v>v0.12 §8.2</x:v>
      </x:c>
      <x:c r="D19" s="47" t="str">
        <x:v>Absent</x:v>
      </x:c>
      <x:c r="E19" s="47" t="str"/>
      <x:c r="F19" s="49"/>
      <x:c r="G19" s="49"/>
    </x:row>
    <x:row r="20">
      <x:c r="A20" s="47" t="str">
        <x:v>Spear-thrower / atlatl</x:v>
      </x:c>
      <x:c r="B20" s="47" t="str">
        <x:v>Projectile launcher</x:v>
      </x:c>
      <x:c r="C20" s="47" t="str">
        <x:v>v0.12 §8.2</x:v>
      </x:c>
      <x:c r="D20" s="47" t="str">
        <x:v>Absent</x:v>
      </x:c>
      <x:c r="E20" s="47" t="str"/>
      <x:c r="F20" s="49"/>
      <x:c r="G20" s="49"/>
    </x:row>
    <x:row r="21">
      <x:c r="A21" s="47" t="str">
        <x:v>Self bow</x:v>
      </x:c>
      <x:c r="B21" s="47" t="str">
        <x:v>Bow variant</x:v>
      </x:c>
      <x:c r="C21" s="47" t="str">
        <x:v>v0.12 §8.2</x:v>
      </x:c>
      <x:c r="D21" s="47" t="str">
        <x:v>Collapsed</x:v>
      </x:c>
      <x:c r="E21" s="47" t="str">
        <x:v>Tillering-tested bow</x:v>
      </x:c>
      <x:c r="F21" s="49"/>
      <x:c r="G21" s="49"/>
    </x:row>
    <x:row r="22">
      <x:c r="A22" s="47" t="str">
        <x:v>Composite / recovered bow</x:v>
      </x:c>
      <x:c r="B22" s="47" t="str">
        <x:v>Bow variant</x:v>
      </x:c>
      <x:c r="C22" s="47" t="str">
        <x:v>v0.12 §8.2</x:v>
      </x:c>
      <x:c r="D22" s="47" t="str">
        <x:v>Absent</x:v>
      </x:c>
      <x:c r="E22" s="47" t="str"/>
      <x:c r="F22" s="49"/>
      <x:c r="G22" s="49"/>
    </x:row>
    <x:row r="23">
      <x:c r="A23" s="47" t="str">
        <x:v>Crossbow</x:v>
      </x:c>
      <x:c r="B23" s="47" t="str">
        <x:v>Stored-energy weapon</x:v>
      </x:c>
      <x:c r="C23" s="47" t="str">
        <x:v>v0.12 §8.2 / v0.4 Tier 2</x:v>
      </x:c>
      <x:c r="D23" s="47" t="str">
        <x:v>Absent</x:v>
      </x:c>
      <x:c r="E23" s="47" t="str"/>
      <x:c r="F23" s="49"/>
      <x:c r="G23" s="49"/>
    </x:row>
    <x:row r="24">
      <x:c r="A24" s="47" t="str">
        <x:v>Blowpipe-like tool</x:v>
      </x:c>
      <x:c r="B24" s="47" t="str">
        <x:v>Limited small-quarry tool</x:v>
      </x:c>
      <x:c r="C24" s="47" t="str">
        <x:v>v0.12 §8.2</x:v>
      </x:c>
      <x:c r="D24" s="47" t="str">
        <x:v>Absent</x:v>
      </x:c>
      <x:c r="E24" s="47" t="str"/>
      <x:c r="F24" s="49"/>
      <x:c r="G24" s="49"/>
    </x:row>
    <x:row r="25">
      <x:c r="A25" s="47" t="str">
        <x:v>Practice arrow set</x:v>
      </x:c>
      <x:c r="B25" s="47" t="str">
        <x:v>Ammunition variant</x:v>
      </x:c>
      <x:c r="C25" s="47" t="str">
        <x:v>v0.12 §8.3</x:v>
      </x:c>
      <x:c r="D25" s="47" t="str">
        <x:v>Collapsed</x:v>
      </x:c>
      <x:c r="E25" s="47" t="str">
        <x:v>Matched arrow set</x:v>
      </x:c>
      <x:c r="F25" s="49"/>
      <x:c r="G25" s="49"/>
    </x:row>
    <x:row r="26">
      <x:c r="A26" s="47" t="str">
        <x:v>Small-game arrow set</x:v>
      </x:c>
      <x:c r="B26" s="47" t="str">
        <x:v>Ammunition variant</x:v>
      </x:c>
      <x:c r="C26" s="47" t="str">
        <x:v>v0.12 §8.3</x:v>
      </x:c>
      <x:c r="D26" s="47" t="str">
        <x:v>Collapsed</x:v>
      </x:c>
      <x:c r="E26" s="47" t="str">
        <x:v>Matched arrow set</x:v>
      </x:c>
      <x:c r="F26" s="49"/>
      <x:c r="G26" s="49"/>
    </x:row>
    <x:row r="27">
      <x:c r="A27" s="47" t="str">
        <x:v>Fishing / retrieval arrow set</x:v>
      </x:c>
      <x:c r="B27" s="47" t="str">
        <x:v>Ammunition variant</x:v>
      </x:c>
      <x:c r="C27" s="47" t="str">
        <x:v>v0.12 §8.3</x:v>
      </x:c>
      <x:c r="D27" s="47" t="str">
        <x:v>Absent</x:v>
      </x:c>
      <x:c r="E27" s="47" t="str"/>
      <x:c r="F27" s="49"/>
      <x:c r="G27" s="49"/>
    </x:row>
    <x:row r="28">
      <x:c r="A28" s="47" t="str">
        <x:v>Crossbow bolt set</x:v>
      </x:c>
      <x:c r="B28" s="47" t="str">
        <x:v>Ammunition</x:v>
      </x:c>
      <x:c r="C28" s="47" t="str">
        <x:v>v0.12 §8.3</x:v>
      </x:c>
      <x:c r="D28" s="47" t="str">
        <x:v>Absent</x:v>
      </x:c>
      <x:c r="E28" s="47" t="str"/>
      <x:c r="F28" s="49"/>
      <x:c r="G28" s="49"/>
    </x:row>
    <x:row r="29">
      <x:c r="A29" s="47" t="str">
        <x:v>Dart set</x:v>
      </x:c>
      <x:c r="B29" s="47" t="str">
        <x:v>Ammunition</x:v>
      </x:c>
      <x:c r="C29" s="47" t="str">
        <x:v>v0.12 §8.3</x:v>
      </x:c>
      <x:c r="D29" s="47" t="str">
        <x:v>Absent</x:v>
      </x:c>
      <x:c r="E29" s="47" t="str"/>
      <x:c r="F29" s="49"/>
      <x:c r="G29" s="49"/>
    </x:row>
    <x:row r="30">
      <x:c r="A30" s="47" t="str">
        <x:v>Found firearm</x:v>
      </x:c>
      <x:c r="B30" s="47" t="str">
        <x:v>Rare salvaged weapon</x:v>
      </x:c>
      <x:c r="C30" s="47" t="str">
        <x:v>v0.12 §8.4</x:v>
      </x:c>
      <x:c r="D30" s="47" t="str">
        <x:v>Absent</x:v>
      </x:c>
      <x:c r="E30" s="47" t="str"/>
      <x:c r="F30" s="49"/>
      <x:c r="G30" s="49"/>
    </x:row>
    <x:row r="31">
      <x:c r="A31" s="47" t="str">
        <x:v>Multi-prong fish spear</x:v>
      </x:c>
      <x:c r="B31" s="47" t="str">
        <x:v>Fishing weapon</x:v>
      </x:c>
      <x:c r="C31" s="47" t="str">
        <x:v>v0.12 §8.5</x:v>
      </x:c>
      <x:c r="D31" s="47" t="str">
        <x:v>Collapsed</x:v>
      </x:c>
      <x:c r="E31" s="47" t="str">
        <x:v>Spear/harpoon</x:v>
      </x:c>
      <x:c r="F31" s="49"/>
      <x:c r="G31" s="49"/>
    </x:row>
    <x:row r="32">
      <x:c r="A32" s="47" t="str">
        <x:v>Detachable-head harpoon + recovery line</x:v>
      </x:c>
      <x:c r="B32" s="47" t="str">
        <x:v>Fishing weapon</x:v>
      </x:c>
      <x:c r="C32" s="47" t="str">
        <x:v>v0.12 §8.5 / v2.7 §12.4</x:v>
      </x:c>
      <x:c r="D32" s="47" t="str">
        <x:v>Absent</x:v>
      </x:c>
      <x:c r="E32" s="47" t="str"/>
      <x:c r="F32" s="49"/>
      <x:c r="G32" s="49"/>
    </x:row>
    <x:row r="33">
      <x:c r="A33" s="47" t="str">
        <x:v>Pole spear</x:v>
      </x:c>
      <x:c r="B33" s="47" t="str">
        <x:v>Diving/fishing weapon</x:v>
      </x:c>
      <x:c r="C33" s="47" t="str">
        <x:v>v0.12 §8.5</x:v>
      </x:c>
      <x:c r="D33" s="47" t="str">
        <x:v>Absent</x:v>
      </x:c>
      <x:c r="E33" s="47" t="str"/>
      <x:c r="F33" s="49"/>
      <x:c r="G33" s="49"/>
    </x:row>
    <x:row r="34">
      <x:c r="A34" s="47" t="str">
        <x:v>Speargun</x:v>
      </x:c>
      <x:c r="B34" s="47" t="str">
        <x:v>Advanced diving weapon</x:v>
      </x:c>
      <x:c r="C34" s="47" t="str">
        <x:v>v0.12 §8.5</x:v>
      </x:c>
      <x:c r="D34" s="47" t="str">
        <x:v>Absent</x:v>
      </x:c>
      <x:c r="E34" s="47" t="str"/>
      <x:c r="F34" s="49"/>
      <x:c r="G34" s="49"/>
    </x:row>
    <x:row r="35">
      <x:c r="A35" s="47" t="str">
        <x:v>Lobster/crustacean noose</x:v>
      </x:c>
      <x:c r="B35" s="47" t="str">
        <x:v>Fishing capture tool</x:v>
      </x:c>
      <x:c r="C35" s="47" t="str">
        <x:v>v0.12 §8.5</x:v>
      </x:c>
      <x:c r="D35" s="47" t="str">
        <x:v>Absent</x:v>
      </x:c>
      <x:c r="E35" s="47" t="str"/>
      <x:c r="F35" s="49"/>
      <x:c r="G35" s="49"/>
    </x:row>
    <x:row r="36">
      <x:c r="A36" s="47" t="str">
        <x:v>Landing gaff</x:v>
      </x:c>
      <x:c r="B36" s="47" t="str">
        <x:v>Fishing landing tool</x:v>
      </x:c>
      <x:c r="C36" s="47" t="str">
        <x:v>v0.12 §8.5</x:v>
      </x:c>
      <x:c r="D36" s="47" t="str">
        <x:v>Absent</x:v>
      </x:c>
      <x:c r="E36" s="47" t="str"/>
      <x:c r="F36" s="49"/>
      <x:c r="G36" s="49"/>
    </x:row>
    <x:row r="37">
      <x:c r="A37" s="47" t="str">
        <x:v>Landing net</x:v>
      </x:c>
      <x:c r="B37" s="47" t="str">
        <x:v>Fishing landing tool</x:v>
      </x:c>
      <x:c r="C37" s="47" t="str">
        <x:v>v0.12 §8.5</x:v>
      </x:c>
      <x:c r="D37" s="47" t="str">
        <x:v>Absent</x:v>
      </x:c>
      <x:c r="E37" s="47" t="str">
        <x:v>Load-tested net/mesh</x:v>
      </x:c>
      <x:c r="F37" s="49"/>
      <x:c r="G37" s="49"/>
    </x:row>
    <x:row r="38">
      <x:c r="A38" s="47" t="str">
        <x:v>Dispatch club / baton</x:v>
      </x:c>
      <x:c r="B38" s="47" t="str">
        <x:v>Processing/dispatch tool</x:v>
      </x:c>
      <x:c r="C38" s="47" t="str">
        <x:v>v0.12 §8.5</x:v>
      </x:c>
      <x:c r="D38" s="47" t="str">
        <x:v>Absent</x:v>
      </x:c>
      <x:c r="E38" s="47" t="str"/>
      <x:c r="F38" s="49"/>
      <x:c r="G38" s="49"/>
    </x:row>
    <x:row r="39">
      <x:c r="A39" s="47" t="str">
        <x:v>Two-hand-accessible line cutter</x:v>
      </x:c>
      <x:c r="B39" s="47" t="str">
        <x:v>Safety tool</x:v>
      </x:c>
      <x:c r="C39" s="47" t="str">
        <x:v>v0.12 §8.5</x:v>
      </x:c>
      <x:c r="D39" s="47" t="str">
        <x:v>Absent</x:v>
      </x:c>
      <x:c r="E39" s="47" t="str">
        <x:v>Stone hand cutter</x:v>
      </x:c>
      <x:c r="F39" s="49"/>
      <x:c r="G39" s="49"/>
    </x:row>
    <x:row r="40">
      <x:c r="A40" s="47" t="str">
        <x:v>Knife sheath / edge guard</x:v>
      </x:c>
      <x:c r="B40" s="47" t="str">
        <x:v>Weapon/tool safety</x:v>
      </x:c>
      <x:c r="C40" s="47" t="str">
        <x:v>v0.12 §8.6</x:v>
      </x:c>
      <x:c r="D40" s="47" t="str">
        <x:v>Absent</x:v>
      </x:c>
      <x:c r="E40" s="47" t="str"/>
      <x:c r="F40" s="49"/>
      <x:c r="G40" s="49"/>
    </x:row>
    <x:row r="41">
      <x:c r="A41" s="47" t="str">
        <x:v>Sharpening stone / steel</x:v>
      </x:c>
      <x:c r="B41" s="47" t="str">
        <x:v>Weapon maintenance</x:v>
      </x:c>
      <x:c r="C41" s="47" t="str">
        <x:v>v0.12 §8.6</x:v>
      </x:c>
      <x:c r="D41" s="47" t="str">
        <x:v>Absent</x:v>
      </x:c>
      <x:c r="E41" s="47" t="str">
        <x:v>File/abrasive tool</x:v>
      </x:c>
      <x:c r="F41" s="49"/>
      <x:c r="G41" s="49"/>
    </x:row>
  </x:sheetData>
  <x:mergeCells>
    <x:mergeCell ref="A1:H1"/>
    <x:mergeCell ref="A2:H2"/>
  </x:mergeCells>
  <x:dataValidations count="1">
    <x:dataValidation type="list" sqref="F16:F41">
      <x:formula1>"Add,Merge,Reject,Needs review"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999410bf6b24189"/>
    <x:tablePart xmlns:r="http://schemas.openxmlformats.org/officeDocument/2006/relationships" r:id="Re0e8c4608b614d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5" hidden="0" customWidth="1"/>
    <x:col min="4" max="4" width="25" hidden="0" customWidth="1"/>
    <x:col min="5" max="5" width="3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8" customHeight="1">
      <x:c r="A1" s="3" t="str">
        <x:v>Steam Engine → Electricity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The current named chain is shown first. The second table is the minimum design decomposition needed before a player-built pressure steam engine and generator can be called a real craft tree. It is game-system architecture, not real-world boiler construction guidance.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6" t="str">
        <x:v>Node ID</x:v>
      </x:c>
      <x:c r="B4" s="17" t="str">
        <x:v>Current name</x:v>
      </x:c>
      <x:c r="C4" s="17" t="str">
        <x:v>Class</x:v>
      </x:c>
      <x:c r="D4" s="17" t="str">
        <x:v>Threshold</x:v>
      </x:c>
      <x:c r="E4" s="17" t="str">
        <x:v>Inputs</x:v>
      </x:c>
      <x:c r="F4" s="17" t="str">
        <x:v>Required tools</x:v>
      </x:c>
      <x:c r="G4" s="17" t="str">
        <x:v>Workspace</x:v>
      </x:c>
      <x:c r="H4" s="17" t="str">
        <x:v>Skills / knowledge</x:v>
      </x:c>
      <x:c r="I4" s="17" t="str">
        <x:v>Active min</x:v>
      </x:c>
      <x:c r="J4" s="17" t="str">
        <x:v>Qualification</x:v>
      </x:c>
      <x:c r="K4" s="18" t="str">
        <x:v>Audit</x:v>
      </x:c>
    </x:row>
    <x:row r="5">
      <x:c r="A5" s="46" t="str">
        <x:v>T-METER</x:v>
      </x:c>
      <x:c r="B5" s="46" t="str">
        <x:v>Electrical test meter</x:v>
      </x:c>
      <x:c r="C5" s="46" t="str">
        <x:v>Tool</x:v>
      </x:c>
      <x:c r="D5" s="46" t="str">
        <x:v>H5</x:v>
      </x:c>
      <x:c r="E5" s="46" t="str">
        <x:v>S-BATTERY; S-WIRE; S-RADIO</x:v>
      </x:c>
      <x:c r="F5" s="46" t="str"/>
      <x:c r="G5" s="46" t="str">
        <x:v>W-ELECTRICAL</x:v>
      </x:c>
      <x:c r="H5" s="46" t="str">
        <x:v>electrical / measurement</x:v>
      </x:c>
      <x:c r="I5" s="46" t="n">
        <x:v>240</x:v>
      </x:c>
      <x:c r="J5" s="46" t="str">
        <x:v>known reference test</x:v>
      </x:c>
      <x:c r="K5" s="46" t="str">
        <x:v>Circular workspace relation: meter points to electrical bench, which requires meter</x:v>
      </x:c>
    </x:row>
    <x:row r="6">
      <x:c r="A6" s="47" t="str">
        <x:v>W-ELECTRICAL</x:v>
      </x:c>
      <x:c r="B6" s="47" t="str">
        <x:v>Protected electrical bench</x:v>
      </x:c>
      <x:c r="C6" s="47" t="str">
        <x:v>Workspace</x:v>
      </x:c>
      <x:c r="D6" s="47" t="str">
        <x:v>H5</x:v>
      </x:c>
      <x:c r="E6" s="47" t="str">
        <x:v>W-BENCH; A-ROOF; T-METER; P-CONDUCTOR</x:v>
      </x:c>
      <x:c r="F6" s="47" t="str">
        <x:v>T-METER</x:v>
      </x:c>
      <x:c r="G6" s="47" t="str">
        <x:v>working home</x:v>
      </x:c>
      <x:c r="H6" s="47" t="str">
        <x:v>electrical</x:v>
      </x:c>
      <x:c r="I6" s="47" t="n">
        <x:v>600</x:v>
      </x:c>
      <x:c r="J6" s="47" t="str">
        <x:v>known-reference/isolation</x:v>
      </x:c>
      <x:c r="K6" s="47" t="str">
        <x:v>Supporting node</x:v>
      </x:c>
    </x:row>
    <x:row r="7">
      <x:c r="A7" s="47" t="str">
        <x:v>A-LAMP</x:v>
      </x:c>
      <x:c r="B7" s="47" t="str">
        <x:v>Protected lamp/light</x:v>
      </x:c>
      <x:c r="C7" s="47" t="str">
        <x:v>Assembly</x:v>
      </x:c>
      <x:c r="D7" s="47" t="str">
        <x:v>H4</x:v>
      </x:c>
      <x:c r="E7" s="47" t="str">
        <x:v>S-BATTERY; S-WIRE; S-GLASS</x:v>
      </x:c>
      <x:c r="F7" s="47" t="str">
        <x:v>T-METER</x:v>
      </x:c>
      <x:c r="G7" s="47" t="str">
        <x:v>W-ELECTRICAL</x:v>
      </x:c>
      <x:c r="H7" s="47" t="str">
        <x:v>electrical</x:v>
      </x:c>
      <x:c r="I7" s="47" t="n">
        <x:v>120</x:v>
      </x:c>
      <x:c r="J7" s="47" t="str">
        <x:v>light/load/short</x:v>
      </x:c>
      <x:c r="K7" s="47" t="str">
        <x:v>Supporting node</x:v>
      </x:c>
    </x:row>
    <x:row r="8">
      <x:c r="A8" s="47" t="str">
        <x:v>A-GENERATOR</x:v>
      </x:c>
      <x:c r="B8" s="47" t="str">
        <x:v>Small generator adaptation</x:v>
      </x:c>
      <x:c r="C8" s="47" t="str">
        <x:v>Assembly</x:v>
      </x:c>
      <x:c r="D8" s="47" t="str">
        <x:v>H5</x:v>
      </x:c>
      <x:c r="E8" s="47" t="str">
        <x:v>S-BEARING; S-WIRE; P-CONDUCTOR; T-METER</x:v>
      </x:c>
      <x:c r="F8" s="47" t="str">
        <x:v>T-METER</x:v>
      </x:c>
      <x:c r="G8" s="47" t="str">
        <x:v>W-ELECTRICAL</x:v>
      </x:c>
      <x:c r="H8" s="47" t="str">
        <x:v>mechanics / electrical</x:v>
      </x:c>
      <x:c r="I8" s="47" t="n">
        <x:v>1200</x:v>
      </x:c>
      <x:c r="J8" s="47" t="str">
        <x:v>output/load/heat</x:v>
      </x:c>
      <x:c r="K8" s="47" t="str">
        <x:v>Too coarse; rotor, stator, field, regulation, coupling and frame are not separated</x:v>
      </x:c>
    </x:row>
    <x:row r="9">
      <x:c r="A9" s="47" t="str">
        <x:v>A-BANK</x:v>
      </x:c>
      <x:c r="B9" s="47" t="str">
        <x:v>Protected battery bank</x:v>
      </x:c>
      <x:c r="C9" s="47" t="str">
        <x:v>Assembly</x:v>
      </x:c>
      <x:c r="D9" s="47" t="str">
        <x:v>H5</x:v>
      </x:c>
      <x:c r="E9" s="47" t="str">
        <x:v>S-BATTERY; P-CONDUCTOR; S-WIRE; T-METER</x:v>
      </x:c>
      <x:c r="F9" s="47" t="str">
        <x:v>T-METER</x:v>
      </x:c>
      <x:c r="G9" s="47" t="str">
        <x:v>W-ELECTRICAL</x:v>
      </x:c>
      <x:c r="H9" s="47" t="str">
        <x:v>electrical</x:v>
      </x:c>
      <x:c r="I9" s="47" t="n">
        <x:v>900</x:v>
      </x:c>
      <x:c r="J9" s="47" t="str">
        <x:v>capacity/fault/thermal</x:v>
      </x:c>
      <x:c r="K9" s="47" t="str">
        <x:v>Supporting node</x:v>
      </x:c>
    </x:row>
    <x:row r="10">
      <x:c r="A10" s="47" t="str">
        <x:v>A-GRID</x:v>
      </x:c>
      <x:c r="B10" s="47" t="str">
        <x:v>Camp microgrid</x:v>
      </x:c>
      <x:c r="C10" s="47" t="str">
        <x:v>Endpoint</x:v>
      </x:c>
      <x:c r="D10" s="47" t="str">
        <x:v>H5</x:v>
      </x:c>
      <x:c r="E10" s="47" t="str">
        <x:v>A-GENERATOR; A-BANK; P-CONDUCTOR; A-LAMP</x:v>
      </x:c>
      <x:c r="F10" s="47" t="str">
        <x:v>T-METER</x:v>
      </x:c>
      <x:c r="G10" s="47" t="str">
        <x:v>working home</x:v>
      </x:c>
      <x:c r="H10" s="47" t="str">
        <x:v>electrical / governance</x:v>
      </x:c>
      <x:c r="I10" s="47" t="n">
        <x:v>1800</x:v>
      </x:c>
      <x:c r="J10" s="47" t="str">
        <x:v>fault/load/wet weather</x:v>
      </x:c>
      <x:c r="K10" s="47" t="str">
        <x:v>Supporting node</x:v>
      </x:c>
    </x:row>
    <x:row r="11">
      <x:c r="A11" s="47" t="str">
        <x:v>A-PRESSURE-CONTROL</x:v>
      </x:c>
      <x:c r="B11" s="47" t="str">
        <x:v>Pressure relief and control set</x:v>
      </x:c>
      <x:c r="C11" s="47" t="str">
        <x:v>Assembly</x:v>
      </x:c>
      <x:c r="D11" s="47" t="str">
        <x:v>H5</x:v>
      </x:c>
      <x:c r="E11" s="47" t="str">
        <x:v>A-VALVE; T-METER</x:v>
      </x:c>
      <x:c r="F11" s="47" t="str">
        <x:v>meter / valve tools</x:v>
      </x:c>
      <x:c r="G11" s="47" t="str">
        <x:v>precision bench</x:v>
      </x:c>
      <x:c r="H11" s="47" t="str">
        <x:v>pressure systems</x:v>
      </x:c>
      <x:c r="I11" s="47" t="n">
        <x:v>240</x:v>
      </x:c>
      <x:c r="J11" s="47" t="str">
        <x:v>safe relief/control test</x:v>
      </x:c>
      <x:c r="K11" s="47" t="str">
        <x:v>Too coarse; electrical meter is not a complete pressure instrumentation set</x:v>
      </x:c>
    </x:row>
    <x:row r="12">
      <x:c r="A12" s="47" t="str">
        <x:v>A-PRESSURE-BOILER</x:v>
      </x:c>
      <x:c r="B12" s="47" t="str">
        <x:v>Qualified pressure boiler</x:v>
      </x:c>
      <x:c r="C12" s="47" t="str">
        <x:v>Assembly</x:v>
      </x:c>
      <x:c r="D12" s="47" t="str">
        <x:v>H6</x:v>
      </x:c>
      <x:c r="E12" s="47" t="str">
        <x:v>P-METAL-STOCK; A-PRESSURE-CONTROL</x:v>
      </x:c>
      <x:c r="F12" s="47" t="str">
        <x:v>metal/pressure tools</x:v>
      </x:c>
      <x:c r="G12" s="47" t="str">
        <x:v>separate power house</x:v>
      </x:c>
      <x:c r="H12" s="47" t="str">
        <x:v>boiler integrity and feedwater</x:v>
      </x:c>
      <x:c r="I12" s="47" t="n">
        <x:v>960</x:v>
      </x:c>
      <x:c r="J12" s="47" t="str">
        <x:v>qualified boundary and shutdown</x:v>
      </x:c>
      <x:c r="K12" s="47" t="str">
        <x:v>Too coarse; shell, joints, firebox, feedwater and instruments are not separated</x:v>
      </x:c>
    </x:row>
    <x:row r="13">
      <x:c r="A13" s="47" t="str">
        <x:v>A-STEAM-ENGINE</x:v>
      </x:c>
      <x:c r="B13" s="47" t="str">
        <x:v>Steam prime mover</x:v>
      </x:c>
      <x:c r="C13" s="47" t="str">
        <x:v>Assembly</x:v>
      </x:c>
      <x:c r="D13" s="47" t="str">
        <x:v>H6</x:v>
      </x:c>
      <x:c r="E13" s="47" t="str">
        <x:v>A-PRESSURE-BOILER; S-BEARING</x:v>
      </x:c>
      <x:c r="F13" s="47" t="str">
        <x:v>precision tools</x:v>
      </x:c>
      <x:c r="G13" s="47" t="str">
        <x:v>power house</x:v>
      </x:c>
      <x:c r="H13" s="47" t="str">
        <x:v>mechanics and steam</x:v>
      </x:c>
      <x:c r="I13" s="47" t="n">
        <x:v>1200</x:v>
      </x:c>
      <x:c r="J13" s="47" t="str">
        <x:v>controlled no-load and load run</x:v>
      </x:c>
      <x:c r="K13" s="47" t="str">
        <x:v>Too coarse; boiler + bearing does not define a prime mover</x:v>
      </x:c>
    </x:row>
    <x:row r="14">
      <x:c r="A14" s="47" t="str">
        <x:v>A-STEAM-PUMP</x:v>
      </x:c>
      <x:c r="B14" s="47" t="str">
        <x:v>Steam-driven water/mine pump</x:v>
      </x:c>
      <x:c r="C14" s="47" t="str">
        <x:v>Endpoint</x:v>
      </x:c>
      <x:c r="D14" s="47" t="str">
        <x:v>H6</x:v>
      </x:c>
      <x:c r="E14" s="47" t="str">
        <x:v>A-STEAM-ENGINE; A-PUMP</x:v>
      </x:c>
      <x:c r="F14" s="47" t="str">
        <x:v>engine/pump tools</x:v>
      </x:c>
      <x:c r="G14" s="47" t="str">
        <x:v>power/water system</x:v>
      </x:c>
      <x:c r="H14" s="47" t="str">
        <x:v>hydraulics and steam</x:v>
      </x:c>
      <x:c r="I14" s="47" t="n">
        <x:v>240</x:v>
      </x:c>
      <x:c r="J14" s="47" t="str">
        <x:v>flow and safe-stop test</x:v>
      </x:c>
      <x:c r="K14" s="47" t="str">
        <x:v>Supporting node</x:v>
      </x:c>
    </x:row>
    <x:row r="15">
      <x:c r="A15" s="47" t="str">
        <x:v>A-STEAM-GEN</x:v>
      </x:c>
      <x:c r="B15" s="47" t="str">
        <x:v>Steam-electric generation set</x:v>
      </x:c>
      <x:c r="C15" s="47" t="str">
        <x:v>Endpoint</x:v>
      </x:c>
      <x:c r="D15" s="47" t="str">
        <x:v>H6</x:v>
      </x:c>
      <x:c r="E15" s="47" t="str">
        <x:v>A-STEAM-ENGINE; A-GENERATOR</x:v>
      </x:c>
      <x:c r="F15" s="47" t="str">
        <x:v>meter / precision tools</x:v>
      </x:c>
      <x:c r="G15" s="47" t="str">
        <x:v>power house</x:v>
      </x:c>
      <x:c r="H15" s="47" t="str">
        <x:v>steam + electrical</x:v>
      </x:c>
      <x:c r="I15" s="47" t="n">
        <x:v>360</x:v>
      </x:c>
      <x:c r="J15" s="47" t="str">
        <x:v>stable protected output</x:v>
      </x:c>
      <x:c r="K15" s="47" t="str">
        <x:v>Valid endpoint name; incomplete ancestry</x:v>
      </x:c>
    </x:row>
    <x:row r="19" ht="30" customHeight="1">
      <x:c r="A19" s="16" t="str">
        <x:v>Proposed ID</x:v>
      </x:c>
      <x:c r="B19" s="17" t="str">
        <x:v>Required subassembly</x:v>
      </x:c>
      <x:c r="C19" s="17" t="str">
        <x:v>System</x:v>
      </x:c>
      <x:c r="D19" s="17" t="str">
        <x:v>Knowledge / skill</x:v>
      </x:c>
      <x:c r="E19" s="17" t="str">
        <x:v>Qualification role</x:v>
      </x:c>
      <x:c r="F19" s="17" t="str">
        <x:v>Director action</x:v>
      </x:c>
      <x:c r="G19" s="18" t="str">
        <x:v>Director notes</x:v>
      </x:c>
    </x:row>
    <x:row r="20">
      <x:c r="A20" s="46" t="str">
        <x:v>STEAM-01</x:v>
      </x:c>
      <x:c r="B20" s="46" t="str">
        <x:v>Combustion/firebox module</x:v>
      </x:c>
      <x:c r="C20" s="46" t="str">
        <x:v>Heat source</x:v>
      </x:c>
      <x:c r="D20" s="46" t="str">
        <x:v>Firecraft + metal/ceramic</x:v>
      </x:c>
      <x:c r="E20" s="46" t="str">
        <x:v>Controlled heat delivery and safe isolation</x:v>
      </x:c>
      <x:c r="F20" s="48"/>
      <x:c r="G20" s="48"/>
    </x:row>
    <x:row r="21">
      <x:c r="A21" s="47" t="str">
        <x:v>STEAM-02</x:v>
      </x:c>
      <x:c r="B21" s="47" t="str">
        <x:v>Treated feedwater reserve</x:v>
      </x:c>
      <x:c r="C21" s="47" t="str">
        <x:v>Water system</x:v>
      </x:c>
      <x:c r="D21" s="47" t="str">
        <x:v>Water chemistry + sanitation</x:v>
      </x:c>
      <x:c r="E21" s="47" t="str">
        <x:v>Known protected feedwater lot</x:v>
      </x:c>
      <x:c r="F21" s="49"/>
      <x:c r="G21" s="49"/>
    </x:row>
    <x:row r="22">
      <x:c r="A22" s="47" t="str">
        <x:v>STEAM-03</x:v>
      </x:c>
      <x:c r="B22" s="47" t="str">
        <x:v>Feedwater pump or injector</x:v>
      </x:c>
      <x:c r="C22" s="47" t="str">
        <x:v>Boiler support</x:v>
      </x:c>
      <x:c r="D22" s="47" t="str">
        <x:v>Hydraulics + mechanics</x:v>
      </x:c>
      <x:c r="E22" s="47" t="str">
        <x:v>Stable feed against operating pressure</x:v>
      </x:c>
      <x:c r="F22" s="49"/>
      <x:c r="G22" s="49"/>
    </x:row>
    <x:row r="23">
      <x:c r="A23" s="47" t="str">
        <x:v>STEAM-04</x:v>
      </x:c>
      <x:c r="B23" s="47" t="str">
        <x:v>Qualified pressure shell/drum</x:v>
      </x:c>
      <x:c r="C23" s="47" t="str">
        <x:v>Boiler boundary</x:v>
      </x:c>
      <x:c r="D23" s="47" t="str">
        <x:v>Metallurgy + pressure integrity</x:v>
      </x:c>
      <x:c r="E23" s="47" t="str">
        <x:v>Independent integrity qualification</x:v>
      </x:c>
      <x:c r="F23" s="49"/>
      <x:c r="G23" s="49"/>
    </x:row>
    <x:row r="24">
      <x:c r="A24" s="47" t="str">
        <x:v>STEAM-05</x:v>
      </x:c>
      <x:c r="B24" s="47" t="str">
        <x:v>Heating surface / tube bank</x:v>
      </x:c>
      <x:c r="C24" s="47" t="str">
        <x:v>Boiler boundary</x:v>
      </x:c>
      <x:c r="D24" s="47" t="str">
        <x:v>Heat transfer + joints</x:v>
      </x:c>
      <x:c r="E24" s="47" t="str">
        <x:v>Leak-free thermal cycling</x:v>
      </x:c>
      <x:c r="F24" s="49"/>
      <x:c r="G24" s="49"/>
    </x:row>
    <x:row r="25">
      <x:c r="A25" s="47" t="str">
        <x:v>STEAM-06</x:v>
      </x:c>
      <x:c r="B25" s="47" t="str">
        <x:v>Qualified pressure joints/fittings</x:v>
      </x:c>
      <x:c r="C25" s="47" t="str">
        <x:v>Boiler boundary</x:v>
      </x:c>
      <x:c r="D25" s="47" t="str">
        <x:v>Joining + metallurgy</x:v>
      </x:c>
      <x:c r="E25" s="47" t="str">
        <x:v>Proof under pressure and temperature variation</x:v>
      </x:c>
      <x:c r="F25" s="49"/>
      <x:c r="G25" s="49"/>
    </x:row>
    <x:row r="26">
      <x:c r="A26" s="47" t="str">
        <x:v>STEAM-07</x:v>
      </x:c>
      <x:c r="B26" s="47" t="str">
        <x:v>Safety relief valve</x:v>
      </x:c>
      <x:c r="C26" s="47" t="str">
        <x:v>Mandatory safety</x:v>
      </x:c>
      <x:c r="D26" s="47" t="str">
        <x:v>Pressure control</x:v>
      </x:c>
      <x:c r="E26" s="47" t="str">
        <x:v>Opens, reseats and remains inspectable</x:v>
      </x:c>
      <x:c r="F26" s="49"/>
      <x:c r="G26" s="49"/>
    </x:row>
    <x:row r="27">
      <x:c r="A27" s="47" t="str">
        <x:v>STEAM-08</x:v>
      </x:c>
      <x:c r="B27" s="47" t="str">
        <x:v>Independent pressure gauge</x:v>
      </x:c>
      <x:c r="C27" s="47" t="str">
        <x:v>Mandatory instrument</x:v>
      </x:c>
      <x:c r="D27" s="47" t="str">
        <x:v>Measurement + calibration</x:v>
      </x:c>
      <x:c r="E27" s="47" t="str">
        <x:v>Known-reference calibration</x:v>
      </x:c>
      <x:c r="F27" s="49"/>
      <x:c r="G27" s="49"/>
    </x:row>
    <x:row r="28">
      <x:c r="A28" s="47" t="str">
        <x:v>STEAM-09</x:v>
      </x:c>
      <x:c r="B28" s="47" t="str">
        <x:v>Water-level indicator</x:v>
      </x:c>
      <x:c r="C28" s="47" t="str">
        <x:v>Mandatory instrument</x:v>
      </x:c>
      <x:c r="D28" s="47" t="str">
        <x:v>Boiler operation</x:v>
      </x:c>
      <x:c r="E28" s="47" t="str">
        <x:v>Accurate low-water warning</x:v>
      </x:c>
      <x:c r="F28" s="49"/>
      <x:c r="G28" s="49"/>
    </x:row>
    <x:row r="29">
      <x:c r="A29" s="47" t="str">
        <x:v>STEAM-10</x:v>
      </x:c>
      <x:c r="B29" s="47" t="str">
        <x:v>Steam stop/throttle valve</x:v>
      </x:c>
      <x:c r="C29" s="47" t="str">
        <x:v>Control</x:v>
      </x:c>
      <x:c r="D29" s="47" t="str">
        <x:v>Valves + operation</x:v>
      </x:c>
      <x:c r="E29" s="47" t="str">
        <x:v>Controlled isolation and modulation</x:v>
      </x:c>
      <x:c r="F29" s="49"/>
      <x:c r="G29" s="49"/>
    </x:row>
    <x:row r="30">
      <x:c r="A30" s="47" t="str">
        <x:v>STEAM-11</x:v>
      </x:c>
      <x:c r="B30" s="47" t="str">
        <x:v>Blowdown/drain system</x:v>
      </x:c>
      <x:c r="C30" s="47" t="str">
        <x:v>Maintenance/safety</x:v>
      </x:c>
      <x:c r="D30" s="47" t="str">
        <x:v>Water chemistry + valves</x:v>
      </x:c>
      <x:c r="E30" s="47" t="str">
        <x:v>Safe drain and scale-management route</x:v>
      </x:c>
      <x:c r="F30" s="49"/>
      <x:c r="G30" s="49"/>
    </x:row>
    <x:row r="31">
      <x:c r="A31" s="47" t="str">
        <x:v>STEAM-12</x:v>
      </x:c>
      <x:c r="B31" s="47" t="str">
        <x:v>Insulated steam line</x:v>
      </x:c>
      <x:c r="C31" s="47" t="str">
        <x:v>Steam delivery</x:v>
      </x:c>
      <x:c r="D31" s="47" t="str">
        <x:v>Pipework + insulation</x:v>
      </x:c>
      <x:c r="E31" s="47" t="str">
        <x:v>Leak, expansion and burn-hazard test</x:v>
      </x:c>
      <x:c r="F31" s="49"/>
      <x:c r="G31" s="49"/>
    </x:row>
    <x:row r="32">
      <x:c r="A32" s="47" t="str">
        <x:v>STEAM-13</x:v>
      </x:c>
      <x:c r="B32" s="47" t="str">
        <x:v>Cylinder and bore</x:v>
      </x:c>
      <x:c r="C32" s="47" t="str">
        <x:v>Prime mover</x:v>
      </x:c>
      <x:c r="D32" s="47" t="str">
        <x:v>Precision machining + metallurgy</x:v>
      </x:c>
      <x:c r="E32" s="47" t="str">
        <x:v>Roundness, finish and leak test</x:v>
      </x:c>
      <x:c r="F32" s="49"/>
      <x:c r="G32" s="49"/>
    </x:row>
    <x:row r="33">
      <x:c r="A33" s="47" t="str">
        <x:v>STEAM-14</x:v>
      </x:c>
      <x:c r="B33" s="47" t="str">
        <x:v>Piston and sealing set</x:v>
      </x:c>
      <x:c r="C33" s="47" t="str">
        <x:v>Prime mover</x:v>
      </x:c>
      <x:c r="D33" s="47" t="str">
        <x:v>Fit + sealing</x:v>
      </x:c>
      <x:c r="E33" s="47" t="str">
        <x:v>Low-friction pressure seal</x:v>
      </x:c>
      <x:c r="F33" s="49"/>
      <x:c r="G33" s="49"/>
    </x:row>
    <x:row r="34">
      <x:c r="A34" s="47" t="str">
        <x:v>STEAM-15</x:v>
      </x:c>
      <x:c r="B34" s="47" t="str">
        <x:v>Connecting rod</x:v>
      </x:c>
      <x:c r="C34" s="47" t="str">
        <x:v>Prime mover</x:v>
      </x:c>
      <x:c r="D34" s="47" t="str">
        <x:v>Mechanics + forging/machining</x:v>
      </x:c>
      <x:c r="E34" s="47" t="str">
        <x:v>Alignment and fatigue proof</x:v>
      </x:c>
      <x:c r="F34" s="49"/>
      <x:c r="G34" s="49"/>
    </x:row>
    <x:row r="35">
      <x:c r="A35" s="47" t="str">
        <x:v>STEAM-16</x:v>
      </x:c>
      <x:c r="B35" s="47" t="str">
        <x:v>Crankshaft</x:v>
      </x:c>
      <x:c r="C35" s="47" t="str">
        <x:v>Prime mover</x:v>
      </x:c>
      <x:c r="D35" s="47" t="str">
        <x:v>Precision metalwork</x:v>
      </x:c>
      <x:c r="E35" s="47" t="str">
        <x:v>Runout and load proof</x:v>
      </x:c>
      <x:c r="F35" s="49"/>
      <x:c r="G35" s="49"/>
    </x:row>
    <x:row r="36">
      <x:c r="A36" s="47" t="str">
        <x:v>STEAM-17</x:v>
      </x:c>
      <x:c r="B36" s="47" t="str">
        <x:v>Bearing set</x:v>
      </x:c>
      <x:c r="C36" s="47" t="str">
        <x:v>Prime mover</x:v>
      </x:c>
      <x:c r="D36" s="47" t="str">
        <x:v>Fit + lubrication</x:v>
      </x:c>
      <x:c r="E36" s="47" t="str">
        <x:v>Temperature and load run</x:v>
      </x:c>
      <x:c r="F36" s="49"/>
      <x:c r="G36" s="49"/>
    </x:row>
    <x:row r="37">
      <x:c r="A37" s="47" t="str">
        <x:v>STEAM-18</x:v>
      </x:c>
      <x:c r="B37" s="47" t="str">
        <x:v>Flywheel</x:v>
      </x:c>
      <x:c r="C37" s="47" t="str">
        <x:v>Prime mover</x:v>
      </x:c>
      <x:c r="D37" s="47" t="str">
        <x:v>Balance + stored-energy safety</x:v>
      </x:c>
      <x:c r="E37" s="47" t="str">
        <x:v>Guarded balance/overspeed test</x:v>
      </x:c>
      <x:c r="F37" s="49"/>
      <x:c r="G37" s="49"/>
    </x:row>
    <x:row r="38">
      <x:c r="A38" s="47" t="str">
        <x:v>STEAM-19</x:v>
      </x:c>
      <x:c r="B38" s="47" t="str">
        <x:v>Valve gear / timing mechanism</x:v>
      </x:c>
      <x:c r="C38" s="47" t="str">
        <x:v>Prime mover</x:v>
      </x:c>
      <x:c r="D38" s="47" t="str">
        <x:v>Mechanics + control</x:v>
      </x:c>
      <x:c r="E38" s="47" t="str">
        <x:v>Repeatable timing across load</x:v>
      </x:c>
      <x:c r="F38" s="49"/>
      <x:c r="G38" s="49"/>
    </x:row>
    <x:row r="39">
      <x:c r="A39" s="47" t="str">
        <x:v>STEAM-20</x:v>
      </x:c>
      <x:c r="B39" s="47" t="str">
        <x:v>Speed governor</x:v>
      </x:c>
      <x:c r="C39" s="47" t="str">
        <x:v>Mandatory control</x:v>
      </x:c>
      <x:c r="D39" s="47" t="str">
        <x:v>Mechanics + instrumentation</x:v>
      </x:c>
      <x:c r="E39" s="47" t="str">
        <x:v>Load-change and overspeed shutdown</x:v>
      </x:c>
      <x:c r="F39" s="49"/>
      <x:c r="G39" s="49"/>
    </x:row>
    <x:row r="40">
      <x:c r="A40" s="47" t="str">
        <x:v>STEAM-21</x:v>
      </x:c>
      <x:c r="B40" s="47" t="str">
        <x:v>Lubrication reservoir and delivery</x:v>
      </x:c>
      <x:c r="C40" s="47" t="str">
        <x:v>Prime mover support</x:v>
      </x:c>
      <x:c r="D40" s="47" t="str">
        <x:v>Lubricants + contamination control</x:v>
      </x:c>
      <x:c r="E40" s="47" t="str">
        <x:v>Continuous lubrication evidence</x:v>
      </x:c>
      <x:c r="F40" s="49"/>
      <x:c r="G40" s="49"/>
    </x:row>
    <x:row r="41">
      <x:c r="A41" s="47" t="str">
        <x:v>STEAM-22</x:v>
      </x:c>
      <x:c r="B41" s="47" t="str">
        <x:v>Exhaust / condenser / condensate route</x:v>
      </x:c>
      <x:c r="C41" s="47" t="str">
        <x:v>Steam cycle</x:v>
      </x:c>
      <x:c r="D41" s="47" t="str">
        <x:v>Heat transfer + water</x:v>
      </x:c>
      <x:c r="E41" s="47" t="str">
        <x:v>Safe exhaust or recovered condensate</x:v>
      </x:c>
      <x:c r="F41" s="49"/>
      <x:c r="G41" s="49"/>
    </x:row>
    <x:row r="42">
      <x:c r="A42" s="47" t="str">
        <x:v>STEAM-23</x:v>
      </x:c>
      <x:c r="B42" s="47" t="str">
        <x:v>Rigid base, guards and alignment mounts</x:v>
      </x:c>
      <x:c r="C42" s="47" t="str">
        <x:v>Machine structure</x:v>
      </x:c>
      <x:c r="D42" s="47" t="str">
        <x:v>Construction + precision layout</x:v>
      </x:c>
      <x:c r="E42" s="47" t="str">
        <x:v>Alignment and guard inspection</x:v>
      </x:c>
      <x:c r="F42" s="49"/>
      <x:c r="G42" s="49"/>
    </x:row>
    <x:row r="43">
      <x:c r="A43" s="47" t="str">
        <x:v>ELEC-01</x:v>
      </x:c>
      <x:c r="B43" s="47" t="str">
        <x:v>Flexible shaft coupling</x:v>
      </x:c>
      <x:c r="C43" s="47" t="str">
        <x:v>Power transmission</x:v>
      </x:c>
      <x:c r="D43" s="47" t="str">
        <x:v>Mechanics + alignment</x:v>
      </x:c>
      <x:c r="E43" s="47" t="str">
        <x:v>No-load and load alignment test</x:v>
      </x:c>
      <x:c r="F43" s="49"/>
      <x:c r="G43" s="49"/>
    </x:row>
    <x:row r="44">
      <x:c r="A44" s="47" t="str">
        <x:v>ELEC-02</x:v>
      </x:c>
      <x:c r="B44" s="47" t="str">
        <x:v>Generator rotor</x:v>
      </x:c>
      <x:c r="C44" s="47" t="str">
        <x:v>Generator</x:v>
      </x:c>
      <x:c r="D44" s="47" t="str">
        <x:v>Electrical + rotating machinery</x:v>
      </x:c>
      <x:c r="E44" s="47" t="str">
        <x:v>Balance and field test</x:v>
      </x:c>
      <x:c r="F44" s="49"/>
      <x:c r="G44" s="49"/>
    </x:row>
    <x:row r="45">
      <x:c r="A45" s="47" t="str">
        <x:v>ELEC-03</x:v>
      </x:c>
      <x:c r="B45" s="47" t="str">
        <x:v>Generator stator/windings</x:v>
      </x:c>
      <x:c r="C45" s="47" t="str">
        <x:v>Generator</x:v>
      </x:c>
      <x:c r="D45" s="47" t="str">
        <x:v>Copper work + insulation</x:v>
      </x:c>
      <x:c r="E45" s="47" t="str">
        <x:v>Continuity and insulation test</x:v>
      </x:c>
      <x:c r="F45" s="49"/>
      <x:c r="G45" s="49"/>
    </x:row>
    <x:row r="46">
      <x:c r="A46" s="47" t="str">
        <x:v>ELEC-04</x:v>
      </x:c>
      <x:c r="B46" s="47" t="str">
        <x:v>Field magnet / excitation module</x:v>
      </x:c>
      <x:c r="C46" s="47" t="str">
        <x:v>Generator</x:v>
      </x:c>
      <x:c r="D46" s="47" t="str">
        <x:v>Electrical + materials</x:v>
      </x:c>
      <x:c r="E46" s="47" t="str">
        <x:v>Stable field under temperature</x:v>
      </x:c>
      <x:c r="F46" s="49"/>
      <x:c r="G46" s="49"/>
    </x:row>
    <x:row r="47">
      <x:c r="A47" s="47" t="str">
        <x:v>ELEC-05</x:v>
      </x:c>
      <x:c r="B47" s="47" t="str">
        <x:v>Rectifier/regulator set</x:v>
      </x:c>
      <x:c r="C47" s="47" t="str">
        <x:v>Power conditioning</x:v>
      </x:c>
      <x:c r="D47" s="47" t="str">
        <x:v>Electronics + heat</x:v>
      </x:c>
      <x:c r="E47" s="47" t="str">
        <x:v>Stable protected output</x:v>
      </x:c>
      <x:c r="F47" s="49"/>
      <x:c r="G47" s="49"/>
    </x:row>
    <x:row r="48">
      <x:c r="A48" s="47" t="str">
        <x:v>ELEC-06</x:v>
      </x:c>
      <x:c r="B48" s="47" t="str">
        <x:v>Fuse/breaker/disconnect panel</x:v>
      </x:c>
      <x:c r="C48" s="47" t="str">
        <x:v>Mandatory protection</x:v>
      </x:c>
      <x:c r="D48" s="47" t="str">
        <x:v>Electrical safety</x:v>
      </x:c>
      <x:c r="E48" s="47" t="str">
        <x:v>Fault isolation test</x:v>
      </x:c>
      <x:c r="F48" s="49"/>
      <x:c r="G48" s="49"/>
    </x:row>
    <x:row r="49">
      <x:c r="A49" s="47" t="str">
        <x:v>ELEC-07</x:v>
      </x:c>
      <x:c r="B49" s="47" t="str">
        <x:v>Charge controller</x:v>
      </x:c>
      <x:c r="C49" s="47" t="str">
        <x:v>Storage interface</x:v>
      </x:c>
      <x:c r="D49" s="47" t="str">
        <x:v>Electrical control</x:v>
      </x:c>
      <x:c r="E49" s="47" t="str">
        <x:v>Battery-compatible charge limits</x:v>
      </x:c>
      <x:c r="F49" s="49"/>
      <x:c r="G49" s="49"/>
    </x:row>
    <x:row r="50">
      <x:c r="A50" s="47" t="str">
        <x:v>ELEC-08</x:v>
      </x:c>
      <x:c r="B50" s="47" t="str">
        <x:v>Protected battery bank</x:v>
      </x:c>
      <x:c r="C50" s="47" t="str">
        <x:v>Storage</x:v>
      </x:c>
      <x:c r="D50" s="47" t="str">
        <x:v>Battery care + ventilation</x:v>
      </x:c>
      <x:c r="E50" s="47" t="str">
        <x:v>Charge/discharge/temperature test</x:v>
      </x:c>
      <x:c r="F50" s="49"/>
      <x:c r="G50" s="49"/>
    </x:row>
    <x:row r="51">
      <x:c r="A51" s="47" t="str">
        <x:v>ELEC-09</x:v>
      </x:c>
      <x:c r="B51" s="47" t="str">
        <x:v>Distribution bus and protected conductors</x:v>
      </x:c>
      <x:c r="C51" s="47" t="str">
        <x:v>Distribution</x:v>
      </x:c>
      <x:c r="D51" s="47" t="str">
        <x:v>Electrical installation</x:v>
      </x:c>
      <x:c r="E51" s="47" t="str">
        <x:v>Wet-weather insulation and load test</x:v>
      </x:c>
      <x:c r="F51" s="49"/>
      <x:c r="G51" s="49"/>
    </x:row>
    <x:row r="52">
      <x:c r="A52" s="47" t="str">
        <x:v>ELEC-10</x:v>
      </x:c>
      <x:c r="B52" s="47" t="str">
        <x:v>Camp microgrid control board</x:v>
      </x:c>
      <x:c r="C52" s="47" t="str">
        <x:v>Distribution/control</x:v>
      </x:c>
      <x:c r="D52" s="47" t="str">
        <x:v>Electrical governance</x:v>
      </x:c>
      <x:c r="E52" s="47" t="str">
        <x:v>Priority-load and safe-shed test</x:v>
      </x:c>
      <x:c r="F52" s="49"/>
      <x:c r="G52" s="49"/>
    </x:row>
    <x:row r="53">
      <x:c r="A53" s="47" t="str">
        <x:v>ELEC-11</x:v>
      </x:c>
      <x:c r="B53" s="47" t="str">
        <x:v>Grounding/bonding and lightning protection</x:v>
      </x:c>
      <x:c r="C53" s="47" t="str">
        <x:v>Protection</x:v>
      </x:c>
      <x:c r="D53" s="47" t="str">
        <x:v>Electrical + weather</x:v>
      </x:c>
      <x:c r="E53" s="47" t="str">
        <x:v>Fault path and storm inspection</x:v>
      </x:c>
      <x:c r="F53" s="49"/>
      <x:c r="G53" s="49"/>
    </x:row>
    <x:row r="54">
      <x:c r="A54" s="47" t="str">
        <x:v>TEST-01</x:v>
      </x:c>
      <x:c r="B54" s="47" t="str">
        <x:v>Hydrostatic boundary test rig</x:v>
      </x:c>
      <x:c r="C54" s="47" t="str">
        <x:v>Qualification</x:v>
      </x:c>
      <x:c r="D54" s="47" t="str">
        <x:v>Pressure testing</x:v>
      </x:c>
      <x:c r="E54" s="47" t="str">
        <x:v>Non-fired integrity proof</x:v>
      </x:c>
      <x:c r="F54" s="49"/>
      <x:c r="G54" s="49"/>
    </x:row>
    <x:row r="55">
      <x:c r="A55" s="47" t="str">
        <x:v>TEST-02</x:v>
      </x:c>
      <x:c r="B55" s="47" t="str">
        <x:v>No-load engine test stand</x:v>
      </x:c>
      <x:c r="C55" s="47" t="str">
        <x:v>Qualification</x:v>
      </x:c>
      <x:c r="D55" s="47" t="str">
        <x:v>Mechanics + steam</x:v>
      </x:c>
      <x:c r="E55" s="47" t="str">
        <x:v>Controlled start, run and stop</x:v>
      </x:c>
      <x:c r="F55" s="49"/>
      <x:c r="G55" s="49"/>
    </x:row>
    <x:row r="56">
      <x:c r="A56" s="47" t="str">
        <x:v>TEST-03</x:v>
      </x:c>
      <x:c r="B56" s="47" t="str">
        <x:v>Overspeed and emergency-stop test</x:v>
      </x:c>
      <x:c r="C56" s="47" t="str">
        <x:v>Qualification</x:v>
      </x:c>
      <x:c r="D56" s="47" t="str">
        <x:v>Controls + safety</x:v>
      </x:c>
      <x:c r="E56" s="47" t="str">
        <x:v>Independent shutdown proof</x:v>
      </x:c>
      <x:c r="F56" s="49"/>
      <x:c r="G56" s="49"/>
    </x:row>
    <x:row r="57">
      <x:c r="A57" s="47" t="str">
        <x:v>TEST-04</x:v>
      </x:c>
      <x:c r="B57" s="47" t="str">
        <x:v>Generator load bank</x:v>
      </x:c>
      <x:c r="C57" s="47" t="str">
        <x:v>Qualification</x:v>
      </x:c>
      <x:c r="D57" s="47" t="str">
        <x:v>Electrical measurement</x:v>
      </x:c>
      <x:c r="E57" s="47" t="str">
        <x:v>Output, heat and regulation proof</x:v>
      </x:c>
      <x:c r="F57" s="49"/>
      <x:c r="G57" s="49"/>
    </x:row>
  </x:sheetData>
  <x:mergeCells>
    <x:mergeCell ref="A1:K1"/>
    <x:mergeCell ref="A2:K2"/>
  </x:mergeCells>
  <x:dataValidations count="1">
    <x:dataValidation type="list" sqref="F20:F57">
      <x:formula1>"Add,Merge,Reject,Needs review"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0f673d685a24f7b"/>
    <x:tablePart xmlns:r="http://schemas.openxmlformats.org/officeDocument/2006/relationships" r:id="R87e0d1088a1e45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24" hidden="0" customWidth="1"/>
    <x:col min="4" max="4" width="40" hidden="0" customWidth="1"/>
    <x:col min="5" max="5" width="18" hidden="0" customWidth="1"/>
    <x:col min="6" max="6" width="18" hidden="0" customWidth="1"/>
    <x:col min="7" max="7" width="42" hidden="0" customWidth="1"/>
    <x:col min="8" max="8" width="12" hidden="0" customWidth="1"/>
  </x:cols>
  <x:sheetData>
    <x:row r="1" ht="28" customHeight="1">
      <x:c r="A1" s="3" t="str">
        <x:v>Recovered Earlier-Canon Names Missing from v2.8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These names appeared in the earlier crafting, hunting, or civilization canon but are not exact standalone v2.8 node names. Similar concepts may be compressed into a family; use Closest current node before deciding to add or split.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6" t="str">
        <x:v>Earlier-canon name</x:v>
      </x:c>
      <x:c r="B4" s="17" t="str">
        <x:v>Category</x:v>
      </x:c>
      <x:c r="C4" s="17" t="str">
        <x:v>Source</x:v>
      </x:c>
      <x:c r="D4" s="17" t="str">
        <x:v>Closest current node / treatment</x:v>
      </x:c>
      <x:c r="E4" s="17" t="str">
        <x:v>Exact v2.8 name?</x:v>
      </x:c>
      <x:c r="F4" s="17" t="str">
        <x:v>Director action</x:v>
      </x:c>
      <x:c r="G4" s="17" t="str">
        <x:v>Director notes</x:v>
      </x:c>
      <x:c r="H4" s="18" t="str">
        <x:v>Priority</x:v>
      </x:c>
    </x:row>
    <x:row r="5">
      <x:c r="A5" s="46" t="str">
        <x:v>Tinder bundle</x:v>
      </x:c>
      <x:c r="B5" s="46" t="str">
        <x:v>Fire</x:v>
      </x:c>
      <x:c r="C5" s="46" t="str">
        <x:v>v0.4 Tier 0</x:v>
      </x:c>
      <x:c r="D5" s="46" t="str">
        <x:v>Tinder/fuel is implicit</x:v>
      </x:c>
      <x:c r="E5" s="46" t="str">
        <x:f>IF(COUNTIF('Master Catalogue'!$B$5:$B$226,A5)&gt;0,"Yes","No")</x:f>
        <x:v>No</x:v>
      </x:c>
      <x:c r="F5" s="48"/>
      <x:c r="G5" s="48"/>
      <x:c r="H5" s="48"/>
    </x:row>
    <x:row r="6">
      <x:c r="A6" s="47" t="str">
        <x:v>Simple torch</x:v>
      </x:c>
      <x:c r="B6" s="47" t="str">
        <x:v>Light</x:v>
      </x:c>
      <x:c r="C6" s="47" t="str">
        <x:v>v0.4 Tier 0</x:v>
      </x:c>
      <x:c r="D6" s="47" t="str">
        <x:v>Protected lamp/light</x:v>
      </x:c>
      <x:c r="E6" s="47" t="str">
        <x:f>IF(COUNTIF('Master Catalogue'!$B$5:$B$226,A6)&gt;0,"Yes","No")</x:f>
        <x:v>No</x:v>
      </x:c>
      <x:c r="F6" s="49"/>
      <x:c r="G6" s="49"/>
      <x:c r="H6" s="49"/>
    </x:row>
    <x:row r="7">
      <x:c r="A7" s="47" t="str">
        <x:v>Leaf shelter</x:v>
      </x:c>
      <x:c r="B7" s="47" t="str">
        <x:v>Shelter</x:v>
      </x:c>
      <x:c r="C7" s="47" t="str">
        <x:v>v0.4 Tier 0</x:v>
      </x:c>
      <x:c r="D7" s="47" t="str">
        <x:v>Windbreak + rain roof</x:v>
      </x:c>
      <x:c r="E7" s="47" t="str">
        <x:f>IF(COUNTIF('Master Catalogue'!$B$5:$B$226,A7)&gt;0,"Yes","No")</x:f>
        <x:v>No</x:v>
      </x:c>
      <x:c r="F7" s="49"/>
      <x:c r="G7" s="49"/>
      <x:c r="H7" s="49"/>
    </x:row>
    <x:row r="8">
      <x:c r="A8" s="47" t="str">
        <x:v>Coconut canteen</x:v>
      </x:c>
      <x:c r="B8" s="47" t="str">
        <x:v>Water/container</x:v>
      </x:c>
      <x:c r="C8" s="47" t="str">
        <x:v>v0.4 Tier 0</x:v>
      </x:c>
      <x:c r="D8" s="47" t="str">
        <x:v>Coconut shell cup / organic pouch</x:v>
      </x:c>
      <x:c r="E8" s="47" t="str">
        <x:f>IF(COUNTIF('Master Catalogue'!$B$5:$B$226,A8)&gt;0,"Yes","No")</x:f>
        <x:v>No</x:v>
      </x:c>
      <x:c r="F8" s="49"/>
      <x:c r="G8" s="49"/>
      <x:c r="H8" s="49"/>
    </x:row>
    <x:row r="9">
      <x:c r="A9" s="47" t="str">
        <x:v>Fish spear</x:v>
      </x:c>
      <x:c r="B9" s="47" t="str">
        <x:v>Weapon/fishing</x:v>
      </x:c>
      <x:c r="C9" s="47" t="str">
        <x:v>v0.4 Tier 0</x:v>
      </x:c>
      <x:c r="D9" s="47" t="str">
        <x:v>Spear/harpoon</x:v>
      </x:c>
      <x:c r="E9" s="47" t="str">
        <x:f>IF(COUNTIF('Master Catalogue'!$B$5:$B$226,A9)&gt;0,"Yes","No")</x:f>
        <x:v>No</x:v>
      </x:c>
      <x:c r="F9" s="49"/>
      <x:c r="G9" s="49"/>
      <x:c r="H9" s="49"/>
    </x:row>
    <x:row r="10">
      <x:c r="A10" s="47" t="str">
        <x:v>Stone hammer</x:v>
      </x:c>
      <x:c r="B10" s="47" t="str">
        <x:v>Tool</x:v>
      </x:c>
      <x:c r="C10" s="47" t="str">
        <x:v>v0.4 Tier 0 / v2.7 §12.3</x:v>
      </x:c>
      <x:c r="D10" s="47" t="str">
        <x:v>Hammer stone / wood-stone mallet</x:v>
      </x:c>
      <x:c r="E10" s="47" t="str">
        <x:f>IF(COUNTIF('Master Catalogue'!$B$5:$B$226,A10)&gt;0,"Yes","No")</x:f>
        <x:v>No</x:v>
      </x:c>
      <x:c r="F10" s="49"/>
      <x:c r="G10" s="49"/>
      <x:c r="H10" s="49"/>
    </x:row>
    <x:row r="11">
      <x:c r="A11" s="47" t="str">
        <x:v>Basic bandage</x:v>
      </x:c>
      <x:c r="B11" s="47" t="str">
        <x:v>Medicine</x:v>
      </x:c>
      <x:c r="C11" s="47" t="str">
        <x:v>v0.4 Tier 0</x:v>
      </x:c>
      <x:c r="D11" s="47" t="str">
        <x:v>Clean dressing</x:v>
      </x:c>
      <x:c r="E11" s="47" t="str">
        <x:f>IF(COUNTIF('Master Catalogue'!$B$5:$B$226,A11)&gt;0,"Yes","No")</x:f>
        <x:v>No</x:v>
      </x:c>
      <x:c r="F11" s="49"/>
      <x:c r="G11" s="49"/>
      <x:c r="H11" s="49"/>
    </x:row>
    <x:row r="12">
      <x:c r="A12" s="47" t="str">
        <x:v>Signal fire</x:v>
      </x:c>
      <x:c r="B12" s="47" t="str">
        <x:v>Signal/fire</x:v>
      </x:c>
      <x:c r="C12" s="47" t="str">
        <x:v>v0.4 Tier 0</x:v>
      </x:c>
      <x:c r="D12" s="47" t="str">
        <x:v>No exact node</x:v>
      </x:c>
      <x:c r="E12" s="47" t="str">
        <x:f>IF(COUNTIF('Master Catalogue'!$B$5:$B$226,A12)&gt;0,"Yes","No")</x:f>
        <x:v>No</x:v>
      </x:c>
      <x:c r="F12" s="49"/>
      <x:c r="G12" s="49"/>
      <x:c r="H12" s="49"/>
    </x:row>
    <x:row r="13">
      <x:c r="A13" s="47" t="str">
        <x:v>Bow drill / fire kit</x:v>
      </x:c>
      <x:c r="B13" s="47" t="str">
        <x:v>Fire/tool</x:v>
      </x:c>
      <x:c r="C13" s="47" t="str">
        <x:v>v0.4 Tier 1</x:v>
      </x:c>
      <x:c r="D13" s="47" t="str">
        <x:v>Bow/hand drill</x:v>
      </x:c>
      <x:c r="E13" s="47" t="str">
        <x:f>IF(COUNTIF('Master Catalogue'!$B$5:$B$226,A13)&gt;0,"Yes","No")</x:f>
        <x:v>No</x:v>
      </x:c>
      <x:c r="F13" s="49"/>
      <x:c r="G13" s="49"/>
      <x:c r="H13" s="49"/>
    </x:row>
    <x:row r="14">
      <x:c r="A14" s="47" t="str">
        <x:v>Rain catcher</x:v>
      </x:c>
      <x:c r="B14" s="47" t="str">
        <x:v>Water</x:v>
      </x:c>
      <x:c r="C14" s="47" t="str">
        <x:v>v0.4 Tier 1</x:v>
      </x:c>
      <x:c r="D14" s="47" t="str">
        <x:v>Rain gutter + covered reserve</x:v>
      </x:c>
      <x:c r="E14" s="47" t="str">
        <x:f>IF(COUNTIF('Master Catalogue'!$B$5:$B$226,A14)&gt;0,"Yes","No")</x:f>
        <x:v>No</x:v>
      </x:c>
      <x:c r="F14" s="49"/>
      <x:c r="G14" s="49"/>
      <x:c r="H14" s="49"/>
    </x:row>
    <x:row r="15">
      <x:c r="A15" s="47" t="str">
        <x:v>Layered water pre-filter</x:v>
      </x:c>
      <x:c r="B15" s="47" t="str">
        <x:v>Water</x:v>
      </x:c>
      <x:c r="C15" s="47" t="str">
        <x:v>v0.4 Tier 1</x:v>
      </x:c>
      <x:c r="D15" s="47" t="str">
        <x:v>Qualified treatment train</x:v>
      </x:c>
      <x:c r="E15" s="47" t="str">
        <x:f>IF(COUNTIF('Master Catalogue'!$B$5:$B$226,A15)&gt;0,"Yes","No")</x:f>
        <x:v>No</x:v>
      </x:c>
      <x:c r="F15" s="49"/>
      <x:c r="G15" s="49"/>
      <x:c r="H15" s="49"/>
    </x:row>
    <x:row r="16">
      <x:c r="A16" s="47" t="str">
        <x:v>Drying rack</x:v>
      </x:c>
      <x:c r="B16" s="47" t="str">
        <x:v>Food/materials</x:v>
      </x:c>
      <x:c r="C16" s="47" t="str">
        <x:v>v0.4 Tier 1</x:v>
      </x:c>
      <x:c r="D16" s="47" t="str">
        <x:v>Smoking/drying station</x:v>
      </x:c>
      <x:c r="E16" s="47" t="str">
        <x:f>IF(COUNTIF('Master Catalogue'!$B$5:$B$226,A16)&gt;0,"Yes","No")</x:f>
        <x:v>No</x:v>
      </x:c>
      <x:c r="F16" s="49"/>
      <x:c r="G16" s="49"/>
      <x:c r="H16" s="49"/>
    </x:row>
    <x:row r="17">
      <x:c r="A17" s="47" t="str">
        <x:v>Fishing net</x:v>
      </x:c>
      <x:c r="B17" s="47" t="str">
        <x:v>Fishing/fiber</x:v>
      </x:c>
      <x:c r="C17" s="47" t="str">
        <x:v>v0.4 Tier 1</x:v>
      </x:c>
      <x:c r="D17" s="47" t="str">
        <x:v>Load-tested net/mesh</x:v>
      </x:c>
      <x:c r="E17" s="47" t="str">
        <x:f>IF(COUNTIF('Master Catalogue'!$B$5:$B$226,A17)&gt;0,"Yes","No")</x:f>
        <x:v>No</x:v>
      </x:c>
      <x:c r="F17" s="49"/>
      <x:c r="G17" s="49"/>
      <x:c r="H17" s="49"/>
    </x:row>
    <x:row r="18">
      <x:c r="A18" s="47" t="str">
        <x:v>Crab trap</x:v>
      </x:c>
      <x:c r="B18" s="47" t="str">
        <x:v>Fishing</x:v>
      </x:c>
      <x:c r="C18" s="47" t="str">
        <x:v>v0.4 Tier 1</x:v>
      </x:c>
      <x:c r="D18" s="47" t="str">
        <x:v>Selective fish/crab trap</x:v>
      </x:c>
      <x:c r="E18" s="47" t="str">
        <x:f>IF(COUNTIF('Master Catalogue'!$B$5:$B$226,A18)&gt;0,"Yes","No")</x:f>
        <x:v>No</x:v>
      </x:c>
      <x:c r="F18" s="49"/>
      <x:c r="G18" s="49"/>
      <x:c r="H18" s="49"/>
    </x:row>
    <x:row r="19">
      <x:c r="A19" s="47" t="str">
        <x:v>Bedroll</x:v>
      </x:c>
      <x:c r="B19" s="47" t="str">
        <x:v>Shelter/clothing</x:v>
      </x:c>
      <x:c r="C19" s="47" t="str">
        <x:v>v0.4 Tier 1</x:v>
      </x:c>
      <x:c r="D19" s="47" t="str">
        <x:v>Raised insulated sleep</x:v>
      </x:c>
      <x:c r="E19" s="47" t="str">
        <x:f>IF(COUNTIF('Master Catalogue'!$B$5:$B$226,A19)&gt;0,"Yes","No")</x:f>
        <x:v>No</x:v>
      </x:c>
      <x:c r="F19" s="49"/>
      <x:c r="G19" s="49"/>
      <x:c r="H19" s="49"/>
    </x:row>
    <x:row r="20">
      <x:c r="A20" s="47" t="str">
        <x:v>Mosquito screen</x:v>
      </x:c>
      <x:c r="B20" s="47" t="str">
        <x:v>Shelter/fiber</x:v>
      </x:c>
      <x:c r="C20" s="47" t="str">
        <x:v>v0.4 Tier 1</x:v>
      </x:c>
      <x:c r="D20" s="47" t="str">
        <x:v>No exact node</x:v>
      </x:c>
      <x:c r="E20" s="47" t="str">
        <x:f>IF(COUNTIF('Master Catalogue'!$B$5:$B$226,A20)&gt;0,"Yes","No")</x:f>
        <x:v>No</x:v>
      </x:c>
      <x:c r="F20" s="49"/>
      <x:c r="G20" s="49"/>
      <x:c r="H20" s="49"/>
    </x:row>
    <x:row r="21">
      <x:c r="A21" s="47" t="str">
        <x:v>Resin-sealed roof</x:v>
      </x:c>
      <x:c r="B21" s="47" t="str">
        <x:v>Shelter</x:v>
      </x:c>
      <x:c r="C21" s="47" t="str">
        <x:v>v0.4 Tier 1</x:v>
      </x:c>
      <x:c r="D21" s="47" t="str">
        <x:v>Rain roof + prepared sealant</x:v>
      </x:c>
      <x:c r="E21" s="47" t="str">
        <x:f>IF(COUNTIF('Master Catalogue'!$B$5:$B$226,A21)&gt;0,"Yes","No")</x:f>
        <x:v>No</x:v>
      </x:c>
      <x:c r="F21" s="49"/>
      <x:c r="G21" s="49"/>
      <x:c r="H21" s="49"/>
    </x:row>
    <x:row r="22">
      <x:c r="A22" s="47" t="str">
        <x:v>Storage chest</x:v>
      </x:c>
      <x:c r="B22" s="47" t="str">
        <x:v>Storage</x:v>
      </x:c>
      <x:c r="C22" s="47" t="str">
        <x:v>v0.4 Tier 1</x:v>
      </x:c>
      <x:c r="D22" s="47" t="str">
        <x:v>Dry cache/chest</x:v>
      </x:c>
      <x:c r="E22" s="47" t="str">
        <x:f>IF(COUNTIF('Master Catalogue'!$B$5:$B$226,A22)&gt;0,"Yes","No")</x:f>
        <x:v>No</x:v>
      </x:c>
      <x:c r="F22" s="49"/>
      <x:c r="G22" s="49"/>
      <x:c r="H22" s="49"/>
    </x:row>
    <x:row r="23">
      <x:c r="A23" s="47" t="str">
        <x:v>Door</x:v>
      </x:c>
      <x:c r="B23" s="47" t="str">
        <x:v>Shelter</x:v>
      </x:c>
      <x:c r="C23" s="47" t="str">
        <x:v>v0.4 Tier 1</x:v>
      </x:c>
      <x:c r="D23" s="47" t="str">
        <x:v>Storm shutters/opening protection</x:v>
      </x:c>
      <x:c r="E23" s="47" t="str">
        <x:f>IF(COUNTIF('Master Catalogue'!$B$5:$B$226,A23)&gt;0,"Yes","No")</x:f>
        <x:v>No</x:v>
      </x:c>
      <x:c r="F23" s="49"/>
      <x:c r="G23" s="49"/>
      <x:c r="H23" s="49"/>
    </x:row>
    <x:row r="24">
      <x:c r="A24" s="47" t="str">
        <x:v>Latch</x:v>
      </x:c>
      <x:c r="B24" s="47" t="str">
        <x:v>Security</x:v>
      </x:c>
      <x:c r="C24" s="47" t="str">
        <x:v>v0.4 Tier 1</x:v>
      </x:c>
      <x:c r="D24" s="47" t="str">
        <x:v>No exact node</x:v>
      </x:c>
      <x:c r="E24" s="47" t="str">
        <x:f>IF(COUNTIF('Master Catalogue'!$B$5:$B$226,A24)&gt;0,"Yes","No")</x:f>
        <x:v>No</x:v>
      </x:c>
      <x:c r="F24" s="49"/>
      <x:c r="G24" s="49"/>
      <x:c r="H24" s="49"/>
    </x:row>
    <x:row r="25">
      <x:c r="A25" s="47" t="str">
        <x:v>Simple lock</x:v>
      </x:c>
      <x:c r="B25" s="47" t="str">
        <x:v>Security</x:v>
      </x:c>
      <x:c r="C25" s="47" t="str">
        <x:v>v0.4 Tier 1</x:v>
      </x:c>
      <x:c r="D25" s="47" t="str">
        <x:v>No exact node</x:v>
      </x:c>
      <x:c r="E25" s="47" t="str">
        <x:f>IF(COUNTIF('Master Catalogue'!$B$5:$B$226,A25)&gt;0,"Yes","No")</x:f>
        <x:v>No</x:v>
      </x:c>
      <x:c r="F25" s="49"/>
      <x:c r="G25" s="49"/>
      <x:c r="H25" s="49"/>
    </x:row>
    <x:row r="26">
      <x:c r="A26" s="47" t="str">
        <x:v>Alarm line</x:v>
      </x:c>
      <x:c r="B26" s="47" t="str">
        <x:v>Security</x:v>
      </x:c>
      <x:c r="C26" s="47" t="str">
        <x:v>v0.4 Tier 1</x:v>
      </x:c>
      <x:c r="D26" s="47" t="str">
        <x:v>No exact node</x:v>
      </x:c>
      <x:c r="E26" s="47" t="str">
        <x:f>IF(COUNTIF('Master Catalogue'!$B$5:$B$226,A26)&gt;0,"Yes","No")</x:f>
        <x:v>No</x:v>
      </x:c>
      <x:c r="F26" s="49"/>
      <x:c r="G26" s="49"/>
      <x:c r="H26" s="49"/>
    </x:row>
    <x:row r="27">
      <x:c r="A27" s="47" t="str">
        <x:v>Salvage pry bar</x:v>
      </x:c>
      <x:c r="B27" s="47" t="str">
        <x:v>Tool</x:v>
      </x:c>
      <x:c r="C27" s="47" t="str">
        <x:v>v0.4 Tier 1</x:v>
      </x:c>
      <x:c r="D27" s="47" t="str">
        <x:v>Pry bar/leverage tool</x:v>
      </x:c>
      <x:c r="E27" s="47" t="str">
        <x:f>IF(COUNTIF('Master Catalogue'!$B$5:$B$226,A27)&gt;0,"Yes","No")</x:f>
        <x:v>No</x:v>
      </x:c>
      <x:c r="F27" s="49"/>
      <x:c r="G27" s="49"/>
      <x:c r="H27" s="49"/>
    </x:row>
    <x:row r="28">
      <x:c r="A28" s="47" t="str">
        <x:v>Sheet-metal roof</x:v>
      </x:c>
      <x:c r="B28" s="47" t="str">
        <x:v>Shelter/metal</x:v>
      </x:c>
      <x:c r="C28" s="47" t="str">
        <x:v>v0.4 Tier 2</x:v>
      </x:c>
      <x:c r="D28" s="47" t="str">
        <x:v>Rain roof</x:v>
      </x:c>
      <x:c r="E28" s="47" t="str">
        <x:f>IF(COUNTIF('Master Catalogue'!$B$5:$B$226,A28)&gt;0,"Yes","No")</x:f>
        <x:v>No</x:v>
      </x:c>
      <x:c r="F28" s="49"/>
      <x:c r="G28" s="49"/>
      <x:c r="H28" s="49"/>
    </x:row>
    <x:row r="29">
      <x:c r="A29" s="47" t="str">
        <x:v>Sheet-metal gutter</x:v>
      </x:c>
      <x:c r="B29" s="47" t="str">
        <x:v>Water/metal</x:v>
      </x:c>
      <x:c r="C29" s="47" t="str">
        <x:v>v0.4 Tier 2</x:v>
      </x:c>
      <x:c r="D29" s="47" t="str">
        <x:v>Rain gutter/channel</x:v>
      </x:c>
      <x:c r="E29" s="47" t="str">
        <x:f>IF(COUNTIF('Master Catalogue'!$B$5:$B$226,A29)&gt;0,"Yes","No")</x:f>
        <x:v>No</x:v>
      </x:c>
      <x:c r="F29" s="49"/>
      <x:c r="G29" s="49"/>
      <x:c r="H29" s="49"/>
    </x:row>
    <x:row r="30">
      <x:c r="A30" s="47" t="str">
        <x:v>Reinforced hand tools</x:v>
      </x:c>
      <x:c r="B30" s="47" t="str">
        <x:v>Tool family</x:v>
      </x:c>
      <x:c r="C30" s="47" t="str">
        <x:v>v0.4 Tier 2</x:v>
      </x:c>
      <x:c r="D30" s="47" t="str">
        <x:v>Multiple current tools</x:v>
      </x:c>
      <x:c r="E30" s="47" t="str">
        <x:f>IF(COUNTIF('Master Catalogue'!$B$5:$B$226,A30)&gt;0,"Yes","No")</x:f>
        <x:v>No</x:v>
      </x:c>
      <x:c r="F30" s="49"/>
      <x:c r="G30" s="49"/>
      <x:c r="H30" s="49"/>
    </x:row>
    <x:row r="31">
      <x:c r="A31" s="47" t="str">
        <x:v>Pulley hoist</x:v>
      </x:c>
      <x:c r="B31" s="47" t="str">
        <x:v>Logistics</x:v>
      </x:c>
      <x:c r="C31" s="47" t="str">
        <x:v>v0.4 Tier 2</x:v>
      </x:c>
      <x:c r="D31" s="47" t="str">
        <x:v>Pulley/tackle</x:v>
      </x:c>
      <x:c r="E31" s="47" t="str">
        <x:f>IF(COUNTIF('Master Catalogue'!$B$5:$B$226,A31)&gt;0,"Yes","No")</x:f>
        <x:v>No</x:v>
      </x:c>
      <x:c r="F31" s="49"/>
      <x:c r="G31" s="49"/>
      <x:c r="H31" s="49"/>
    </x:row>
    <x:row r="32">
      <x:c r="A32" s="47" t="str">
        <x:v>Cargo cart</x:v>
      </x:c>
      <x:c r="B32" s="47" t="str">
        <x:v>Logistics</x:v>
      </x:c>
      <x:c r="C32" s="47" t="str">
        <x:v>v0.4 Tier 2</x:v>
      </x:c>
      <x:c r="D32" s="47" t="str">
        <x:v>Handcart</x:v>
      </x:c>
      <x:c r="E32" s="47" t="str">
        <x:f>IF(COUNTIF('Master Catalogue'!$B$5:$B$226,A32)&gt;0,"Yes","No")</x:f>
        <x:v>No</x:v>
      </x:c>
      <x:c r="F32" s="49"/>
      <x:c r="G32" s="49"/>
      <x:c r="H32" s="49"/>
    </x:row>
    <x:row r="33">
      <x:c r="A33" s="47" t="str">
        <x:v>Wreck bracing kit</x:v>
      </x:c>
      <x:c r="B33" s="47" t="str">
        <x:v>Salvage</x:v>
      </x:c>
      <x:c r="C33" s="47" t="str">
        <x:v>v0.4 Tier 2</x:v>
      </x:c>
      <x:c r="D33" s="47" t="str">
        <x:v>Covered sorting yard / salvage operations</x:v>
      </x:c>
      <x:c r="E33" s="47" t="str">
        <x:f>IF(COUNTIF('Master Catalogue'!$B$5:$B$226,A33)&gt;0,"Yes","No")</x:f>
        <x:v>No</x:v>
      </x:c>
      <x:c r="F33" s="49"/>
      <x:c r="G33" s="49"/>
      <x:c r="H33" s="49"/>
    </x:row>
    <x:row r="34">
      <x:c r="A34" s="47" t="str">
        <x:v>Water tank</x:v>
      </x:c>
      <x:c r="B34" s="47" t="str">
        <x:v>Water/container</x:v>
      </x:c>
      <x:c r="C34" s="47" t="str">
        <x:v>v0.4 Tier 2</x:v>
      </x:c>
      <x:c r="D34" s="47" t="str">
        <x:v>Covered cistern</x:v>
      </x:c>
      <x:c r="E34" s="47" t="str">
        <x:f>IF(COUNTIF('Master Catalogue'!$B$5:$B$226,A34)&gt;0,"Yes","No")</x:f>
        <x:v>No</x:v>
      </x:c>
      <x:c r="F34" s="49"/>
      <x:c r="G34" s="49"/>
      <x:c r="H34" s="49"/>
    </x:row>
    <x:row r="35">
      <x:c r="A35" s="47" t="str">
        <x:v>Distillation unit</x:v>
      </x:c>
      <x:c r="B35" s="47" t="str">
        <x:v>Water/thermal</x:v>
      </x:c>
      <x:c r="C35" s="47" t="str">
        <x:v>v0.4 Tier 2</x:v>
      </x:c>
      <x:c r="D35" s="47" t="str">
        <x:v>Distiller/desalinator</x:v>
      </x:c>
      <x:c r="E35" s="47" t="str">
        <x:f>IF(COUNTIF('Master Catalogue'!$B$5:$B$226,A35)&gt;0,"Yes","No")</x:f>
        <x:v>No</x:v>
      </x:c>
      <x:c r="F35" s="49"/>
      <x:c r="G35" s="49"/>
      <x:c r="H35" s="49"/>
    </x:row>
    <x:row r="36">
      <x:c r="A36" s="47" t="str">
        <x:v>Charcoal kiln</x:v>
      </x:c>
      <x:c r="B36" s="47" t="str">
        <x:v>Thermal</x:v>
      </x:c>
      <x:c r="C36" s="47" t="str">
        <x:v>v0.4 Tier 2</x:v>
      </x:c>
      <x:c r="D36" s="47" t="str">
        <x:v>Charcoal pit/retort</x:v>
      </x:c>
      <x:c r="E36" s="47" t="str">
        <x:f>IF(COUNTIF('Master Catalogue'!$B$5:$B$226,A36)&gt;0,"Yes","No")</x:f>
        <x:v>No</x:v>
      </x:c>
      <x:c r="F36" s="49"/>
      <x:c r="G36" s="49"/>
      <x:c r="H36" s="49"/>
    </x:row>
    <x:row r="37">
      <x:c r="A37" s="47" t="str">
        <x:v>Metal stove</x:v>
      </x:c>
      <x:c r="B37" s="47" t="str">
        <x:v>Fire</x:v>
      </x:c>
      <x:c r="C37" s="47" t="str">
        <x:v>v0.4 Tier 2</x:v>
      </x:c>
      <x:c r="D37" s="47" t="str">
        <x:v>Efficient enclosed stove</x:v>
      </x:c>
      <x:c r="E37" s="47" t="str">
        <x:f>IF(COUNTIF('Master Catalogue'!$B$5:$B$226,A37)&gt;0,"Yes","No")</x:f>
        <x:v>No</x:v>
      </x:c>
      <x:c r="F37" s="49"/>
      <x:c r="G37" s="49"/>
      <x:c r="H37" s="49"/>
    </x:row>
    <x:row r="38">
      <x:c r="A38" s="47" t="str">
        <x:v>Crossbow</x:v>
      </x:c>
      <x:c r="B38" s="47" t="str">
        <x:v>Weapon</x:v>
      </x:c>
      <x:c r="C38" s="47" t="str">
        <x:v>v0.4 Tier 2 / v0.12 §8.2</x:v>
      </x:c>
      <x:c r="D38" s="47" t="str">
        <x:v>No exact node</x:v>
      </x:c>
      <x:c r="E38" s="47" t="str">
        <x:f>IF(COUNTIF('Master Catalogue'!$B$5:$B$226,A38)&gt;0,"Yes","No")</x:f>
        <x:v>No</x:v>
      </x:c>
      <x:c r="F38" s="49"/>
      <x:c r="G38" s="49"/>
      <x:c r="H38" s="49"/>
    </x:row>
    <x:row r="39">
      <x:c r="A39" s="47" t="str">
        <x:v>Compressed-air spear launcher</x:v>
      </x:c>
      <x:c r="B39" s="47" t="str">
        <x:v>Weapon</x:v>
      </x:c>
      <x:c r="C39" s="47" t="str">
        <x:v>v0.4 Tier 2</x:v>
      </x:c>
      <x:c r="D39" s="47" t="str">
        <x:v>No exact node</x:v>
      </x:c>
      <x:c r="E39" s="47" t="str">
        <x:f>IF(COUNTIF('Master Catalogue'!$B$5:$B$226,A39)&gt;0,"Yes","No")</x:f>
        <x:v>No</x:v>
      </x:c>
      <x:c r="F39" s="49"/>
      <x:c r="G39" s="49"/>
      <x:c r="H39" s="49"/>
    </x:row>
    <x:row r="40">
      <x:c r="A40" s="47" t="str">
        <x:v>Lockbox</x:v>
      </x:c>
      <x:c r="B40" s="47" t="str">
        <x:v>Storage/security</x:v>
      </x:c>
      <x:c r="C40" s="47" t="str">
        <x:v>v0.4 Tier 2</x:v>
      </x:c>
      <x:c r="D40" s="47" t="str">
        <x:v>Dry cache/chest</x:v>
      </x:c>
      <x:c r="E40" s="47" t="str">
        <x:f>IF(COUNTIF('Master Catalogue'!$B$5:$B$226,A40)&gt;0,"Yes","No")</x:f>
        <x:v>No</x:v>
      </x:c>
      <x:c r="F40" s="49"/>
      <x:c r="G40" s="49"/>
      <x:c r="H40" s="49"/>
    </x:row>
    <x:row r="41">
      <x:c r="A41" s="47" t="str">
        <x:v>Keyed/mechanical lock</x:v>
      </x:c>
      <x:c r="B41" s="47" t="str">
        <x:v>Security</x:v>
      </x:c>
      <x:c r="C41" s="47" t="str">
        <x:v>v0.4 Tier 2</x:v>
      </x:c>
      <x:c r="D41" s="47" t="str">
        <x:v>No exact node</x:v>
      </x:c>
      <x:c r="E41" s="47" t="str">
        <x:f>IF(COUNTIF('Master Catalogue'!$B$5:$B$226,A41)&gt;0,"Yes","No")</x:f>
        <x:v>No</x:v>
      </x:c>
      <x:c r="F41" s="49"/>
      <x:c r="G41" s="49"/>
      <x:c r="H41" s="49"/>
    </x:row>
    <x:row r="42">
      <x:c r="A42" s="47" t="str">
        <x:v>Mechanical trap</x:v>
      </x:c>
      <x:c r="B42" s="47" t="str">
        <x:v>Hunting/security</x:v>
      </x:c>
      <x:c r="C42" s="47" t="str">
        <x:v>v0.4 Tier 2</x:v>
      </x:c>
      <x:c r="D42" s="47" t="str">
        <x:v>Selective checked snare/trap</x:v>
      </x:c>
      <x:c r="E42" s="47" t="str">
        <x:f>IF(COUNTIF('Master Catalogue'!$B$5:$B$226,A42)&gt;0,"Yes","No")</x:f>
        <x:v>No</x:v>
      </x:c>
      <x:c r="F42" s="49"/>
      <x:c r="G42" s="49"/>
      <x:c r="H42" s="49"/>
    </x:row>
    <x:row r="43">
      <x:c r="A43" s="47" t="str">
        <x:v>Wind charger</x:v>
      </x:c>
      <x:c r="B43" s="47" t="str">
        <x:v>Power</x:v>
      </x:c>
      <x:c r="C43" s="47" t="str">
        <x:v>v0.4 Tier 2</x:v>
      </x:c>
      <x:c r="D43" s="47" t="str">
        <x:v>Small generator adaptation</x:v>
      </x:c>
      <x:c r="E43" s="47" t="str">
        <x:f>IF(COUNTIF('Master Catalogue'!$B$5:$B$226,A43)&gt;0,"Yes","No")</x:f>
        <x:v>No</x:v>
      </x:c>
      <x:c r="F43" s="49"/>
      <x:c r="G43" s="49"/>
      <x:c r="H43" s="49"/>
    </x:row>
    <x:row r="44">
      <x:c r="A44" s="47" t="str">
        <x:v>Bicycle generator</x:v>
      </x:c>
      <x:c r="B44" s="47" t="str">
        <x:v>Power</x:v>
      </x:c>
      <x:c r="C44" s="47" t="str">
        <x:v>v0.4 Tier 2</x:v>
      </x:c>
      <x:c r="D44" s="47" t="str">
        <x:v>Small generator adaptation</x:v>
      </x:c>
      <x:c r="E44" s="47" t="str">
        <x:f>IF(COUNTIF('Master Catalogue'!$B$5:$B$226,A44)&gt;0,"Yes","No")</x:f>
        <x:v>No</x:v>
      </x:c>
      <x:c r="F44" s="49"/>
      <x:c r="G44" s="49"/>
      <x:c r="H44" s="49"/>
    </x:row>
    <x:row r="45">
      <x:c r="A45" s="47" t="str">
        <x:v>Perimeter alarm</x:v>
      </x:c>
      <x:c r="B45" s="47" t="str">
        <x:v>Security/electrical</x:v>
      </x:c>
      <x:c r="C45" s="47" t="str">
        <x:v>v0.4 Tier 2</x:v>
      </x:c>
      <x:c r="D45" s="47" t="str">
        <x:v>Camp microgrid</x:v>
      </x:c>
      <x:c r="E45" s="47" t="str">
        <x:f>IF(COUNTIF('Master Catalogue'!$B$5:$B$226,A45)&gt;0,"Yes","No")</x:f>
        <x:v>No</x:v>
      </x:c>
      <x:c r="F45" s="49"/>
      <x:c r="G45" s="49"/>
      <x:c r="H45" s="49"/>
    </x:row>
    <x:row r="46">
      <x:c r="A46" s="47" t="str">
        <x:v>Radio receiver</x:v>
      </x:c>
      <x:c r="B46" s="47" t="str">
        <x:v>Signal</x:v>
      </x:c>
      <x:c r="C46" s="47" t="str">
        <x:v>v0.4 Tier 2</x:v>
      </x:c>
      <x:c r="D46" s="47" t="str">
        <x:v>Radio listening post</x:v>
      </x:c>
      <x:c r="E46" s="47" t="str">
        <x:f>IF(COUNTIF('Master Catalogue'!$B$5:$B$226,A46)&gt;0,"Yes","No")</x:f>
        <x:v>No</x:v>
      </x:c>
      <x:c r="F46" s="49"/>
      <x:c r="G46" s="49"/>
      <x:c r="H46" s="49"/>
    </x:row>
    <x:row r="47">
      <x:c r="A47" s="47" t="str">
        <x:v>Arc/resistance welder</x:v>
      </x:c>
      <x:c r="B47" s="47" t="str">
        <x:v>Machine tool</x:v>
      </x:c>
      <x:c r="C47" s="47" t="str">
        <x:v>v0.4 Tier 3</x:v>
      </x:c>
      <x:c r="D47" s="47" t="str">
        <x:v>No exact node</x:v>
      </x:c>
      <x:c r="E47" s="47" t="str">
        <x:f>IF(COUNTIF('Master Catalogue'!$B$5:$B$226,A47)&gt;0,"Yes","No")</x:f>
        <x:v>No</x:v>
      </x:c>
      <x:c r="F47" s="49"/>
      <x:c r="G47" s="49"/>
      <x:c r="H47" s="49"/>
    </x:row>
    <x:row r="48">
      <x:c r="A48" s="47" t="str">
        <x:v>Casting setup</x:v>
      </x:c>
      <x:c r="B48" s="47" t="str">
        <x:v>Metal/workspace</x:v>
      </x:c>
      <x:c r="C48" s="47" t="str">
        <x:v>v0.4 Tier 3</x:v>
      </x:c>
      <x:c r="D48" s="47" t="str">
        <x:v>Forge/anvil station + metal processes</x:v>
      </x:c>
      <x:c r="E48" s="47" t="str">
        <x:f>IF(COUNTIF('Master Catalogue'!$B$5:$B$226,A48)&gt;0,"Yes","No")</x:f>
        <x:v>No</x:v>
      </x:c>
      <x:c r="F48" s="49"/>
      <x:c r="G48" s="49"/>
      <x:c r="H48" s="49"/>
    </x:row>
    <x:row r="49">
      <x:c r="A49" s="47" t="str">
        <x:v>Powered saw</x:v>
      </x:c>
      <x:c r="B49" s="47" t="str">
        <x:v>Machine tool</x:v>
      </x:c>
      <x:c r="C49" s="47" t="str">
        <x:v>v0.4 Tier 3</x:v>
      </x:c>
      <x:c r="D49" s="47" t="str">
        <x:v>Saw/hacksaw route</x:v>
      </x:c>
      <x:c r="E49" s="47" t="str">
        <x:f>IF(COUNTIF('Master Catalogue'!$B$5:$B$226,A49)&gt;0,"Yes","No")</x:f>
        <x:v>No</x:v>
      </x:c>
      <x:c r="F49" s="49"/>
      <x:c r="G49" s="49"/>
      <x:c r="H49" s="49"/>
    </x:row>
    <x:row r="50">
      <x:c r="A50" s="47" t="str">
        <x:v>Powered drill</x:v>
      </x:c>
      <x:c r="B50" s="47" t="str">
        <x:v>Machine tool</x:v>
      </x:c>
      <x:c r="C50" s="47" t="str">
        <x:v>v0.4 Tier 3</x:v>
      </x:c>
      <x:c r="D50" s="47" t="str">
        <x:v>Brace/drill and bits</x:v>
      </x:c>
      <x:c r="E50" s="47" t="str">
        <x:f>IF(COUNTIF('Master Catalogue'!$B$5:$B$226,A50)&gt;0,"Yes","No")</x:f>
        <x:v>No</x:v>
      </x:c>
      <x:c r="F50" s="49"/>
      <x:c r="G50" s="49"/>
      <x:c r="H50" s="49"/>
    </x:row>
    <x:row r="51">
      <x:c r="A51" s="47" t="str">
        <x:v>Powered grinder</x:v>
      </x:c>
      <x:c r="B51" s="47" t="str">
        <x:v>Machine tool</x:v>
      </x:c>
      <x:c r="C51" s="47" t="str">
        <x:v>v0.4 Tier 3</x:v>
      </x:c>
      <x:c r="D51" s="47" t="str">
        <x:v>File/abrasive tool</x:v>
      </x:c>
      <x:c r="E51" s="47" t="str">
        <x:f>IF(COUNTIF('Master Catalogue'!$B$5:$B$226,A51)&gt;0,"Yes","No")</x:f>
        <x:v>No</x:v>
      </x:c>
      <x:c r="F51" s="49"/>
      <x:c r="G51" s="49"/>
      <x:c r="H51" s="49"/>
    </x:row>
    <x:row r="52">
      <x:c r="A52" s="47" t="str">
        <x:v>High-quality filtration plant</x:v>
      </x:c>
      <x:c r="B52" s="47" t="str">
        <x:v>Water</x:v>
      </x:c>
      <x:c r="C52" s="47" t="str">
        <x:v>v0.4 Tier 3</x:v>
      </x:c>
      <x:c r="D52" s="47" t="str">
        <x:v>Qualified treatment train</x:v>
      </x:c>
      <x:c r="E52" s="47" t="str">
        <x:f>IF(COUNTIF('Master Catalogue'!$B$5:$B$226,A52)&gt;0,"Yes","No")</x:f>
        <x:v>No</x:v>
      </x:c>
      <x:c r="F52" s="49"/>
      <x:c r="G52" s="49"/>
      <x:c r="H52" s="49"/>
    </x:row>
    <x:row r="53">
      <x:c r="A53" s="47" t="str">
        <x:v>Refrigerated food store</x:v>
      </x:c>
      <x:c r="B53" s="47" t="str">
        <x:v>Food/power</x:v>
      </x:c>
      <x:c r="C53" s="47" t="str">
        <x:v>v0.4 Tier 3</x:v>
      </x:c>
      <x:c r="D53" s="47" t="str">
        <x:v>Food continuity store</x:v>
      </x:c>
      <x:c r="E53" s="47" t="str">
        <x:f>IF(COUNTIF('Master Catalogue'!$B$5:$B$226,A53)&gt;0,"Yes","No")</x:f>
        <x:v>No</x:v>
      </x:c>
      <x:c r="F53" s="49"/>
      <x:c r="G53" s="49"/>
      <x:c r="H53" s="49"/>
    </x:row>
    <x:row r="54">
      <x:c r="A54" s="47" t="str">
        <x:v>Radio transmitter</x:v>
      </x:c>
      <x:c r="B54" s="47" t="str">
        <x:v>Signal</x:v>
      </x:c>
      <x:c r="C54" s="47" t="str">
        <x:v>v0.4 Tier 3</x:v>
      </x:c>
      <x:c r="D54" s="47" t="str">
        <x:v>Authenticated transmitter</x:v>
      </x:c>
      <x:c r="E54" s="47" t="str">
        <x:f>IF(COUNTIF('Master Catalogue'!$B$5:$B$226,A54)&gt;0,"Yes","No")</x:f>
        <x:v>No</x:v>
      </x:c>
      <x:c r="F54" s="49"/>
      <x:c r="G54" s="49"/>
      <x:c r="H54" s="49"/>
    </x:row>
    <x:row r="55">
      <x:c r="A55" s="47" t="str">
        <x:v>Radio repeater</x:v>
      </x:c>
      <x:c r="B55" s="47" t="str">
        <x:v>Signal</x:v>
      </x:c>
      <x:c r="C55" s="47" t="str">
        <x:v>v0.4 Tier 3</x:v>
      </x:c>
      <x:c r="D55" s="47" t="str">
        <x:v>No exact node</x:v>
      </x:c>
      <x:c r="E55" s="47" t="str">
        <x:f>IF(COUNTIF('Master Catalogue'!$B$5:$B$226,A55)&gt;0,"Yes","No")</x:f>
        <x:v>No</x:v>
      </x:c>
      <x:c r="F55" s="49"/>
      <x:c r="G55" s="49"/>
      <x:c r="H55" s="49"/>
    </x:row>
    <x:row r="56">
      <x:c r="A56" s="47" t="str">
        <x:v>Weather station</x:v>
      </x:c>
      <x:c r="B56" s="47" t="str">
        <x:v>Weather/instrument</x:v>
      </x:c>
      <x:c r="C56" s="47" t="str">
        <x:v>v0.4 Tier 3</x:v>
      </x:c>
      <x:c r="D56" s="47" t="str">
        <x:v>No exact node</x:v>
      </x:c>
      <x:c r="E56" s="47" t="str">
        <x:f>IF(COUNTIF('Master Catalogue'!$B$5:$B$226,A56)&gt;0,"Yes","No")</x:f>
        <x:v>No</x:v>
      </x:c>
      <x:c r="F56" s="49"/>
      <x:c r="G56" s="49"/>
      <x:c r="H56" s="49"/>
    </x:row>
    <x:row r="57">
      <x:c r="A57" s="47" t="str">
        <x:v>Electric fence</x:v>
      </x:c>
      <x:c r="B57" s="47" t="str">
        <x:v>Security/power</x:v>
      </x:c>
      <x:c r="C57" s="47" t="str">
        <x:v>v0.4 Tier 3</x:v>
      </x:c>
      <x:c r="D57" s="47" t="str">
        <x:v>No exact node</x:v>
      </x:c>
      <x:c r="E57" s="47" t="str">
        <x:f>IF(COUNTIF('Master Catalogue'!$B$5:$B$226,A57)&gt;0,"Yes","No")</x:f>
        <x:v>No</x:v>
      </x:c>
      <x:c r="F57" s="49"/>
      <x:c r="G57" s="49"/>
      <x:c r="H57" s="49"/>
    </x:row>
    <x:row r="58">
      <x:c r="A58" s="47" t="str">
        <x:v>Powered gate</x:v>
      </x:c>
      <x:c r="B58" s="47" t="str">
        <x:v>Security/power</x:v>
      </x:c>
      <x:c r="C58" s="47" t="str">
        <x:v>v0.4 Tier 3</x:v>
      </x:c>
      <x:c r="D58" s="47" t="str">
        <x:v>No exact node</x:v>
      </x:c>
      <x:c r="E58" s="47" t="str">
        <x:f>IF(COUNTIF('Master Catalogue'!$B$5:$B$226,A58)&gt;0,"Yes","No")</x:f>
        <x:v>No</x:v>
      </x:c>
      <x:c r="F58" s="49"/>
      <x:c r="G58" s="49"/>
      <x:c r="H58" s="49"/>
    </x:row>
    <x:row r="59">
      <x:c r="A59" s="47" t="str">
        <x:v>Dive compressor</x:v>
      </x:c>
      <x:c r="B59" s="47" t="str">
        <x:v>Diving/machine</x:v>
      </x:c>
      <x:c r="C59" s="47" t="str">
        <x:v>v0.4 Tier 3</x:v>
      </x:c>
      <x:c r="D59" s="47" t="str">
        <x:v>No exact node</x:v>
      </x:c>
      <x:c r="E59" s="47" t="str">
        <x:f>IF(COUNTIF('Master Catalogue'!$B$5:$B$226,A59)&gt;0,"Yes","No")</x:f>
        <x:v>No</x:v>
      </x:c>
      <x:c r="F59" s="49"/>
      <x:c r="G59" s="49"/>
      <x:c r="H59" s="49"/>
    </x:row>
    <x:row r="60">
      <x:c r="A60" s="47" t="str">
        <x:v>Underwater salvage tool set</x:v>
      </x:c>
      <x:c r="B60" s="47" t="str">
        <x:v>Diving/salvage</x:v>
      </x:c>
      <x:c r="C60" s="47" t="str">
        <x:v>v0.4 Tier 3</x:v>
      </x:c>
      <x:c r="D60" s="47" t="str">
        <x:v>Shore-dive station / lift system</x:v>
      </x:c>
      <x:c r="E60" s="47" t="str">
        <x:f>IF(COUNTIF('Master Catalogue'!$B$5:$B$226,A60)&gt;0,"Yes","No")</x:f>
        <x:v>No</x:v>
      </x:c>
      <x:c r="F60" s="49"/>
      <x:c r="G60" s="49"/>
      <x:c r="H60" s="49"/>
    </x:row>
    <x:row r="61">
      <x:c r="A61" s="47" t="str">
        <x:v>Motorized winch</x:v>
      </x:c>
      <x:c r="B61" s="47" t="str">
        <x:v>Logistics/power</x:v>
      </x:c>
      <x:c r="C61" s="47" t="str">
        <x:v>v0.4 Tier 3</x:v>
      </x:c>
      <x:c r="D61" s="47" t="str">
        <x:v>Braked winch/capstan</x:v>
      </x:c>
      <x:c r="E61" s="47" t="str">
        <x:f>IF(COUNTIF('Master Catalogue'!$B$5:$B$226,A61)&gt;0,"Yes","No")</x:f>
        <x:v>No</x:v>
      </x:c>
      <x:c r="F61" s="49"/>
      <x:c r="G61" s="49"/>
      <x:c r="H61" s="49"/>
    </x:row>
    <x:row r="62">
      <x:c r="A62" s="47" t="str">
        <x:v>Outboard motor</x:v>
      </x:c>
      <x:c r="B62" s="47" t="str">
        <x:v>Maritime</x:v>
      </x:c>
      <x:c r="C62" s="47" t="str">
        <x:v>v0.4 Tier 3</x:v>
      </x:c>
      <x:c r="D62" s="47" t="str">
        <x:v>Repairable engine/motor</x:v>
      </x:c>
      <x:c r="E62" s="47" t="str">
        <x:f>IF(COUNTIF('Master Catalogue'!$B$5:$B$226,A62)&gt;0,"Yes","No")</x:f>
        <x:v>No</x:v>
      </x:c>
      <x:c r="F62" s="49"/>
      <x:c r="G62" s="49"/>
      <x:c r="H62" s="49"/>
    </x:row>
    <x:row r="63">
      <x:c r="A63" s="47" t="str">
        <x:v>Beacon triangulation network</x:v>
      </x:c>
      <x:c r="B63" s="47" t="str">
        <x:v>Signal</x:v>
      </x:c>
      <x:c r="C63" s="47" t="str">
        <x:v>v0.4 Tier 3</x:v>
      </x:c>
      <x:c r="D63" s="47" t="str">
        <x:v>Directional antenna + transmitter</x:v>
      </x:c>
      <x:c r="E63" s="47" t="str">
        <x:f>IF(COUNTIF('Master Catalogue'!$B$5:$B$226,A63)&gt;0,"Yes","No")</x:f>
        <x:v>No</x:v>
      </x:c>
      <x:c r="F63" s="49"/>
      <x:c r="G63" s="49"/>
      <x:c r="H63" s="49"/>
    </x:row>
    <x:row r="64">
      <x:c r="A64" s="47" t="str">
        <x:v>Electromagnetic storm predictor</x:v>
      </x:c>
      <x:c r="B64" s="47" t="str">
        <x:v>Triangle technology</x:v>
      </x:c>
      <x:c r="C64" s="47" t="str">
        <x:v>v0.4 Tier 4</x:v>
      </x:c>
      <x:c r="D64" s="47" t="str">
        <x:v>Triangle investigation apparatus</x:v>
      </x:c>
      <x:c r="E64" s="47" t="str">
        <x:f>IF(COUNTIF('Master Catalogue'!$B$5:$B$226,A64)&gt;0,"Yes","No")</x:f>
        <x:v>No</x:v>
      </x:c>
      <x:c r="F64" s="49"/>
      <x:c r="G64" s="49"/>
      <x:c r="H64" s="49"/>
    </x:row>
    <x:row r="65">
      <x:c r="A65" s="47" t="str">
        <x:v>Short-range phase locker</x:v>
      </x:c>
      <x:c r="B65" s="47" t="str">
        <x:v>Triangle technology</x:v>
      </x:c>
      <x:c r="C65" s="47" t="str">
        <x:v>v0.4 Tier 4</x:v>
      </x:c>
      <x:c r="D65" s="47" t="str">
        <x:v>Triangle investigation apparatus</x:v>
      </x:c>
      <x:c r="E65" s="47" t="str">
        <x:f>IF(COUNTIF('Master Catalogue'!$B$5:$B$226,A65)&gt;0,"Yes","No")</x:f>
        <x:v>No</x:v>
      </x:c>
      <x:c r="F65" s="49"/>
      <x:c r="G65" s="49"/>
      <x:c r="H65" s="49"/>
    </x:row>
    <x:row r="66">
      <x:c r="A66" s="47" t="str">
        <x:v>Anomaly compass</x:v>
      </x:c>
      <x:c r="B66" s="47" t="str">
        <x:v>Triangle technology</x:v>
      </x:c>
      <x:c r="C66" s="47" t="str">
        <x:v>v0.4 Tier 4</x:v>
      </x:c>
      <x:c r="D66" s="47" t="str">
        <x:v>Triangle investigation apparatus</x:v>
      </x:c>
      <x:c r="E66" s="47" t="str">
        <x:f>IF(COUNTIF('Master Catalogue'!$B$5:$B$226,A66)&gt;0,"Yes","No")</x:f>
        <x:v>No</x:v>
      </x:c>
      <x:c r="F66" s="49"/>
      <x:c r="G66" s="49"/>
      <x:c r="H66" s="49"/>
    </x:row>
    <x:row r="67">
      <x:c r="A67" s="47" t="str">
        <x:v>Temporal beacon</x:v>
      </x:c>
      <x:c r="B67" s="47" t="str">
        <x:v>Triangle technology</x:v>
      </x:c>
      <x:c r="C67" s="47" t="str">
        <x:v>v0.4 Tier 4</x:v>
      </x:c>
      <x:c r="D67" s="47" t="str">
        <x:v>Triangle investigation apparatus</x:v>
      </x:c>
      <x:c r="E67" s="47" t="str">
        <x:f>IF(COUNTIF('Master Catalogue'!$B$5:$B$226,A67)&gt;0,"Yes","No")</x:f>
        <x:v>No</x:v>
      </x:c>
      <x:c r="F67" s="49"/>
      <x:c r="G67" s="49"/>
      <x:c r="H67" s="49"/>
    </x:row>
    <x:row r="68">
      <x:c r="A68" s="47" t="str">
        <x:v>Storm shield</x:v>
      </x:c>
      <x:c r="B68" s="47" t="str">
        <x:v>Triangle technology</x:v>
      </x:c>
      <x:c r="C68" s="47" t="str">
        <x:v>v0.4 Tier 4</x:v>
      </x:c>
      <x:c r="D68" s="47" t="str">
        <x:v>Triangle investigation apparatus</x:v>
      </x:c>
      <x:c r="E68" s="47" t="str">
        <x:f>IF(COUNTIF('Master Catalogue'!$B$5:$B$226,A68)&gt;0,"Yes","No")</x:f>
        <x:v>No</x:v>
      </x:c>
      <x:c r="F68" s="49"/>
      <x:c r="G68" s="49"/>
      <x:c r="H68" s="49"/>
    </x:row>
    <x:row r="69">
      <x:c r="A69" s="47" t="str">
        <x:v>Escape-craft navigation stabilizer</x:v>
      </x:c>
      <x:c r="B69" s="47" t="str">
        <x:v>Triangle technology</x:v>
      </x:c>
      <x:c r="C69" s="47" t="str">
        <x:v>v0.4 Tier 4</x:v>
      </x:c>
      <x:c r="D69" s="47" t="str">
        <x:v>Direct-return vessel / Triangle apparatus</x:v>
      </x:c>
      <x:c r="E69" s="47" t="str">
        <x:f>IF(COUNTIF('Master Catalogue'!$B$5:$B$226,A69)&gt;0,"Yes","No")</x:f>
        <x:v>No</x:v>
      </x:c>
      <x:c r="F69" s="49"/>
      <x:c r="G69" s="49"/>
      <x:c r="H69" s="49"/>
    </x:row>
    <x:row r="70">
      <x:c r="A70" s="47" t="str">
        <x:v>Field notebook</x:v>
      </x:c>
      <x:c r="B70" s="47" t="str">
        <x:v>Knowledge tool</x:v>
      </x:c>
      <x:c r="C70" s="47" t="str">
        <x:v>v0.12 §8.1</x:v>
      </x:c>
      <x:c r="D70" s="47" t="str">
        <x:v>Continuity archive / forage map</x:v>
      </x:c>
      <x:c r="E70" s="47" t="str">
        <x:f>IF(COUNTIF('Master Catalogue'!$B$5:$B$226,A70)&gt;0,"Yes","No")</x:f>
        <x:v>No</x:v>
      </x:c>
      <x:c r="F70" s="49"/>
      <x:c r="G70" s="49"/>
      <x:c r="H70" s="49"/>
    </x:row>
    <x:row r="71">
      <x:c r="A71" s="47" t="str">
        <x:v>Charcoal pencil</x:v>
      </x:c>
      <x:c r="B71" s="47" t="str">
        <x:v>Knowledge tool</x:v>
      </x:c>
      <x:c r="C71" s="47" t="str">
        <x:v>v0.12 §8.1</x:v>
      </x:c>
      <x:c r="D71" s="47" t="str">
        <x:v>Charcoal + archive</x:v>
      </x:c>
      <x:c r="E71" s="47" t="str">
        <x:f>IF(COUNTIF('Master Catalogue'!$B$5:$B$226,A71)&gt;0,"Yes","No")</x:f>
        <x:v>No</x:v>
      </x:c>
      <x:c r="F71" s="49"/>
      <x:c r="G71" s="49"/>
      <x:c r="H71" s="49"/>
    </x:row>
    <x:row r="72">
      <x:c r="A72" s="47" t="str">
        <x:v>Specimen labels</x:v>
      </x:c>
      <x:c r="B72" s="47" t="str">
        <x:v>Knowledge tool</x:v>
      </x:c>
      <x:c r="C72" s="47" t="str">
        <x:v>v0.12 §8.1</x:v>
      </x:c>
      <x:c r="D72" s="47" t="str">
        <x:v>Archive</x:v>
      </x:c>
      <x:c r="E72" s="47" t="str">
        <x:f>IF(COUNTIF('Master Catalogue'!$B$5:$B$226,A72)&gt;0,"Yes","No")</x:f>
        <x:v>No</x:v>
      </x:c>
      <x:c r="F72" s="49"/>
      <x:c r="G72" s="49"/>
      <x:c r="H72" s="49"/>
    </x:row>
    <x:row r="73">
      <x:c r="A73" s="47" t="str">
        <x:v>Ruler / scale</x:v>
      </x:c>
      <x:c r="B73" s="47" t="str">
        <x:v>Measurement tool</x:v>
      </x:c>
      <x:c r="C73" s="47" t="str">
        <x:v>v0.12 §8.1</x:v>
      </x:c>
      <x:c r="D73" s="47" t="str">
        <x:v>Marked cord/gauge/level</x:v>
      </x:c>
      <x:c r="E73" s="47" t="str">
        <x:f>IF(COUNTIF('Master Catalogue'!$B$5:$B$226,A73)&gt;0,"Yes","No")</x:f>
        <x:v>No</x:v>
      </x:c>
      <x:c r="F73" s="49"/>
      <x:c r="G73" s="49"/>
      <x:c r="H73" s="49"/>
    </x:row>
    <x:row r="74">
      <x:c r="A74" s="47" t="str">
        <x:v>Trail markers</x:v>
      </x:c>
      <x:c r="B74" s="47" t="str">
        <x:v>Field tool</x:v>
      </x:c>
      <x:c r="C74" s="47" t="str">
        <x:v>v0.12 §8.1</x:v>
      </x:c>
      <x:c r="D74" s="47" t="str">
        <x:v>No exact node</x:v>
      </x:c>
      <x:c r="E74" s="47" t="str">
        <x:f>IF(COUNTIF('Master Catalogue'!$B$5:$B$226,A74)&gt;0,"Yes","No")</x:f>
        <x:v>No</x:v>
      </x:c>
      <x:c r="F74" s="49"/>
      <x:c r="G74" s="49"/>
      <x:c r="H74" s="49"/>
    </x:row>
    <x:row r="75">
      <x:c r="A75" s="47" t="str">
        <x:v>Binoculars / monocular</x:v>
      </x:c>
      <x:c r="B75" s="47" t="str">
        <x:v>Observation tool</x:v>
      </x:c>
      <x:c r="C75" s="47" t="str">
        <x:v>v0.12 §8.1</x:v>
      </x:c>
      <x:c r="D75" s="47" t="str">
        <x:v>Glass/optics</x:v>
      </x:c>
      <x:c r="E75" s="47" t="str">
        <x:f>IF(COUNTIF('Master Catalogue'!$B$5:$B$226,A75)&gt;0,"Yes","No")</x:f>
        <x:v>No</x:v>
      </x:c>
      <x:c r="F75" s="49"/>
      <x:c r="G75" s="49"/>
      <x:c r="H75" s="49"/>
    </x:row>
    <x:row r="76">
      <x:c r="A76" s="47" t="str">
        <x:v>Wind indicator</x:v>
      </x:c>
      <x:c r="B76" s="47" t="str">
        <x:v>Weather tool</x:v>
      </x:c>
      <x:c r="C76" s="47" t="str">
        <x:v>v0.12 §8.1</x:v>
      </x:c>
      <x:c r="D76" s="47" t="str">
        <x:v>No exact node</x:v>
      </x:c>
      <x:c r="E76" s="47" t="str">
        <x:f>IF(COUNTIF('Master Catalogue'!$B$5:$B$226,A76)&gt;0,"Yes","No")</x:f>
        <x:v>No</x:v>
      </x:c>
      <x:c r="F76" s="49"/>
      <x:c r="G76" s="49"/>
      <x:c r="H76" s="49"/>
    </x:row>
    <x:row r="77">
      <x:c r="A77" s="47" t="str">
        <x:v>Protective gloves</x:v>
      </x:c>
      <x:c r="B77" s="47" t="str">
        <x:v>Clothing/PPE</x:v>
      </x:c>
      <x:c r="C77" s="47" t="str">
        <x:v>v0.12 §8.1</x:v>
      </x:c>
      <x:c r="D77" s="47" t="str">
        <x:v>No exact node</x:v>
      </x:c>
      <x:c r="E77" s="47" t="str">
        <x:f>IF(COUNTIF('Master Catalogue'!$B$5:$B$226,A77)&gt;0,"Yes","No")</x:f>
        <x:v>No</x:v>
      </x:c>
      <x:c r="F77" s="49"/>
      <x:c r="G77" s="49"/>
      <x:c r="H77" s="49"/>
    </x:row>
    <x:row r="78">
      <x:c r="A78" s="47" t="str">
        <x:v>Eye protection</x:v>
      </x:c>
      <x:c r="B78" s="47" t="str">
        <x:v>PPE</x:v>
      </x:c>
      <x:c r="C78" s="47" t="str">
        <x:v>v0.12 §8.1</x:v>
      </x:c>
      <x:c r="D78" s="47" t="str">
        <x:v>Glass/optics</x:v>
      </x:c>
      <x:c r="E78" s="47" t="str">
        <x:f>IF(COUNTIF('Master Catalogue'!$B$5:$B$226,A78)&gt;0,"Yes","No")</x:f>
        <x:v>No</x:v>
      </x:c>
      <x:c r="F78" s="49"/>
      <x:c r="G78" s="49"/>
      <x:c r="H78" s="49"/>
    </x:row>
    <x:row r="79">
      <x:c r="A79" s="47" t="str">
        <x:v>Whistle</x:v>
      </x:c>
      <x:c r="B79" s="47" t="str">
        <x:v>Signal/safety</x:v>
      </x:c>
      <x:c r="C79" s="47" t="str">
        <x:v>v0.12 §8.1</x:v>
      </x:c>
      <x:c r="D79" s="47" t="str">
        <x:v>No exact node</x:v>
      </x:c>
      <x:c r="E79" s="47" t="str">
        <x:f>IF(COUNTIF('Master Catalogue'!$B$5:$B$226,A79)&gt;0,"Yes","No")</x:f>
        <x:v>No</x:v>
      </x:c>
      <x:c r="F79" s="49"/>
      <x:c r="G79" s="49"/>
      <x:c r="H79" s="49"/>
    </x:row>
    <x:row r="80">
      <x:c r="A80" s="47" t="str">
        <x:v>Game sling</x:v>
      </x:c>
      <x:c r="B80" s="47" t="str">
        <x:v>Logistics</x:v>
      </x:c>
      <x:c r="C80" s="47" t="str">
        <x:v>v0.12 §8.1</x:v>
      </x:c>
      <x:c r="D80" s="47" t="str">
        <x:v>Pack frame/harness</x:v>
      </x:c>
      <x:c r="E80" s="47" t="str">
        <x:f>IF(COUNTIF('Master Catalogue'!$B$5:$B$226,A80)&gt;0,"Yes","No")</x:f>
        <x:v>No</x:v>
      </x:c>
      <x:c r="F80" s="49"/>
      <x:c r="G80" s="49"/>
      <x:c r="H80" s="49"/>
    </x:row>
    <x:row r="81">
      <x:c r="A81" s="47" t="str">
        <x:v>Cold container / cool box</x:v>
      </x:c>
      <x:c r="B81" s="47" t="str">
        <x:v>Food/storage</x:v>
      </x:c>
      <x:c r="C81" s="47" t="str">
        <x:v>v0.12 §8.1 / §8.6</x:v>
      </x:c>
      <x:c r="D81" s="47" t="str">
        <x:v>Food continuity store</x:v>
      </x:c>
      <x:c r="E81" s="47" t="str">
        <x:f>IF(COUNTIF('Master Catalogue'!$B$5:$B$226,A81)&gt;0,"Yes","No")</x:f>
        <x:v>No</x:v>
      </x:c>
      <x:c r="F81" s="49"/>
      <x:c r="G81" s="49"/>
      <x:c r="H81" s="49"/>
    </x:row>
    <x:row r="82">
      <x:c r="A82" s="47" t="str">
        <x:v>Hide/blind</x:v>
      </x:c>
      <x:c r="B82" s="47" t="str">
        <x:v>Hunting/shelter</x:v>
      </x:c>
      <x:c r="C82" s="47" t="str">
        <x:v>v0.12 §8.1</x:v>
      </x:c>
      <x:c r="D82" s="47" t="str">
        <x:v>No exact node</x:v>
      </x:c>
      <x:c r="E82" s="47" t="str">
        <x:f>IF(COUNTIF('Master Catalogue'!$B$5:$B$226,A82)&gt;0,"Yes","No")</x:f>
        <x:v>No</x:v>
      </x:c>
      <x:c r="F82" s="49"/>
      <x:c r="G82" s="49"/>
      <x:c r="H82" s="49"/>
    </x:row>
    <x:row r="83">
      <x:c r="A83" s="47" t="str">
        <x:v>Field dressing sheet</x:v>
      </x:c>
      <x:c r="B83" s="47" t="str">
        <x:v>Food/medicine</x:v>
      </x:c>
      <x:c r="C83" s="47" t="str">
        <x:v>v0.12 §8.6</x:v>
      </x:c>
      <x:c r="D83" s="47" t="str">
        <x:v>Clean food-processing cell</x:v>
      </x:c>
      <x:c r="E83" s="47" t="str">
        <x:f>IF(COUNTIF('Master Catalogue'!$B$5:$B$226,A83)&gt;0,"Yes","No")</x:f>
        <x:v>No</x:v>
      </x:c>
      <x:c r="F83" s="49"/>
      <x:c r="G83" s="49"/>
      <x:c r="H83" s="49"/>
    </x:row>
    <x:row r="84">
      <x:c r="A84" s="47" t="str">
        <x:v>Carcass saw / joint tool</x:v>
      </x:c>
      <x:c r="B84" s="47" t="str">
        <x:v>Food/tool</x:v>
      </x:c>
      <x:c r="C84" s="47" t="str">
        <x:v>v0.12 §8.6</x:v>
      </x:c>
      <x:c r="D84" s="47" t="str">
        <x:v>Saw/hacksaw route</x:v>
      </x:c>
      <x:c r="E84" s="47" t="str">
        <x:f>IF(COUNTIF('Master Catalogue'!$B$5:$B$226,A84)&gt;0,"Yes","No")</x:f>
        <x:v>No</x:v>
      </x:c>
      <x:c r="F84" s="49"/>
      <x:c r="G84" s="49"/>
      <x:c r="H84" s="49"/>
    </x:row>
    <x:row r="85">
      <x:c r="A85" s="47" t="str">
        <x:v>Gambrel / carcass spreader</x:v>
      </x:c>
      <x:c r="B85" s="47" t="str">
        <x:v>Food/logistics</x:v>
      </x:c>
      <x:c r="C85" s="47" t="str">
        <x:v>v0.12 §8.6</x:v>
      </x:c>
      <x:c r="D85" s="47" t="str">
        <x:v>Tripod/A-frame lift</x:v>
      </x:c>
      <x:c r="E85" s="47" t="str">
        <x:f>IF(COUNTIF('Master Catalogue'!$B$5:$B$226,A85)&gt;0,"Yes","No")</x:f>
        <x:v>No</x:v>
      </x:c>
      <x:c r="F85" s="49"/>
      <x:c r="G85" s="49"/>
      <x:c r="H85" s="49"/>
    </x:row>
    <x:row r="86">
      <x:c r="A86" s="47" t="str">
        <x:v>Thermometer</x:v>
      </x:c>
      <x:c r="B86" s="47" t="str">
        <x:v>Instrument</x:v>
      </x:c>
      <x:c r="C86" s="47" t="str">
        <x:v>v0.12 §8.6</x:v>
      </x:c>
      <x:c r="D86" s="47" t="str">
        <x:v>No exact node</x:v>
      </x:c>
      <x:c r="E86" s="47" t="str">
        <x:f>IF(COUNTIF('Master Catalogue'!$B$5:$B$226,A86)&gt;0,"Yes","No")</x:f>
        <x:v>No</x:v>
      </x:c>
      <x:c r="F86" s="49"/>
      <x:c r="G86" s="49"/>
      <x:c r="H86" s="49"/>
    </x:row>
  </x:sheetData>
  <x:mergeCells>
    <x:mergeCell ref="A1:H1"/>
    <x:mergeCell ref="A2:H2"/>
  </x:mergeCells>
  <x:conditionalFormatting sqref="E5:E86">
    <x:cfRule type="containsText" dxfId="2" priority="1" operator="containsText" text="No"/>
  </x:conditionalFormatting>
  <x:dataValidations count="2">
    <x:dataValidation type="list" sqref="F5:F86">
      <x:formula1>"Add,Merge,Reject,Needs review"</x:formula1>
    </x:dataValidation>
    <x:dataValidation type="list" sqref="H5:H86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874d76e2c44f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3" hidden="0" customWidth="1"/>
    <x:col min="14" max="14" width="13" hidden="0" customWidth="1"/>
    <x:col min="15" max="15" width="38" hidden="0" customWidth="1"/>
    <x:col min="16" max="16" width="38" hidden="0" customWidth="1"/>
    <x:col min="17" max="17" width="18" hidden="0" customWidth="1"/>
  </x:cols>
  <x:sheetData>
    <x:row r="1" ht="28" customHeight="1">
      <x:c r="A1" s="3" t="str">
        <x:v>Director Additions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2" customHeight="1">
      <x:c r="A2" s="7" t="str">
        <x:v>Add any missing object here. Found, repaired, and made variants should be split when their materials, condition, tools, knowledge, time, risks, or performance differ meaningfully.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16" t="str">
        <x:v>Draft ID</x:v>
      </x:c>
      <x:c r="B4" s="17" t="str">
        <x:v>Item / object name</x:v>
      </x:c>
      <x:c r="C4" s="17" t="str">
        <x:v>Category</x:v>
      </x:c>
      <x:c r="D4" s="17" t="str">
        <x:v>Found ready?</x:v>
      </x:c>
      <x:c r="E4" s="17" t="str">
        <x:v>Repairable?</x:v>
      </x:c>
      <x:c r="F4" s="17" t="str">
        <x:v>Craftable?</x:v>
      </x:c>
      <x:c r="G4" s="17" t="str">
        <x:v>Earliest horizon</x:v>
      </x:c>
      <x:c r="H4" s="17" t="str">
        <x:v>Inputs / donor parts</x:v>
      </x:c>
      <x:c r="I4" s="17" t="str">
        <x:v>Required tools</x:v>
      </x:c>
      <x:c r="J4" s="17" t="str">
        <x:v>Workspace</x:v>
      </x:c>
      <x:c r="K4" s="17" t="str">
        <x:v>Knowledge</x:v>
      </x:c>
      <x:c r="L4" s="17" t="str">
        <x:v>Practical skill</x:v>
      </x:c>
      <x:c r="M4" s="17" t="str">
        <x:v>Active min</x:v>
      </x:c>
      <x:c r="N4" s="17" t="str">
        <x:v>Passive min</x:v>
      </x:c>
      <x:c r="O4" s="17" t="str">
        <x:v>Qualification / proof</x:v>
      </x:c>
      <x:c r="P4" s="17" t="str">
        <x:v>Director notes</x:v>
      </x:c>
      <x:c r="Q4" s="18" t="str">
        <x:v>Status</x:v>
      </x:c>
    </x:row>
    <x:row r="5">
      <x:c r="A5" s="46" t="str">
        <x:v>NEW-001</x:v>
      </x:c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52"/>
      <x:c r="N5" s="52"/>
      <x:c r="O5" s="48"/>
      <x:c r="P5" s="48"/>
      <x:c r="Q5" s="48" t="str">
        <x:v>Proposed</x:v>
      </x:c>
    </x:row>
    <x:row r="6">
      <x:c r="A6" s="47" t="str">
        <x:v>NEW-002</x:v>
      </x:c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53"/>
      <x:c r="N6" s="53"/>
      <x:c r="O6" s="49"/>
      <x:c r="P6" s="49"/>
      <x:c r="Q6" s="49" t="str">
        <x:v>Proposed</x:v>
      </x:c>
    </x:row>
    <x:row r="7">
      <x:c r="A7" s="47" t="str">
        <x:v>NEW-003</x:v>
      </x:c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53"/>
      <x:c r="N7" s="53"/>
      <x:c r="O7" s="49"/>
      <x:c r="P7" s="49"/>
      <x:c r="Q7" s="49" t="str">
        <x:v>Proposed</x:v>
      </x:c>
    </x:row>
    <x:row r="8">
      <x:c r="A8" s="47" t="str">
        <x:v>NEW-004</x:v>
      </x:c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53"/>
      <x:c r="N8" s="53"/>
      <x:c r="O8" s="49"/>
      <x:c r="P8" s="49"/>
      <x:c r="Q8" s="49" t="str">
        <x:v>Proposed</x:v>
      </x:c>
    </x:row>
    <x:row r="9">
      <x:c r="A9" s="47" t="str">
        <x:v>NEW-005</x:v>
      </x:c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53"/>
      <x:c r="N9" s="53"/>
      <x:c r="O9" s="49"/>
      <x:c r="P9" s="49"/>
      <x:c r="Q9" s="49" t="str">
        <x:v>Proposed</x:v>
      </x:c>
    </x:row>
    <x:row r="10">
      <x:c r="A10" s="47" t="str">
        <x:v>NEW-006</x:v>
      </x:c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53"/>
      <x:c r="N10" s="53"/>
      <x:c r="O10" s="49"/>
      <x:c r="P10" s="49"/>
      <x:c r="Q10" s="49" t="str">
        <x:v>Proposed</x:v>
      </x:c>
    </x:row>
    <x:row r="11">
      <x:c r="A11" s="47" t="str">
        <x:v>NEW-007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53"/>
      <x:c r="N11" s="53"/>
      <x:c r="O11" s="49"/>
      <x:c r="P11" s="49"/>
      <x:c r="Q11" s="49" t="str">
        <x:v>Proposed</x:v>
      </x:c>
    </x:row>
    <x:row r="12">
      <x:c r="A12" s="47" t="str">
        <x:v>NEW-008</x:v>
      </x:c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53"/>
      <x:c r="N12" s="53"/>
      <x:c r="O12" s="49"/>
      <x:c r="P12" s="49"/>
      <x:c r="Q12" s="49" t="str">
        <x:v>Proposed</x:v>
      </x:c>
    </x:row>
    <x:row r="13">
      <x:c r="A13" s="47" t="str">
        <x:v>NEW-009</x:v>
      </x:c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53"/>
      <x:c r="N13" s="53"/>
      <x:c r="O13" s="49"/>
      <x:c r="P13" s="49"/>
      <x:c r="Q13" s="49" t="str">
        <x:v>Proposed</x:v>
      </x:c>
    </x:row>
    <x:row r="14">
      <x:c r="A14" s="47" t="str">
        <x:v>NEW-010</x:v>
      </x:c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53"/>
      <x:c r="N14" s="53"/>
      <x:c r="O14" s="49"/>
      <x:c r="P14" s="49"/>
      <x:c r="Q14" s="49" t="str">
        <x:v>Proposed</x:v>
      </x:c>
    </x:row>
    <x:row r="15">
      <x:c r="A15" s="47" t="str">
        <x:v>NEW-011</x:v>
      </x:c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53"/>
      <x:c r="N15" s="53"/>
      <x:c r="O15" s="49"/>
      <x:c r="P15" s="49"/>
      <x:c r="Q15" s="49" t="str">
        <x:v>Proposed</x:v>
      </x:c>
    </x:row>
    <x:row r="16">
      <x:c r="A16" s="47" t="str">
        <x:v>NEW-012</x:v>
      </x:c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53"/>
      <x:c r="N16" s="53"/>
      <x:c r="O16" s="49"/>
      <x:c r="P16" s="49"/>
      <x:c r="Q16" s="49" t="str">
        <x:v>Proposed</x:v>
      </x:c>
    </x:row>
    <x:row r="17">
      <x:c r="A17" s="47" t="str">
        <x:v>NEW-013</x:v>
      </x:c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53"/>
      <x:c r="N17" s="53"/>
      <x:c r="O17" s="49"/>
      <x:c r="P17" s="49"/>
      <x:c r="Q17" s="49" t="str">
        <x:v>Proposed</x:v>
      </x:c>
    </x:row>
    <x:row r="18">
      <x:c r="A18" s="47" t="str">
        <x:v>NEW-014</x:v>
      </x:c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53"/>
      <x:c r="N18" s="53"/>
      <x:c r="O18" s="49"/>
      <x:c r="P18" s="49"/>
      <x:c r="Q18" s="49" t="str">
        <x:v>Proposed</x:v>
      </x:c>
    </x:row>
    <x:row r="19">
      <x:c r="A19" s="47" t="str">
        <x:v>NEW-015</x:v>
      </x:c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53"/>
      <x:c r="N19" s="53"/>
      <x:c r="O19" s="49"/>
      <x:c r="P19" s="49"/>
      <x:c r="Q19" s="49" t="str">
        <x:v>Proposed</x:v>
      </x:c>
    </x:row>
    <x:row r="20">
      <x:c r="A20" s="47" t="str">
        <x:v>NEW-016</x:v>
      </x:c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53"/>
      <x:c r="N20" s="53"/>
      <x:c r="O20" s="49"/>
      <x:c r="P20" s="49"/>
      <x:c r="Q20" s="49" t="str">
        <x:v>Proposed</x:v>
      </x:c>
    </x:row>
    <x:row r="21">
      <x:c r="A21" s="47" t="str">
        <x:v>NEW-017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53"/>
      <x:c r="N21" s="53"/>
      <x:c r="O21" s="49"/>
      <x:c r="P21" s="49"/>
      <x:c r="Q21" s="49" t="str">
        <x:v>Proposed</x:v>
      </x:c>
    </x:row>
    <x:row r="22">
      <x:c r="A22" s="47" t="str">
        <x:v>NEW-018</x:v>
      </x:c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53"/>
      <x:c r="N22" s="53"/>
      <x:c r="O22" s="49"/>
      <x:c r="P22" s="49"/>
      <x:c r="Q22" s="49" t="str">
        <x:v>Proposed</x:v>
      </x:c>
    </x:row>
    <x:row r="23">
      <x:c r="A23" s="47" t="str">
        <x:v>NEW-019</x:v>
      </x:c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53"/>
      <x:c r="N23" s="53"/>
      <x:c r="O23" s="49"/>
      <x:c r="P23" s="49"/>
      <x:c r="Q23" s="49" t="str">
        <x:v>Proposed</x:v>
      </x:c>
    </x:row>
    <x:row r="24">
      <x:c r="A24" s="47" t="str">
        <x:v>NEW-020</x:v>
      </x:c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53"/>
      <x:c r="N24" s="53"/>
      <x:c r="O24" s="49"/>
      <x:c r="P24" s="49"/>
      <x:c r="Q24" s="49" t="str">
        <x:v>Proposed</x:v>
      </x:c>
    </x:row>
    <x:row r="25">
      <x:c r="A25" s="47" t="str">
        <x:v>NEW-021</x:v>
      </x:c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53"/>
      <x:c r="N25" s="53"/>
      <x:c r="O25" s="49"/>
      <x:c r="P25" s="49"/>
      <x:c r="Q25" s="49" t="str">
        <x:v>Proposed</x:v>
      </x:c>
    </x:row>
    <x:row r="26">
      <x:c r="A26" s="47" t="str">
        <x:v>NEW-022</x:v>
      </x:c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53"/>
      <x:c r="N26" s="53"/>
      <x:c r="O26" s="49"/>
      <x:c r="P26" s="49"/>
      <x:c r="Q26" s="49" t="str">
        <x:v>Proposed</x:v>
      </x:c>
    </x:row>
    <x:row r="27">
      <x:c r="A27" s="47" t="str">
        <x:v>NEW-023</x:v>
      </x:c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53"/>
      <x:c r="N27" s="53"/>
      <x:c r="O27" s="49"/>
      <x:c r="P27" s="49"/>
      <x:c r="Q27" s="49" t="str">
        <x:v>Proposed</x:v>
      </x:c>
    </x:row>
    <x:row r="28">
      <x:c r="A28" s="47" t="str">
        <x:v>NEW-024</x:v>
      </x:c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53"/>
      <x:c r="N28" s="53"/>
      <x:c r="O28" s="49"/>
      <x:c r="P28" s="49"/>
      <x:c r="Q28" s="49" t="str">
        <x:v>Proposed</x:v>
      </x:c>
    </x:row>
    <x:row r="29">
      <x:c r="A29" s="47" t="str">
        <x:v>NEW-025</x:v>
      </x:c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53"/>
      <x:c r="N29" s="53"/>
      <x:c r="O29" s="49"/>
      <x:c r="P29" s="49"/>
      <x:c r="Q29" s="49" t="str">
        <x:v>Proposed</x:v>
      </x:c>
    </x:row>
    <x:row r="30">
      <x:c r="A30" s="47" t="str">
        <x:v>NEW-026</x:v>
      </x:c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53"/>
      <x:c r="N30" s="53"/>
      <x:c r="O30" s="49"/>
      <x:c r="P30" s="49"/>
      <x:c r="Q30" s="49" t="str">
        <x:v>Proposed</x:v>
      </x:c>
    </x:row>
    <x:row r="31">
      <x:c r="A31" s="47" t="str">
        <x:v>NEW-027</x:v>
      </x:c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53"/>
      <x:c r="N31" s="53"/>
      <x:c r="O31" s="49"/>
      <x:c r="P31" s="49"/>
      <x:c r="Q31" s="49" t="str">
        <x:v>Proposed</x:v>
      </x:c>
    </x:row>
    <x:row r="32">
      <x:c r="A32" s="47" t="str">
        <x:v>NEW-028</x:v>
      </x:c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53"/>
      <x:c r="N32" s="53"/>
      <x:c r="O32" s="49"/>
      <x:c r="P32" s="49"/>
      <x:c r="Q32" s="49" t="str">
        <x:v>Proposed</x:v>
      </x:c>
    </x:row>
    <x:row r="33">
      <x:c r="A33" s="47" t="str">
        <x:v>NEW-029</x:v>
      </x:c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53"/>
      <x:c r="N33" s="53"/>
      <x:c r="O33" s="49"/>
      <x:c r="P33" s="49"/>
      <x:c r="Q33" s="49" t="str">
        <x:v>Proposed</x:v>
      </x:c>
    </x:row>
    <x:row r="34">
      <x:c r="A34" s="47" t="str">
        <x:v>NEW-030</x:v>
      </x:c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53"/>
      <x:c r="N34" s="53"/>
      <x:c r="O34" s="49"/>
      <x:c r="P34" s="49"/>
      <x:c r="Q34" s="49" t="str">
        <x:v>Proposed</x:v>
      </x:c>
    </x:row>
    <x:row r="35">
      <x:c r="A35" s="47" t="str">
        <x:v>NEW-031</x:v>
      </x:c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53"/>
      <x:c r="N35" s="53"/>
      <x:c r="O35" s="49"/>
      <x:c r="P35" s="49"/>
      <x:c r="Q35" s="49" t="str">
        <x:v>Proposed</x:v>
      </x:c>
    </x:row>
    <x:row r="36">
      <x:c r="A36" s="47" t="str">
        <x:v>NEW-032</x:v>
      </x:c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53"/>
      <x:c r="N36" s="53"/>
      <x:c r="O36" s="49"/>
      <x:c r="P36" s="49"/>
      <x:c r="Q36" s="49" t="str">
        <x:v>Proposed</x:v>
      </x:c>
    </x:row>
    <x:row r="37">
      <x:c r="A37" s="47" t="str">
        <x:v>NEW-033</x:v>
      </x:c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53"/>
      <x:c r="N37" s="53"/>
      <x:c r="O37" s="49"/>
      <x:c r="P37" s="49"/>
      <x:c r="Q37" s="49" t="str">
        <x:v>Proposed</x:v>
      </x:c>
    </x:row>
    <x:row r="38">
      <x:c r="A38" s="47" t="str">
        <x:v>NEW-034</x:v>
      </x:c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53"/>
      <x:c r="N38" s="53"/>
      <x:c r="O38" s="49"/>
      <x:c r="P38" s="49"/>
      <x:c r="Q38" s="49" t="str">
        <x:v>Proposed</x:v>
      </x:c>
    </x:row>
    <x:row r="39">
      <x:c r="A39" s="47" t="str">
        <x:v>NEW-035</x:v>
      </x:c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53"/>
      <x:c r="N39" s="53"/>
      <x:c r="O39" s="49"/>
      <x:c r="P39" s="49"/>
      <x:c r="Q39" s="49" t="str">
        <x:v>Proposed</x:v>
      </x:c>
    </x:row>
    <x:row r="40">
      <x:c r="A40" s="47" t="str">
        <x:v>NEW-036</x:v>
      </x:c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53"/>
      <x:c r="N40" s="53"/>
      <x:c r="O40" s="49"/>
      <x:c r="P40" s="49"/>
      <x:c r="Q40" s="49" t="str">
        <x:v>Proposed</x:v>
      </x:c>
    </x:row>
    <x:row r="41">
      <x:c r="A41" s="47" t="str">
        <x:v>NEW-037</x:v>
      </x:c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53"/>
      <x:c r="N41" s="53"/>
      <x:c r="O41" s="49"/>
      <x:c r="P41" s="49"/>
      <x:c r="Q41" s="49" t="str">
        <x:v>Proposed</x:v>
      </x:c>
    </x:row>
    <x:row r="42">
      <x:c r="A42" s="47" t="str">
        <x:v>NEW-038</x:v>
      </x:c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53"/>
      <x:c r="N42" s="53"/>
      <x:c r="O42" s="49"/>
      <x:c r="P42" s="49"/>
      <x:c r="Q42" s="49" t="str">
        <x:v>Proposed</x:v>
      </x:c>
    </x:row>
    <x:row r="43">
      <x:c r="A43" s="47" t="str">
        <x:v>NEW-039</x:v>
      </x:c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53"/>
      <x:c r="N43" s="53"/>
      <x:c r="O43" s="49"/>
      <x:c r="P43" s="49"/>
      <x:c r="Q43" s="49" t="str">
        <x:v>Proposed</x:v>
      </x:c>
    </x:row>
    <x:row r="44">
      <x:c r="A44" s="47" t="str">
        <x:v>NEW-040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53"/>
      <x:c r="N44" s="53"/>
      <x:c r="O44" s="49"/>
      <x:c r="P44" s="49"/>
      <x:c r="Q44" s="49" t="str">
        <x:v>Proposed</x:v>
      </x:c>
    </x:row>
    <x:row r="45">
      <x:c r="A45" s="47" t="str">
        <x:v>NEW-041</x:v>
      </x:c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53"/>
      <x:c r="N45" s="53"/>
      <x:c r="O45" s="49"/>
      <x:c r="P45" s="49"/>
      <x:c r="Q45" s="49" t="str">
        <x:v>Proposed</x:v>
      </x:c>
    </x:row>
    <x:row r="46">
      <x:c r="A46" s="47" t="str">
        <x:v>NEW-042</x:v>
      </x:c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53"/>
      <x:c r="N46" s="53"/>
      <x:c r="O46" s="49"/>
      <x:c r="P46" s="49"/>
      <x:c r="Q46" s="49" t="str">
        <x:v>Proposed</x:v>
      </x:c>
    </x:row>
    <x:row r="47">
      <x:c r="A47" s="47" t="str">
        <x:v>NEW-043</x:v>
      </x:c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53"/>
      <x:c r="N47" s="53"/>
      <x:c r="O47" s="49"/>
      <x:c r="P47" s="49"/>
      <x:c r="Q47" s="49" t="str">
        <x:v>Proposed</x:v>
      </x:c>
    </x:row>
    <x:row r="48">
      <x:c r="A48" s="47" t="str">
        <x:v>NEW-044</x:v>
      </x:c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53"/>
      <x:c r="N48" s="53"/>
      <x:c r="O48" s="49"/>
      <x:c r="P48" s="49"/>
      <x:c r="Q48" s="49" t="str">
        <x:v>Proposed</x:v>
      </x:c>
    </x:row>
    <x:row r="49">
      <x:c r="A49" s="47" t="str">
        <x:v>NEW-045</x:v>
      </x:c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53"/>
      <x:c r="N49" s="53"/>
      <x:c r="O49" s="49"/>
      <x:c r="P49" s="49"/>
      <x:c r="Q49" s="49" t="str">
        <x:v>Proposed</x:v>
      </x:c>
    </x:row>
    <x:row r="50">
      <x:c r="A50" s="47" t="str">
        <x:v>NEW-046</x:v>
      </x:c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53"/>
      <x:c r="N50" s="53"/>
      <x:c r="O50" s="49"/>
      <x:c r="P50" s="49"/>
      <x:c r="Q50" s="49" t="str">
        <x:v>Proposed</x:v>
      </x:c>
    </x:row>
    <x:row r="51">
      <x:c r="A51" s="47" t="str">
        <x:v>NEW-047</x:v>
      </x:c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53"/>
      <x:c r="N51" s="53"/>
      <x:c r="O51" s="49"/>
      <x:c r="P51" s="49"/>
      <x:c r="Q51" s="49" t="str">
        <x:v>Proposed</x:v>
      </x:c>
    </x:row>
    <x:row r="52">
      <x:c r="A52" s="47" t="str">
        <x:v>NEW-048</x:v>
      </x:c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53"/>
      <x:c r="N52" s="53"/>
      <x:c r="O52" s="49"/>
      <x:c r="P52" s="49"/>
      <x:c r="Q52" s="49" t="str">
        <x:v>Proposed</x:v>
      </x:c>
    </x:row>
    <x:row r="53">
      <x:c r="A53" s="47" t="str">
        <x:v>NEW-049</x:v>
      </x:c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53"/>
      <x:c r="N53" s="53"/>
      <x:c r="O53" s="49"/>
      <x:c r="P53" s="49"/>
      <x:c r="Q53" s="49" t="str">
        <x:v>Proposed</x:v>
      </x:c>
    </x:row>
    <x:row r="54">
      <x:c r="A54" s="47" t="str">
        <x:v>NEW-050</x:v>
      </x:c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53"/>
      <x:c r="N54" s="53"/>
      <x:c r="O54" s="49"/>
      <x:c r="P54" s="49"/>
      <x:c r="Q54" s="49" t="str">
        <x:v>Proposed</x:v>
      </x:c>
    </x:row>
    <x:row r="55">
      <x:c r="A55" s="47" t="str">
        <x:v>NEW-051</x:v>
      </x:c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53"/>
      <x:c r="N55" s="53"/>
      <x:c r="O55" s="49"/>
      <x:c r="P55" s="49"/>
      <x:c r="Q55" s="49" t="str">
        <x:v>Proposed</x:v>
      </x:c>
    </x:row>
    <x:row r="56">
      <x:c r="A56" s="47" t="str">
        <x:v>NEW-052</x:v>
      </x:c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53"/>
      <x:c r="N56" s="53"/>
      <x:c r="O56" s="49"/>
      <x:c r="P56" s="49"/>
      <x:c r="Q56" s="49" t="str">
        <x:v>Proposed</x:v>
      </x:c>
    </x:row>
    <x:row r="57">
      <x:c r="A57" s="47" t="str">
        <x:v>NEW-053</x:v>
      </x:c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53"/>
      <x:c r="N57" s="53"/>
      <x:c r="O57" s="49"/>
      <x:c r="P57" s="49"/>
      <x:c r="Q57" s="49" t="str">
        <x:v>Proposed</x:v>
      </x:c>
    </x:row>
    <x:row r="58">
      <x:c r="A58" s="47" t="str">
        <x:v>NEW-054</x:v>
      </x:c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53"/>
      <x:c r="N58" s="53"/>
      <x:c r="O58" s="49"/>
      <x:c r="P58" s="49"/>
      <x:c r="Q58" s="49" t="str">
        <x:v>Proposed</x:v>
      </x:c>
    </x:row>
    <x:row r="59">
      <x:c r="A59" s="47" t="str">
        <x:v>NEW-055</x:v>
      </x:c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53"/>
      <x:c r="N59" s="53"/>
      <x:c r="O59" s="49"/>
      <x:c r="P59" s="49"/>
      <x:c r="Q59" s="49" t="str">
        <x:v>Proposed</x:v>
      </x:c>
    </x:row>
    <x:row r="60">
      <x:c r="A60" s="47" t="str">
        <x:v>NEW-056</x:v>
      </x:c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53"/>
      <x:c r="N60" s="53"/>
      <x:c r="O60" s="49"/>
      <x:c r="P60" s="49"/>
      <x:c r="Q60" s="49" t="str">
        <x:v>Proposed</x:v>
      </x:c>
    </x:row>
    <x:row r="61">
      <x:c r="A61" s="47" t="str">
        <x:v>NEW-057</x:v>
      </x:c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53"/>
      <x:c r="N61" s="53"/>
      <x:c r="O61" s="49"/>
      <x:c r="P61" s="49"/>
      <x:c r="Q61" s="49" t="str">
        <x:v>Proposed</x:v>
      </x:c>
    </x:row>
    <x:row r="62">
      <x:c r="A62" s="47" t="str">
        <x:v>NEW-058</x:v>
      </x:c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53"/>
      <x:c r="N62" s="53"/>
      <x:c r="O62" s="49"/>
      <x:c r="P62" s="49"/>
      <x:c r="Q62" s="49" t="str">
        <x:v>Proposed</x:v>
      </x:c>
    </x:row>
    <x:row r="63">
      <x:c r="A63" s="47" t="str">
        <x:v>NEW-059</x:v>
      </x:c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53"/>
      <x:c r="N63" s="53"/>
      <x:c r="O63" s="49"/>
      <x:c r="P63" s="49"/>
      <x:c r="Q63" s="49" t="str">
        <x:v>Proposed</x:v>
      </x:c>
    </x:row>
    <x:row r="64">
      <x:c r="A64" s="47" t="str">
        <x:v>NEW-060</x:v>
      </x:c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53"/>
      <x:c r="N64" s="53"/>
      <x:c r="O64" s="49"/>
      <x:c r="P64" s="49"/>
      <x:c r="Q64" s="49" t="str">
        <x:v>Proposed</x:v>
      </x:c>
    </x:row>
    <x:row r="65">
      <x:c r="A65" s="47" t="str">
        <x:v>NEW-061</x:v>
      </x:c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53"/>
      <x:c r="N65" s="53"/>
      <x:c r="O65" s="49"/>
      <x:c r="P65" s="49"/>
      <x:c r="Q65" s="49" t="str">
        <x:v>Proposed</x:v>
      </x:c>
    </x:row>
    <x:row r="66">
      <x:c r="A66" s="47" t="str">
        <x:v>NEW-062</x:v>
      </x:c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53"/>
      <x:c r="N66" s="53"/>
      <x:c r="O66" s="49"/>
      <x:c r="P66" s="49"/>
      <x:c r="Q66" s="49" t="str">
        <x:v>Proposed</x:v>
      </x:c>
    </x:row>
    <x:row r="67">
      <x:c r="A67" s="47" t="str">
        <x:v>NEW-063</x:v>
      </x:c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53"/>
      <x:c r="N67" s="53"/>
      <x:c r="O67" s="49"/>
      <x:c r="P67" s="49"/>
      <x:c r="Q67" s="49" t="str">
        <x:v>Proposed</x:v>
      </x:c>
    </x:row>
    <x:row r="68">
      <x:c r="A68" s="47" t="str">
        <x:v>NEW-064</x:v>
      </x:c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53"/>
      <x:c r="N68" s="53"/>
      <x:c r="O68" s="49"/>
      <x:c r="P68" s="49"/>
      <x:c r="Q68" s="49" t="str">
        <x:v>Proposed</x:v>
      </x:c>
    </x:row>
    <x:row r="69">
      <x:c r="A69" s="47" t="str">
        <x:v>NEW-065</x:v>
      </x:c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53"/>
      <x:c r="N69" s="53"/>
      <x:c r="O69" s="49"/>
      <x:c r="P69" s="49"/>
      <x:c r="Q69" s="49" t="str">
        <x:v>Proposed</x:v>
      </x:c>
    </x:row>
    <x:row r="70">
      <x:c r="A70" s="47" t="str">
        <x:v>NEW-066</x:v>
      </x:c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53"/>
      <x:c r="N70" s="53"/>
      <x:c r="O70" s="49"/>
      <x:c r="P70" s="49"/>
      <x:c r="Q70" s="49" t="str">
        <x:v>Proposed</x:v>
      </x:c>
    </x:row>
    <x:row r="71">
      <x:c r="A71" s="47" t="str">
        <x:v>NEW-067</x:v>
      </x:c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53"/>
      <x:c r="N71" s="53"/>
      <x:c r="O71" s="49"/>
      <x:c r="P71" s="49"/>
      <x:c r="Q71" s="49" t="str">
        <x:v>Proposed</x:v>
      </x:c>
    </x:row>
    <x:row r="72">
      <x:c r="A72" s="47" t="str">
        <x:v>NEW-068</x:v>
      </x:c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53"/>
      <x:c r="N72" s="53"/>
      <x:c r="O72" s="49"/>
      <x:c r="P72" s="49"/>
      <x:c r="Q72" s="49" t="str">
        <x:v>Proposed</x:v>
      </x:c>
    </x:row>
    <x:row r="73">
      <x:c r="A73" s="47" t="str">
        <x:v>NEW-069</x:v>
      </x:c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53"/>
      <x:c r="N73" s="53"/>
      <x:c r="O73" s="49"/>
      <x:c r="P73" s="49"/>
      <x:c r="Q73" s="49" t="str">
        <x:v>Proposed</x:v>
      </x:c>
    </x:row>
    <x:row r="74">
      <x:c r="A74" s="47" t="str">
        <x:v>NEW-070</x:v>
      </x:c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53"/>
      <x:c r="N74" s="53"/>
      <x:c r="O74" s="49"/>
      <x:c r="P74" s="49"/>
      <x:c r="Q74" s="49" t="str">
        <x:v>Proposed</x:v>
      </x:c>
    </x:row>
    <x:row r="75">
      <x:c r="A75" s="47" t="str">
        <x:v>NEW-071</x:v>
      </x:c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53"/>
      <x:c r="N75" s="53"/>
      <x:c r="O75" s="49"/>
      <x:c r="P75" s="49"/>
      <x:c r="Q75" s="49" t="str">
        <x:v>Proposed</x:v>
      </x:c>
    </x:row>
    <x:row r="76">
      <x:c r="A76" s="47" t="str">
        <x:v>NEW-072</x:v>
      </x:c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53"/>
      <x:c r="N76" s="53"/>
      <x:c r="O76" s="49"/>
      <x:c r="P76" s="49"/>
      <x:c r="Q76" s="49" t="str">
        <x:v>Proposed</x:v>
      </x:c>
    </x:row>
    <x:row r="77">
      <x:c r="A77" s="47" t="str">
        <x:v>NEW-073</x:v>
      </x:c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53"/>
      <x:c r="N77" s="53"/>
      <x:c r="O77" s="49"/>
      <x:c r="P77" s="49"/>
      <x:c r="Q77" s="49" t="str">
        <x:v>Proposed</x:v>
      </x:c>
    </x:row>
    <x:row r="78">
      <x:c r="A78" s="47" t="str">
        <x:v>NEW-074</x:v>
      </x:c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53"/>
      <x:c r="N78" s="53"/>
      <x:c r="O78" s="49"/>
      <x:c r="P78" s="49"/>
      <x:c r="Q78" s="49" t="str">
        <x:v>Proposed</x:v>
      </x:c>
    </x:row>
    <x:row r="79">
      <x:c r="A79" s="47" t="str">
        <x:v>NEW-075</x:v>
      </x:c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53"/>
      <x:c r="N79" s="53"/>
      <x:c r="O79" s="49"/>
      <x:c r="P79" s="49"/>
      <x:c r="Q79" s="49" t="str">
        <x:v>Proposed</x:v>
      </x:c>
    </x:row>
    <x:row r="80">
      <x:c r="A80" s="47" t="str">
        <x:v>NEW-076</x:v>
      </x:c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53"/>
      <x:c r="N80" s="53"/>
      <x:c r="O80" s="49"/>
      <x:c r="P80" s="49"/>
      <x:c r="Q80" s="49" t="str">
        <x:v>Proposed</x:v>
      </x:c>
    </x:row>
    <x:row r="81">
      <x:c r="A81" s="47" t="str">
        <x:v>NEW-077</x:v>
      </x:c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53"/>
      <x:c r="N81" s="53"/>
      <x:c r="O81" s="49"/>
      <x:c r="P81" s="49"/>
      <x:c r="Q81" s="49" t="str">
        <x:v>Proposed</x:v>
      </x:c>
    </x:row>
    <x:row r="82">
      <x:c r="A82" s="47" t="str">
        <x:v>NEW-078</x:v>
      </x:c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53"/>
      <x:c r="N82" s="53"/>
      <x:c r="O82" s="49"/>
      <x:c r="P82" s="49"/>
      <x:c r="Q82" s="49" t="str">
        <x:v>Proposed</x:v>
      </x:c>
    </x:row>
    <x:row r="83">
      <x:c r="A83" s="47" t="str">
        <x:v>NEW-079</x:v>
      </x:c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53"/>
      <x:c r="N83" s="53"/>
      <x:c r="O83" s="49"/>
      <x:c r="P83" s="49"/>
      <x:c r="Q83" s="49" t="str">
        <x:v>Proposed</x:v>
      </x:c>
    </x:row>
    <x:row r="84">
      <x:c r="A84" s="47" t="str">
        <x:v>NEW-080</x:v>
      </x:c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53"/>
      <x:c r="N84" s="53"/>
      <x:c r="O84" s="49"/>
      <x:c r="P84" s="49"/>
      <x:c r="Q84" s="49" t="str">
        <x:v>Proposed</x:v>
      </x:c>
    </x:row>
    <x:row r="85">
      <x:c r="A85" s="47" t="str">
        <x:v>NEW-081</x:v>
      </x:c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53"/>
      <x:c r="N85" s="53"/>
      <x:c r="O85" s="49"/>
      <x:c r="P85" s="49"/>
      <x:c r="Q85" s="49" t="str">
        <x:v>Proposed</x:v>
      </x:c>
    </x:row>
    <x:row r="86">
      <x:c r="A86" s="47" t="str">
        <x:v>NEW-082</x:v>
      </x:c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53"/>
      <x:c r="N86" s="53"/>
      <x:c r="O86" s="49"/>
      <x:c r="P86" s="49"/>
      <x:c r="Q86" s="49" t="str">
        <x:v>Proposed</x:v>
      </x:c>
    </x:row>
    <x:row r="87">
      <x:c r="A87" s="47" t="str">
        <x:v>NEW-083</x:v>
      </x:c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53"/>
      <x:c r="N87" s="53"/>
      <x:c r="O87" s="49"/>
      <x:c r="P87" s="49"/>
      <x:c r="Q87" s="49" t="str">
        <x:v>Proposed</x:v>
      </x:c>
    </x:row>
    <x:row r="88">
      <x:c r="A88" s="47" t="str">
        <x:v>NEW-084</x:v>
      </x:c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53"/>
      <x:c r="N88" s="53"/>
      <x:c r="O88" s="49"/>
      <x:c r="P88" s="49"/>
      <x:c r="Q88" s="49" t="str">
        <x:v>Proposed</x:v>
      </x:c>
    </x:row>
    <x:row r="89">
      <x:c r="A89" s="47" t="str">
        <x:v>NEW-085</x:v>
      </x:c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53"/>
      <x:c r="N89" s="53"/>
      <x:c r="O89" s="49"/>
      <x:c r="P89" s="49"/>
      <x:c r="Q89" s="49" t="str">
        <x:v>Proposed</x:v>
      </x:c>
    </x:row>
    <x:row r="90">
      <x:c r="A90" s="47" t="str">
        <x:v>NEW-086</x:v>
      </x:c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53"/>
      <x:c r="N90" s="53"/>
      <x:c r="O90" s="49"/>
      <x:c r="P90" s="49"/>
      <x:c r="Q90" s="49" t="str">
        <x:v>Proposed</x:v>
      </x:c>
    </x:row>
    <x:row r="91">
      <x:c r="A91" s="47" t="str">
        <x:v>NEW-087</x:v>
      </x:c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53"/>
      <x:c r="N91" s="53"/>
      <x:c r="O91" s="49"/>
      <x:c r="P91" s="49"/>
      <x:c r="Q91" s="49" t="str">
        <x:v>Proposed</x:v>
      </x:c>
    </x:row>
    <x:row r="92">
      <x:c r="A92" s="47" t="str">
        <x:v>NEW-088</x:v>
      </x:c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53"/>
      <x:c r="N92" s="53"/>
      <x:c r="O92" s="49"/>
      <x:c r="P92" s="49"/>
      <x:c r="Q92" s="49" t="str">
        <x:v>Proposed</x:v>
      </x:c>
    </x:row>
    <x:row r="93">
      <x:c r="A93" s="47" t="str">
        <x:v>NEW-089</x:v>
      </x:c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53"/>
      <x:c r="N93" s="53"/>
      <x:c r="O93" s="49"/>
      <x:c r="P93" s="49"/>
      <x:c r="Q93" s="49" t="str">
        <x:v>Proposed</x:v>
      </x:c>
    </x:row>
    <x:row r="94">
      <x:c r="A94" s="47" t="str">
        <x:v>NEW-090</x:v>
      </x:c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53"/>
      <x:c r="N94" s="53"/>
      <x:c r="O94" s="49"/>
      <x:c r="P94" s="49"/>
      <x:c r="Q94" s="49" t="str">
        <x:v>Proposed</x:v>
      </x:c>
    </x:row>
    <x:row r="95">
      <x:c r="A95" s="47" t="str">
        <x:v>NEW-091</x:v>
      </x:c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53"/>
      <x:c r="N95" s="53"/>
      <x:c r="O95" s="49"/>
      <x:c r="P95" s="49"/>
      <x:c r="Q95" s="49" t="str">
        <x:v>Proposed</x:v>
      </x:c>
    </x:row>
    <x:row r="96">
      <x:c r="A96" s="47" t="str">
        <x:v>NEW-092</x:v>
      </x:c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53"/>
      <x:c r="N96" s="53"/>
      <x:c r="O96" s="49"/>
      <x:c r="P96" s="49"/>
      <x:c r="Q96" s="49" t="str">
        <x:v>Proposed</x:v>
      </x:c>
    </x:row>
    <x:row r="97">
      <x:c r="A97" s="47" t="str">
        <x:v>NEW-093</x:v>
      </x:c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53"/>
      <x:c r="N97" s="53"/>
      <x:c r="O97" s="49"/>
      <x:c r="P97" s="49"/>
      <x:c r="Q97" s="49" t="str">
        <x:v>Proposed</x:v>
      </x:c>
    </x:row>
    <x:row r="98">
      <x:c r="A98" s="47" t="str">
        <x:v>NEW-094</x:v>
      </x:c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53"/>
      <x:c r="N98" s="53"/>
      <x:c r="O98" s="49"/>
      <x:c r="P98" s="49"/>
      <x:c r="Q98" s="49" t="str">
        <x:v>Proposed</x:v>
      </x:c>
    </x:row>
    <x:row r="99">
      <x:c r="A99" s="47" t="str">
        <x:v>NEW-095</x:v>
      </x:c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53"/>
      <x:c r="N99" s="53"/>
      <x:c r="O99" s="49"/>
      <x:c r="P99" s="49"/>
      <x:c r="Q99" s="49" t="str">
        <x:v>Proposed</x:v>
      </x:c>
    </x:row>
    <x:row r="100">
      <x:c r="A100" s="47" t="str">
        <x:v>NEW-096</x:v>
      </x:c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53"/>
      <x:c r="N100" s="53"/>
      <x:c r="O100" s="49"/>
      <x:c r="P100" s="49"/>
      <x:c r="Q100" s="49" t="str">
        <x:v>Proposed</x:v>
      </x:c>
    </x:row>
    <x:row r="101">
      <x:c r="A101" s="47" t="str">
        <x:v>NEW-097</x:v>
      </x:c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53"/>
      <x:c r="N101" s="53"/>
      <x:c r="O101" s="49"/>
      <x:c r="P101" s="49"/>
      <x:c r="Q101" s="49" t="str">
        <x:v>Proposed</x:v>
      </x:c>
    </x:row>
    <x:row r="102">
      <x:c r="A102" s="47" t="str">
        <x:v>NEW-098</x:v>
      </x:c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53"/>
      <x:c r="N102" s="53"/>
      <x:c r="O102" s="49"/>
      <x:c r="P102" s="49"/>
      <x:c r="Q102" s="49" t="str">
        <x:v>Proposed</x:v>
      </x:c>
    </x:row>
    <x:row r="103">
      <x:c r="A103" s="47" t="str">
        <x:v>NEW-099</x:v>
      </x:c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53"/>
      <x:c r="N103" s="53"/>
      <x:c r="O103" s="49"/>
      <x:c r="P103" s="49"/>
      <x:c r="Q103" s="49" t="str">
        <x:v>Proposed</x:v>
      </x:c>
    </x:row>
    <x:row r="104">
      <x:c r="A104" s="47" t="str">
        <x:v>NEW-100</x:v>
      </x:c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53"/>
      <x:c r="N104" s="53"/>
      <x:c r="O104" s="49"/>
      <x:c r="P104" s="49"/>
      <x:c r="Q104" s="49" t="str">
        <x:v>Proposed</x:v>
      </x:c>
    </x:row>
  </x:sheetData>
  <x:mergeCells>
    <x:mergeCell ref="A1:Q1"/>
    <x:mergeCell ref="A2:Q2"/>
  </x:mergeCells>
  <x:dataValidations count="5">
    <x:dataValidation type="list" sqref="D5:D104">
      <x:formula1>"Yes,No,Conditional,Unknown"</x:formula1>
    </x:dataValidation>
    <x:dataValidation type="list" sqref="E5:E104">
      <x:formula1>"Yes,No,Conditional,Unknown"</x:formula1>
    </x:dataValidation>
    <x:dataValidation type="list" sqref="F5:F104">
      <x:formula1>"Yes,No,Conditional,Unknown"</x:formula1>
    </x:dataValidation>
    <x:dataValidation type="list" sqref="G5:G104">
      <x:formula1>"H0,H1,H2,H3,H4,H5,H6,H7"</x:formula1>
    </x:dataValidation>
    <x:dataValidation type="list" sqref="Q5:Q104">
      <x:formula1>"Proposed,Approved,Merged,Rejected,Needs 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1d5a8284414a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20" hidden="0" customWidth="1"/>
    <x:col min="3" max="3" width="19.440000534057617" hidden="0" customWidth="1"/>
    <x:col min="4" max="4" width="30" hidden="0" customWidth="1"/>
    <x:col min="5" max="5" width="27.780000686645508" hidden="0" customWidth="1"/>
    <x:col min="6" max="6" width="27.780000686645508" hidden="0" customWidth="1"/>
    <x:col min="7" max="7" width="6.670000076293945" hidden="0" customWidth="1"/>
    <x:col min="8" max="8" width="19.440000534057617" hidden="0" customWidth="1"/>
    <x:col min="9" max="9" width="21.110000610351562" hidden="0" customWidth="1"/>
    <x:col min="10" max="10" width="27.780000686645508" hidden="0" customWidth="1"/>
  </x:cols>
  <x:sheetData>
    <x:row r="1" ht="27" customHeight="1">
      <x:c r="A1" s="56" t="str">
        <x:v>Natural Toolkit Expansion — Wood, Stone, Fiber and Whole-Use Coconut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31.5" customHeight="1">
      <x:c r="A2" s="60" t="str">
        <x:v>Each row is an action package, not a cosmetic recipe. Separate condition is expected for edge/head, handle, binding and calibration where relevant.</x:v>
      </x:c>
      <x:c r="B2" s="60"/>
      <x:c r="C2" s="60"/>
      <x:c r="D2" s="60"/>
      <x:c r="E2" s="60"/>
      <x:c r="F2" s="60"/>
      <x:c r="G2" s="60"/>
      <x:c r="H2" s="60"/>
      <x:c r="I2" s="60"/>
      <x:c r="J2" s="60"/>
    </x:row>
    <x:row r="4" ht="25.5" customHeight="1">
      <x:c r="A4" s="65" t="str">
        <x:v>ID</x:v>
      </x:c>
      <x:c r="B4" s="65" t="str">
        <x:v>Item name</x:v>
      </x:c>
      <x:c r="C4" s="65" t="str">
        <x:v>Recipe basis</x:v>
      </x:c>
      <x:c r="D4" s="65" t="str">
        <x:v>Primary uses</x:v>
      </x:c>
      <x:c r="E4" s="65" t="str">
        <x:v>Capability opened</x:v>
      </x:c>
      <x:c r="F4" s="65" t="str">
        <x:v>Wear / failure</x:v>
      </x:c>
      <x:c r="G4" s="65" t="str">
        <x:v>Tier</x:v>
      </x:c>
      <x:c r="H4" s="65" t="str">
        <x:v>Family</x:v>
      </x:c>
      <x:c r="I4" s="65" t="str">
        <x:v>Weapon governance</x:v>
      </x:c>
      <x:c r="J4" s="65" t="str">
        <x:v>Research basis</x:v>
      </x:c>
    </x:row>
    <x:row r="5" ht="40.5" customHeight="1">
      <x:c r="A5" s="73" t="str">
        <x:v>NT-001</x:v>
      </x:c>
      <x:c r="B5" s="73" t="str">
        <x:v>Hammerstone</x:v>
      </x:c>
      <x:c r="C5" s="73" t="str">
        <x:v>stone</x:v>
      </x:c>
      <x:c r="D5" s="73" t="str">
        <x:v>Strike cores; crush nuts; bruise fiber; drive wedges</x:v>
      </x:c>
      <x:c r="E5" s="73" t="str">
        <x:v>Sharp flakes; cordage preparation; stone shaping</x:v>
      </x:c>
      <x:c r="F5" s="73" t="str">
        <x:v>Face spalls; hand injury if too small or fractured</x:v>
      </x:c>
      <x:c r="G5" s="73" t="str">
        <x:v>H0</x:v>
      </x:c>
      <x:c r="H5" s="73" t="str">
        <x:v>Percussion and edge making</x:v>
      </x:c>
      <x:c r="I5" s="73" t="str">
        <x:v>Dual-use impact tool; poor dedicated weapon</x:v>
      </x:c>
      <x:c r="J5" s="76" t="str">
        <x:v>https://humanorigins.si.edu/evidence/behavior/stone-tools/early-stone-age-tools</x:v>
      </x:c>
    </x:row>
    <x:row r="6" ht="40.5" customHeight="1">
      <x:c r="A6" s="74" t="str">
        <x:v>NT-002</x:v>
      </x:c>
      <x:c r="B6" s="74" t="str">
        <x:v>Stone core</x:v>
      </x:c>
      <x:c r="C6" s="74" t="str">
        <x:v>stone</x:v>
      </x:c>
      <x:c r="D6" s="74" t="str">
        <x:v>Controlled source of sharp flakes; heavy chopping edge</x:v>
      </x:c>
      <x:c r="E6" s="74" t="str">
        <x:v>Replaceable cutting inserts; scrapers; points</x:v>
      </x:c>
      <x:c r="F6" s="74" t="str">
        <x:v>Bad stone hinges instead of flaking; edge is irregular</x:v>
      </x:c>
      <x:c r="G6" s="74" t="str">
        <x:v>H0</x:v>
      </x:c>
      <x:c r="H6" s="74" t="str">
        <x:v>Percussion and edge making</x:v>
      </x:c>
      <x:c r="I6" s="74" t="str">
        <x:v>Not a governed weapon</x:v>
      </x:c>
      <x:c r="J6" s="77" t="str">
        <x:v>https://humanorigins.si.edu/evidence/behavior/stone-tools/early-stone-age-tools</x:v>
      </x:c>
    </x:row>
    <x:row r="7" ht="40.5" customHeight="1">
      <x:c r="A7" s="74" t="str">
        <x:v>NT-003</x:v>
      </x:c>
      <x:c r="B7" s="74" t="str">
        <x:v>Sharp stone flake</x:v>
      </x:c>
      <x:c r="C7" s="74" t="str">
        <x:v>stone</x:v>
      </x:c>
      <x:c r="D7" s="74" t="str">
        <x:v>Slice meat; cut plants; trim bark; cut cord</x:v>
      </x:c>
      <x:c r="E7" s="74" t="str">
        <x:v>Butchery; cordage; carving; hide preparation</x:v>
      </x:c>
      <x:c r="F7" s="74" t="str">
        <x:v>Very sharp but fragile; unsafe grip until backed</x:v>
      </x:c>
      <x:c r="G7" s="74" t="str">
        <x:v>H0</x:v>
      </x:c>
      <x:c r="H7" s="74" t="str">
        <x:v>Percussion and edge making</x:v>
      </x:c>
      <x:c r="I7" s="74" t="str">
        <x:v>Improvised edge only</x:v>
      </x:c>
      <x:c r="J7" s="77" t="str">
        <x:v>https://www.si.edu/newsdesk/releases/29-million-year-old-butchery-site-reopens-case-who-made-first-stone-tools</x:v>
      </x:c>
    </x:row>
    <x:row r="8" ht="40.5" customHeight="1">
      <x:c r="A8" s="74" t="str">
        <x:v>NT-004</x:v>
      </x:c>
      <x:c r="B8" s="74" t="str">
        <x:v>Backed stone hand cutter</x:v>
      </x:c>
      <x:c r="C8" s="74" t="str">
        <x:v>stone + fiber grip</x:v>
      </x:c>
      <x:c r="D8" s="74" t="str">
        <x:v>Controlled cutting; whittling; seam cutting; food preparation</x:v>
      </x:c>
      <x:c r="E8" s="74" t="str">
        <x:v>Handles; pegs; traps; sewing; shelter details</x:v>
      </x:c>
      <x:c r="F8" s="74" t="str">
        <x:v>Dulls quickly on dirty or abrasive work; backing can loosen</x:v>
      </x:c>
      <x:c r="G8" s="74" t="str">
        <x:v>H0</x:v>
      </x:c>
      <x:c r="H8" s="74" t="str">
        <x:v>Percussion and edge making</x:v>
      </x:c>
      <x:c r="I8" s="74" t="str">
        <x:v>Dual-use knife; no combat recipe bonus</x:v>
      </x:c>
      <x:c r="J8" s="77" t="str">
        <x:v>https://pubmed.ncbi.nlm.nih.gov/26387038/</x:v>
      </x:c>
    </x:row>
    <x:row r="9" ht="40.5" customHeight="1">
      <x:c r="A9" s="74" t="str">
        <x:v>NT-005</x:v>
      </x:c>
      <x:c r="B9" s="74" t="str">
        <x:v>Stone chopper</x:v>
      </x:c>
      <x:c r="C9" s="74" t="str">
        <x:v>stone</x:v>
      </x:c>
      <x:c r="D9" s="74" t="str">
        <x:v>Hack branches; split joints; coarse butchery</x:v>
      </x:c>
      <x:c r="E9" s="74" t="str">
        <x:v>Rough timber; firewood; raft poles</x:v>
      </x:c>
      <x:c r="F9" s="74" t="str">
        <x:v>Heavy fatigue; ragged cuts; edge crushing</x:v>
      </x:c>
      <x:c r="G9" s="74" t="str">
        <x:v>H0</x:v>
      </x:c>
      <x:c r="H9" s="74" t="str">
        <x:v>Percussion and edge making</x:v>
      </x:c>
      <x:c r="I9" s="74" t="str">
        <x:v>Dual-use chopping tool</x:v>
      </x:c>
      <x:c r="J9" s="77" t="str">
        <x:v>https://humanorigins.si.edu/evidence/behavior/stone-tools/early-stone-age-tools/olduvai-chopper</x:v>
      </x:c>
    </x:row>
    <x:row r="10" ht="40.5" customHeight="1">
      <x:c r="A10" s="74" t="str">
        <x:v>NT-006</x:v>
      </x:c>
      <x:c r="B10" s="74" t="str">
        <x:v>Stone hand axe</x:v>
      </x:c>
      <x:c r="C10" s="74" t="str">
        <x:v>stone</x:v>
      </x:c>
      <x:c r="D10" s="74" t="str">
        <x:v>Chop; slice; scrape; shape stakes</x:v>
      </x:c>
      <x:c r="E10" s="74" t="str">
        <x:v>Faster timber processing; hides; carcass work</x:v>
      </x:c>
      <x:c r="F10" s="74" t="str">
        <x:v>Unhafted grip limits force and endurance</x:v>
      </x:c>
      <x:c r="G10" s="74" t="str">
        <x:v>H1</x:v>
      </x:c>
      <x:c r="H10" s="74" t="str">
        <x:v>Percussion and edge making</x:v>
      </x:c>
      <x:c r="I10" s="74" t="str">
        <x:v>Dual-use heavy cutter</x:v>
      </x:c>
      <x:c r="J10" s="77" t="str">
        <x:v>https://humanorigins.si.edu/evidence/behavior/stone-tools</x:v>
      </x:c>
    </x:row>
    <x:row r="11" ht="40.5" customHeight="1">
      <x:c r="A11" s="74" t="str">
        <x:v>NT-007</x:v>
      </x:c>
      <x:c r="B11" s="74" t="str">
        <x:v>Side scraper</x:v>
      </x:c>
      <x:c r="C11" s="74" t="str">
        <x:v>stone</x:v>
      </x:c>
      <x:c r="D11" s="74" t="str">
        <x:v>Scrape bark; smooth wood; clean hide; remove residue</x:v>
      </x:c>
      <x:c r="E11" s="74" t="str">
        <x:v>Clean handles; bark fiber; hide curing</x:v>
      </x:c>
      <x:c r="F11" s="74" t="str">
        <x:v>Edge angle must match material; clogs with fat or resin</x:v>
      </x:c>
      <x:c r="G11" s="74" t="str">
        <x:v>H0</x:v>
      </x:c>
      <x:c r="H11" s="74" t="str">
        <x:v>Scraping and finishing</x:v>
      </x:c>
      <x:c r="I11" s="74" t="str">
        <x:v>Not a governed weapon</x:v>
      </x:c>
      <x:c r="J11" s="77" t="str">
        <x:v>https://humanorigins.si.edu/evidence/behavior/stone-tools</x:v>
      </x:c>
    </x:row>
    <x:row r="12" ht="40.5" customHeight="1">
      <x:c r="A12" s="74" t="str">
        <x:v>NT-008</x:v>
      </x:c>
      <x:c r="B12" s="74" t="str">
        <x:v>Convex hide scraper</x:v>
      </x:c>
      <x:c r="C12" s="74" t="str">
        <x:v>stone</x:v>
      </x:c>
      <x:c r="D12" s="74" t="str">
        <x:v>Flesh hide; thin rawhide; soften dry fibers</x:v>
      </x:c>
      <x:c r="E12" s="74" t="str">
        <x:v>Rawhide lashings; leather route; clean membranes</x:v>
      </x:c>
      <x:c r="F12" s="74" t="str">
        <x:v>Cuts through hide if edge is too acute</x:v>
      </x:c>
      <x:c r="G12" s="74" t="str">
        <x:v>H1</x:v>
      </x:c>
      <x:c r="H12" s="74" t="str">
        <x:v>Scraping and finishing</x:v>
      </x:c>
      <x:c r="I12" s="74" t="str">
        <x:v>Not a governed weapon</x:v>
      </x:c>
      <x:c r="J12" s="77" t="str">
        <x:v>https://pubmed.ncbi.nlm.nih.gov/26387038/</x:v>
      </x:c>
    </x:row>
    <x:row r="13" ht="40.5" customHeight="1">
      <x:c r="A13" s="74" t="str">
        <x:v>NT-009</x:v>
      </x:c>
      <x:c r="B13" s="74" t="str">
        <x:v>Stone graver</x:v>
      </x:c>
      <x:c r="C13" s="74" t="str">
        <x:v>stone</x:v>
      </x:c>
      <x:c r="D13" s="74" t="str">
        <x:v>Incise grooves; start holes; cut notches; mark measures</x:v>
      </x:c>
      <x:c r="E13" s="74" t="str">
        <x:v>Net gauges; joinery marks; hooks; decorations</x:v>
      </x:c>
      <x:c r="F13" s="74" t="str">
        <x:v>Tip snaps under levering or twisting</x:v>
      </x:c>
      <x:c r="G13" s="74" t="str">
        <x:v>H1</x:v>
      </x:c>
      <x:c r="H13" s="74" t="str">
        <x:v>Piercing and detail work</x:v>
      </x:c>
      <x:c r="I13" s="74" t="str">
        <x:v>Not a governed weapon</x:v>
      </x:c>
      <x:c r="J13" s="77" t="str">
        <x:v>https://journals.ed.ac.uk/lithicstudies/article/view/3088</x:v>
      </x:c>
    </x:row>
    <x:row r="14" ht="40.5" customHeight="1">
      <x:c r="A14" s="74" t="str">
        <x:v>NT-010</x:v>
      </x:c>
      <x:c r="B14" s="74" t="str">
        <x:v>Stone awl</x:v>
      </x:c>
      <x:c r="C14" s="74" t="str">
        <x:v>stone + fiber grip</x:v>
      </x:c>
      <x:c r="D14" s="74" t="str">
        <x:v>Perforate leather; bark cloth; soft wood; basketry</x:v>
      </x:c>
      <x:c r="E14" s="74" t="str">
        <x:v>Sewn containers; straps; sandals; packs</x:v>
      </x:c>
      <x:c r="F14" s="74" t="str">
        <x:v>Brittle point; hole size is inconsistent without a gauge</x:v>
      </x:c>
      <x:c r="G14" s="74" t="str">
        <x:v>H1</x:v>
      </x:c>
      <x:c r="H14" s="74" t="str">
        <x:v>Piercing and detail work</x:v>
      </x:c>
      <x:c r="I14" s="74" t="str">
        <x:v>Pointed tool only</x:v>
      </x:c>
      <x:c r="J14" s="77" t="str">
        <x:v>https://humanorigins.si.edu/evidence/behavior/stone-tools</x:v>
      </x:c>
    </x:row>
    <x:row r="15" ht="40.5" customHeight="1">
      <x:c r="A15" s="74" t="str">
        <x:v>NT-011</x:v>
      </x:c>
      <x:c r="B15" s="74" t="str">
        <x:v>Stone drill bit</x:v>
      </x:c>
      <x:c r="C15" s="74" t="str">
        <x:v>stone + wood shaft + fiber</x:v>
      </x:c>
      <x:c r="D15" s="74" t="str">
        <x:v>Bore small holes by rotation</x:v>
      </x:c>
      <x:c r="E15" s="74" t="str">
        <x:v>Peg joints; beads; fish hooks; fireboard sockets</x:v>
      </x:c>
      <x:c r="F15" s="74" t="str">
        <x:v>Heat and wobble blunt the bit; slow in hardwood</x:v>
      </x:c>
      <x:c r="G15" s="74" t="str">
        <x:v>H1</x:v>
      </x:c>
      <x:c r="H15" s="74" t="str">
        <x:v>Piercing and detail work</x:v>
      </x:c>
      <x:c r="I15" s="74" t="str">
        <x:v>Not a governed weapon</x:v>
      </x:c>
      <x:c r="J15" s="77" t="str">
        <x:v>https://humanorigins.si.edu/evidence/behavior/stone-tools</x:v>
      </x:c>
    </x:row>
    <x:row r="16" ht="40.5" customHeight="1">
      <x:c r="A16" s="74" t="str">
        <x:v>NT-012</x:v>
      </x:c>
      <x:c r="B16" s="74" t="str">
        <x:v>Denticulate saw flake</x:v>
      </x:c>
      <x:c r="C16" s="74" t="str">
        <x:v>stone</x:v>
      </x:c>
      <x:c r="D16" s="74" t="str">
        <x:v>Saw notches in soft wood; cut tendon; score bark</x:v>
      </x:c>
      <x:c r="E16" s="74" t="str">
        <x:v>Trap triggers; arrow nocks; joinery starts</x:v>
      </x:c>
      <x:c r="F16" s="74" t="str">
        <x:v>Teeth crush in hard wood; slower than splitting</x:v>
      </x:c>
      <x:c r="G16" s="74" t="str">
        <x:v>H1</x:v>
      </x:c>
      <x:c r="H16" s="74" t="str">
        <x:v>Piercing and detail work</x:v>
      </x:c>
      <x:c r="I16" s="74" t="str">
        <x:v>Not a governed weapon</x:v>
      </x:c>
      <x:c r="J16" s="77" t="str">
        <x:v>https://pubmed.ncbi.nlm.nih.gov/26387038/</x:v>
      </x:c>
    </x:row>
    <x:row r="17" ht="40.5" customHeight="1">
      <x:c r="A17" s="74" t="str">
        <x:v>NT-013</x:v>
      </x:c>
      <x:c r="B17" s="74" t="str">
        <x:v>Stone wedge</x:v>
      </x:c>
      <x:c r="C17" s="74" t="str">
        <x:v>stone</x:v>
      </x:c>
      <x:c r="D17" s="74" t="str">
        <x:v>Split wood; open cracks; lift fitted parts</x:v>
      </x:c>
      <x:c r="E17" s="74" t="str">
        <x:v>Planks; shakes; mortise roughing</x:v>
      </x:c>
      <x:c r="F17" s="74" t="str">
        <x:v>Can eject under impact; stone may shatter</x:v>
      </x:c>
      <x:c r="G17" s="74" t="str">
        <x:v>H1</x:v>
      </x:c>
      <x:c r="H17" s="74" t="str">
        <x:v>Splitting and leverage</x:v>
      </x:c>
      <x:c r="I17" s="74" t="str">
        <x:v>Improvised impact object</x:v>
      </x:c>
      <x:c r="J17" s="77" t="str">
        <x:v>https://home.nps.gov/articles/000/grooved-axes.htm</x:v>
      </x:c>
    </x:row>
    <x:row r="18" ht="40.5" customHeight="1">
      <x:c r="A18" s="74" t="str">
        <x:v>NT-014</x:v>
      </x:c>
      <x:c r="B18" s="74" t="str">
        <x:v>Grooved stone maul head</x:v>
      </x:c>
      <x:c r="C18" s="74" t="str">
        <x:v>stone + wood + fiber</x:v>
      </x:c>
      <x:c r="D18" s="74" t="str">
        <x:v>Drive stakes and gluts; crush shell; heavy pounding</x:v>
      </x:c>
      <x:c r="E18" s="74" t="str">
        <x:v>Post setting; quarry work; larger joinery</x:v>
      </x:c>
      <x:c r="F18" s="74" t="str">
        <x:v>Haft must be retightened; high stamina cost</x:v>
      </x:c>
      <x:c r="G18" s="74" t="str">
        <x:v>H2</x:v>
      </x:c>
      <x:c r="H18" s="74" t="str">
        <x:v>Percussion and edge making</x:v>
      </x:c>
      <x:c r="I18" s="74" t="str">
        <x:v>Dual-use impact tool</x:v>
      </x:c>
      <x:c r="J18" s="77" t="str">
        <x:v>https://home.nps.gov/articles/000/grooved-axes.htm</x:v>
      </x:c>
    </x:row>
    <x:row r="19" ht="40.5" customHeight="1">
      <x:c r="A19" s="74" t="str">
        <x:v>NT-015</x:v>
      </x:c>
      <x:c r="B19" s="74" t="str">
        <x:v>Grinding slab</x:v>
      </x:c>
      <x:c r="C19" s="74" t="str">
        <x:v>stone</x:v>
      </x:c>
      <x:c r="D19" s="74" t="str">
        <x:v>Grind seeds; flatten edges; abrade bone; mix pigment</x:v>
      </x:c>
      <x:c r="E19" s="74" t="str">
        <x:v>Meal; adhesives; polished tools; medicines</x:v>
      </x:c>
      <x:c r="F19" s="74" t="str">
        <x:v>Surface dishes and contaminates between tasks</x:v>
      </x:c>
      <x:c r="G19" s="74" t="str">
        <x:v>H0</x:v>
      </x:c>
      <x:c r="H19" s="74" t="str">
        <x:v>Abrasion and processing</x:v>
      </x:c>
      <x:c r="I19" s="74" t="str">
        <x:v>Not a governed weapon</x:v>
      </x:c>
      <x:c r="J19" s="77" t="str">
        <x:v>https://www.si.edu/stories/human-origins-facts</x:v>
      </x:c>
    </x:row>
    <x:row r="20" ht="40.5" customHeight="1">
      <x:c r="A20" s="74" t="str">
        <x:v>NT-016</x:v>
      </x:c>
      <x:c r="B20" s="74" t="str">
        <x:v>Handstone and muller</x:v>
      </x:c>
      <x:c r="C20" s="74" t="str">
        <x:v>stone</x:v>
      </x:c>
      <x:c r="D20" s="74" t="str">
        <x:v>Grind against slab; crush salt; pulp fiber</x:v>
      </x:c>
      <x:c r="E20" s="74" t="str">
        <x:v>Food processing; pigment; fiber retting support</x:v>
      </x:c>
      <x:c r="F20" s="74" t="str">
        <x:v>Cross-contamination; finger injury</x:v>
      </x:c>
      <x:c r="G20" s="74" t="str">
        <x:v>H0</x:v>
      </x:c>
      <x:c r="H20" s="74" t="str">
        <x:v>Abrasion and processing</x:v>
      </x:c>
      <x:c r="I20" s="74" t="str">
        <x:v>Improvised impact object</x:v>
      </x:c>
      <x:c r="J20" s="77" t="str">
        <x:v>https://www.si.edu/newsdesk/releases/29-million-year-old-butchery-site-reopens-case-who-made-first-stone-tools</x:v>
      </x:c>
    </x:row>
    <x:row r="21" ht="40.5" customHeight="1">
      <x:c r="A21" s="74" t="str">
        <x:v>NT-017</x:v>
      </x:c>
      <x:c r="B21" s="74" t="str">
        <x:v>Stone mortar cup</x:v>
      </x:c>
      <x:c r="C21" s="74" t="str">
        <x:v>stone</x:v>
      </x:c>
      <x:c r="D21" s="74" t="str">
        <x:v>Contain pounding and grinding; crush herbs</x:v>
      </x:c>
      <x:c r="E21" s="74" t="str">
        <x:v>Pastes; medicines; resins; spices</x:v>
      </x:c>
      <x:c r="F21" s="74" t="str">
        <x:v>Cracks under hard impact or thermal shock</x:v>
      </x:c>
      <x:c r="G21" s="74" t="str">
        <x:v>H1</x:v>
      </x:c>
      <x:c r="H21" s="74" t="str">
        <x:v>Abrasion and processing</x:v>
      </x:c>
      <x:c r="I21" s="74" t="str">
        <x:v>Not a governed weapon</x:v>
      </x:c>
      <x:c r="J21" s="77" t="str">
        <x:v>https://www.si.edu/stories/human-origins-facts</x:v>
      </x:c>
    </x:row>
    <x:row r="22" ht="40.5" customHeight="1">
      <x:c r="A22" s="74" t="str">
        <x:v>NT-018</x:v>
      </x:c>
      <x:c r="B22" s="74" t="str">
        <x:v>Stone pestle</x:v>
      </x:c>
      <x:c r="C22" s="74" t="str">
        <x:v>stone</x:v>
      </x:c>
      <x:c r="D22" s="74" t="str">
        <x:v>Pound food; crush charcoal; break soft mineral</x:v>
      </x:c>
      <x:c r="E22" s="74" t="str">
        <x:v>Meal; tinder; pigment; compound preparation</x:v>
      </x:c>
      <x:c r="F22" s="74" t="str">
        <x:v>Chips contaminate contents if wrong stone is used</x:v>
      </x:c>
      <x:c r="G22" s="74" t="str">
        <x:v>H1</x:v>
      </x:c>
      <x:c r="H22" s="74" t="str">
        <x:v>Abrasion and processing</x:v>
      </x:c>
      <x:c r="I22" s="74" t="str">
        <x:v>Dual-use impact tool</x:v>
      </x:c>
      <x:c r="J22" s="77" t="str">
        <x:v>https://www.si.edu/stories/human-origins-facts</x:v>
      </x:c>
    </x:row>
    <x:row r="23" ht="40.5" customHeight="1">
      <x:c r="A23" s="74" t="str">
        <x:v>NT-019</x:v>
      </x:c>
      <x:c r="B23" s="74" t="str">
        <x:v>Whetstone</x:v>
      </x:c>
      <x:c r="C23" s="74" t="str">
        <x:v>stone + water</x:v>
      </x:c>
      <x:c r="D23" s="74" t="str">
        <x:v>Restore edge geometry; deburr bone and metal salvage</x:v>
      </x:c>
      <x:c r="E23" s="74" t="str">
        <x:v>Longer tool life; sharper knives; later metalwork</x:v>
      </x:c>
      <x:c r="F23" s="74" t="str">
        <x:v>Wrong grit rounds edges; contaminated oil or grit</x:v>
      </x:c>
      <x:c r="G23" s="74" t="str">
        <x:v>H1</x:v>
      </x:c>
      <x:c r="H23" s="74" t="str">
        <x:v>Abrasion and processing</x:v>
      </x:c>
      <x:c r="I23" s="74" t="str">
        <x:v>Maintenance item</x:v>
      </x:c>
      <x:c r="J23" s="77" t="str">
        <x:v>https://projectzomboid.com/blog/news/2023/12/zleigh-ride/</x:v>
      </x:c>
    </x:row>
    <x:row r="24" ht="40.5" customHeight="1">
      <x:c r="A24" s="74" t="str">
        <x:v>NT-020</x:v>
      </x:c>
      <x:c r="B24" s="74" t="str">
        <x:v>Polishing groove stone</x:v>
      </x:c>
      <x:c r="C24" s="74" t="str">
        <x:v>stone</x:v>
      </x:c>
      <x:c r="D24" s="74" t="str">
        <x:v>Smooth shafts; true points; polish axe edges</x:v>
      </x:c>
      <x:c r="E24" s="74" t="str">
        <x:v>Better arrows; pegs; handles; reduced splinters</x:v>
      </x:c>
      <x:c r="F24" s="74" t="str">
        <x:v>Groove becomes oversized; slow process</x:v>
      </x:c>
      <x:c r="G24" s="74" t="str">
        <x:v>H2</x:v>
      </x:c>
      <x:c r="H24" s="74" t="str">
        <x:v>Abrasion and processing</x:v>
      </x:c>
      <x:c r="I24" s="74" t="str">
        <x:v>Maintenance item</x:v>
      </x:c>
      <x:c r="J24" s="77" t="str">
        <x:v>https://journals.ed.ac.uk/lithicstudies/article/view/3088</x:v>
      </x:c>
    </x:row>
    <x:row r="25" ht="40.5" customHeight="1">
      <x:c r="A25" s="74" t="str">
        <x:v>NT-021</x:v>
      </x:c>
      <x:c r="B25" s="74" t="str">
        <x:v>Carving baton</x:v>
      </x:c>
      <x:c r="C25" s="74" t="str">
        <x:v>wood</x:v>
      </x:c>
      <x:c r="D25" s="74" t="str">
        <x:v>Drive cutter safely; split small stock; tap joints</x:v>
      </x:c>
      <x:c r="E25" s="74" t="str">
        <x:v>Controlled carving; safer toolmaking</x:v>
      </x:c>
      <x:c r="F25" s="74" t="str">
        <x:v>End mushrooms or splits; never strike brittle stone violently</x:v>
      </x:c>
      <x:c r="G25" s="74" t="str">
        <x:v>H0</x:v>
      </x:c>
      <x:c r="H25" s="74" t="str">
        <x:v>Woodworking and workholding</x:v>
      </x:c>
      <x:c r="I25" s="74" t="str">
        <x:v>Improvised club; no combat bonus</x:v>
      </x:c>
      <x:c r="J25" s="77" t="str">
        <x:v>https://research.fs.usda.gov/fpl/wood-handbook</x:v>
      </x:c>
    </x:row>
    <x:row r="26" ht="40.5" customHeight="1">
      <x:c r="A26" s="74" t="str">
        <x:v>NT-022</x:v>
      </x:c>
      <x:c r="B26" s="74" t="str">
        <x:v>Wooden mallet</x:v>
      </x:c>
      <x:c r="C26" s="74" t="str">
        <x:v>wood + fiber</x:v>
      </x:c>
      <x:c r="D26" s="74" t="str">
        <x:v>Drive pegs; seat joints; strike chisels and wedges</x:v>
      </x:c>
      <x:c r="E26" s="74" t="str">
        <x:v>Frames; workbench; non-marring assembly</x:v>
      </x:c>
      <x:c r="F26" s="74" t="str">
        <x:v>Head loosens; wet wood swells then shrinks</x:v>
      </x:c>
      <x:c r="G26" s="74" t="str">
        <x:v>H1</x:v>
      </x:c>
      <x:c r="H26" s="74" t="str">
        <x:v>Woodworking and workholding</x:v>
      </x:c>
      <x:c r="I26" s="74" t="str">
        <x:v>Dual-use impact tool</x:v>
      </x:c>
      <x:c r="J26" s="77" t="str">
        <x:v>https://research.fs.usda.gov/fpl/wood-handbook</x:v>
      </x:c>
    </x:row>
    <x:row r="27" ht="40.5" customHeight="1">
      <x:c r="A27" s="74" t="str">
        <x:v>NT-023</x:v>
      </x:c>
      <x:c r="B27" s="74" t="str">
        <x:v>Wooden wedge set</x:v>
      </x:c>
      <x:c r="C27" s="74" t="str">
        <x:v>wood</x:v>
      </x:c>
      <x:c r="D27" s="74" t="str">
        <x:v>Split timber; clamp joints; level structures</x:v>
      </x:c>
      <x:c r="E27" s="74" t="str">
        <x:v>Planks; bench stops; modular fixtures</x:v>
      </x:c>
      <x:c r="F27" s="74" t="str">
        <x:v>Crushes across grain; must be dry and graded</x:v>
      </x:c>
      <x:c r="G27" s="74" t="str">
        <x:v>H0</x:v>
      </x:c>
      <x:c r="H27" s="74" t="str">
        <x:v>Woodworking and workholding</x:v>
      </x:c>
      <x:c r="I27" s="74" t="str">
        <x:v>Not a governed weapon</x:v>
      </x:c>
      <x:c r="J27" s="77" t="str">
        <x:v>https://research.fs.usda.gov/fpl/wood-handbook</x:v>
      </x:c>
    </x:row>
    <x:row r="28" ht="40.5" customHeight="1">
      <x:c r="A28" s="74" t="str">
        <x:v>NT-024</x:v>
      </x:c>
      <x:c r="B28" s="74" t="str">
        <x:v>Splitting glut set</x:v>
      </x:c>
      <x:c r="C28" s="74" t="str">
        <x:v>wood + stone driver</x:v>
      </x:c>
      <x:c r="D28" s="74" t="str">
        <x:v>Continue a long split after the stone wedge starts it</x:v>
      </x:c>
      <x:c r="E28" s="74" t="str">
        <x:v>Boards; roofing shakes; canoe or trough blanks</x:v>
      </x:c>
      <x:c r="F28" s="74" t="str">
        <x:v>Poor grain follows knots and ruins stock</x:v>
      </x:c>
      <x:c r="G28" s="74" t="str">
        <x:v>H1</x:v>
      </x:c>
      <x:c r="H28" s="74" t="str">
        <x:v>Woodworking and workholding</x:v>
      </x:c>
      <x:c r="I28" s="74" t="str">
        <x:v>Not a governed weapon</x:v>
      </x:c>
      <x:c r="J28" s="77" t="str">
        <x:v>https://research.fs.usda.gov/fpl/wood-handbook</x:v>
      </x:c>
    </x:row>
    <x:row r="29" ht="40.5" customHeight="1">
      <x:c r="A29" s="74" t="str">
        <x:v>NT-025</x:v>
      </x:c>
      <x:c r="B29" s="74" t="str">
        <x:v>Peg and treenail set</x:v>
      </x:c>
      <x:c r="C29" s="74" t="str">
        <x:v>wood</x:v>
      </x:c>
      <x:c r="D29" s="74" t="str">
        <x:v>Join frames without metal; pin handles; repair hull planks</x:v>
      </x:c>
      <x:c r="E29" s="74" t="str">
        <x:v>Shelter frames; bench; crates; boat repair</x:v>
      </x:c>
      <x:c r="F29" s="74" t="str">
        <x:v>Loose when undersized; splits stock without pilot hole</x:v>
      </x:c>
      <x:c r="G29" s="74" t="str">
        <x:v>H1</x:v>
      </x:c>
      <x:c r="H29" s="74" t="str">
        <x:v>Woodworking and workholding</x:v>
      </x:c>
      <x:c r="I29" s="74" t="str">
        <x:v>Not a governed weapon</x:v>
      </x:c>
      <x:c r="J29" s="77" t="str">
        <x:v>https://research.fs.usda.gov/treesearch/37424</x:v>
      </x:c>
    </x:row>
    <x:row r="30" ht="40.5" customHeight="1">
      <x:c r="A30" s="74" t="str">
        <x:v>NT-026</x:v>
      </x:c>
      <x:c r="B30" s="74" t="str">
        <x:v>Digging stick</x:v>
      </x:c>
      <x:c r="C30" s="74" t="str">
        <x:v>wood + fire-hardened tip</x:v>
      </x:c>
      <x:c r="D30" s="74" t="str">
        <x:v>Dig tubers; plant; probe soil; open fire pits</x:v>
      </x:c>
      <x:c r="E30" s="74" t="str">
        <x:v>Gardens; clay; latrines; post holes</x:v>
      </x:c>
      <x:c r="F30" s="74" t="str">
        <x:v>Tip blunts; fire hardening can make it brittle</x:v>
      </x:c>
      <x:c r="G30" s="74" t="str">
        <x:v>H0</x:v>
      </x:c>
      <x:c r="H30" s="74" t="str">
        <x:v>Earthwork</x:v>
      </x:c>
      <x:c r="I30" s="74" t="str">
        <x:v>Dual-use staff only</x:v>
      </x:c>
      <x:c r="J30" s="77" t="str">
        <x:v>https://www.si.edu/stories/human-origins-facts</x:v>
      </x:c>
    </x:row>
    <x:row r="31" ht="40.5" customHeight="1">
      <x:c r="A31" s="74" t="str">
        <x:v>NT-027</x:v>
      </x:c>
      <x:c r="B31" s="74" t="str">
        <x:v>Wooden spade</x:v>
      </x:c>
      <x:c r="C31" s="74" t="str">
        <x:v>wood + stone cutter</x:v>
      </x:c>
      <x:c r="D31" s="74" t="str">
        <x:v>Move loose soil; sand; ash; grain</x:v>
      </x:c>
      <x:c r="E31" s="74" t="str">
        <x:v>Ditches; beds; hearth cleaning; storage</x:v>
      </x:c>
      <x:c r="F31" s="74" t="str">
        <x:v>Poor in rocky soil; blade splits along grain</x:v>
      </x:c>
      <x:c r="G31" s="74" t="str">
        <x:v>H1</x:v>
      </x:c>
      <x:c r="H31" s="74" t="str">
        <x:v>Earthwork</x:v>
      </x:c>
      <x:c r="I31" s="74" t="str">
        <x:v>Not a governed weapon</x:v>
      </x:c>
      <x:c r="J31" s="77" t="str">
        <x:v>https://research.fs.usda.gov/fpl/wood-handbook</x:v>
      </x:c>
    </x:row>
    <x:row r="32" ht="40.5" customHeight="1">
      <x:c r="A32" s="74" t="str">
        <x:v>NT-028</x:v>
      </x:c>
      <x:c r="B32" s="74" t="str">
        <x:v>Stone-edged hoe</x:v>
      </x:c>
      <x:c r="C32" s="74" t="str">
        <x:v>wood + stone + fiber</x:v>
      </x:c>
      <x:c r="D32" s="74" t="str">
        <x:v>Weed; loosen soil; scrape mud and shell deposits</x:v>
      </x:c>
      <x:c r="E32" s="74" t="str">
        <x:v>Gardens; salt pans; drainage</x:v>
      </x:c>
      <x:c r="F32" s="74" t="str">
        <x:v>Lashing works loose under twisting loads</x:v>
      </x:c>
      <x:c r="G32" s="74" t="str">
        <x:v>H2</x:v>
      </x:c>
      <x:c r="H32" s="74" t="str">
        <x:v>Earthwork</x:v>
      </x:c>
      <x:c r="I32" s="74" t="str">
        <x:v>Dual-use pole tool</x:v>
      </x:c>
      <x:c r="J32" s="77" t="str">
        <x:v>https://research.fs.usda.gov/fpl/wood-handbook</x:v>
      </x:c>
    </x:row>
    <x:row r="33" ht="40.5" customHeight="1">
      <x:c r="A33" s="74" t="str">
        <x:v>NT-029</x:v>
      </x:c>
      <x:c r="B33" s="74" t="str">
        <x:v>Wooden rake</x:v>
      </x:c>
      <x:c r="C33" s="74" t="str">
        <x:v>wood + pegs + fiber</x:v>
      </x:c>
      <x:c r="D33" s="74" t="str">
        <x:v>Gather leaves; seaweed; thatch; dry material</x:v>
      </x:c>
      <x:c r="E33" s="74" t="str">
        <x:v>Compost; roofing; beach sorting</x:v>
      </x:c>
      <x:c r="F33" s="74" t="str">
        <x:v>Teeth snap under prying; bulky</x:v>
      </x:c>
      <x:c r="G33" s="74" t="str">
        <x:v>H1</x:v>
      </x:c>
      <x:c r="H33" s="74" t="str">
        <x:v>Earthwork</x:v>
      </x:c>
      <x:c r="I33" s="74" t="str">
        <x:v>Not a governed weapon</x:v>
      </x:c>
      <x:c r="J33" s="77" t="str">
        <x:v>https://research.fs.usda.gov/fpl/wood-handbook</x:v>
      </x:c>
    </x:row>
    <x:row r="34" ht="40.5" customHeight="1">
      <x:c r="A34" s="74" t="str">
        <x:v>NT-030</x:v>
      </x:c>
      <x:c r="B34" s="74" t="str">
        <x:v>Split-branch tongs</x:v>
      </x:c>
      <x:c r="C34" s="74" t="str">
        <x:v>wood + fiber hinge</x:v>
      </x:c>
      <x:c r="D34" s="74" t="str">
        <x:v>Handle embers; lift hot stones; hold slippery objects</x:v>
      </x:c>
      <x:c r="E34" s="74" t="str">
        <x:v>Cooking; charcoal; safer fire tending</x:v>
      </x:c>
      <x:c r="F34" s="74" t="str">
        <x:v>Scorches and loses spring; limited grip force</x:v>
      </x:c>
      <x:c r="G34" s="74" t="str">
        <x:v>H1</x:v>
      </x:c>
      <x:c r="H34" s="74" t="str">
        <x:v>Holding and heat</x:v>
      </x:c>
      <x:c r="I34" s="74" t="str">
        <x:v>Not a governed weapon</x:v>
      </x:c>
      <x:c r="J34" s="77" t="str">
        <x:v>https://doi.org/10.1007/s12520-023-01843-z</x:v>
      </x:c>
    </x:row>
    <x:row r="35" ht="40.5" customHeight="1">
      <x:c r="A35" s="74" t="str">
        <x:v>NT-031</x:v>
      </x:c>
      <x:c r="B35" s="74" t="str">
        <x:v>Fiber-padded grip</x:v>
      </x:c>
      <x:c r="C35" s="74" t="str">
        <x:v>fiber + wood wrap</x:v>
      </x:c>
      <x:c r="D35" s="74" t="str">
        <x:v>Back sharp flakes; improve tool grip; reduce blisters</x:v>
      </x:c>
      <x:c r="E35" s="74" t="str">
        <x:v>Safer cutters; longer work sessions</x:v>
      </x:c>
      <x:c r="F35" s="74" t="str">
        <x:v>Rot and slippage when wet; hides damage</x:v>
      </x:c>
      <x:c r="G35" s="74" t="str">
        <x:v>H0</x:v>
      </x:c>
      <x:c r="H35" s="74" t="str">
        <x:v>Holding and heat</x:v>
      </x:c>
      <x:c r="I35" s="74" t="str">
        <x:v>Protective component</x:v>
      </x:c>
      <x:c r="J35" s="77" t="str">
        <x:v>https://pubmed.ncbi.nlm.nih.gov/26387038/</x:v>
      </x:c>
    </x:row>
    <x:row r="36" ht="40.5" customHeight="1">
      <x:c r="A36" s="74" t="str">
        <x:v>NT-032</x:v>
      </x:c>
      <x:c r="B36" s="74" t="str">
        <x:v>Wedge clamp</x:v>
      </x:c>
      <x:c r="C36" s="74" t="str">
        <x:v>wood + fiber</x:v>
      </x:c>
      <x:c r="D36" s="74" t="str">
        <x:v>Hold stock for cutting; glue; drilling; lashing</x:v>
      </x:c>
      <x:c r="E36" s="74" t="str">
        <x:v>Straight cuts; controlled repairs; bench work</x:v>
      </x:c>
      <x:c r="F36" s="74" t="str">
        <x:v>Low force; creeps when wet</x:v>
      </x:c>
      <x:c r="G36" s="74" t="str">
        <x:v>H1</x:v>
      </x:c>
      <x:c r="H36" s="74" t="str">
        <x:v>Woodworking and workholding</x:v>
      </x:c>
      <x:c r="I36" s="74" t="str">
        <x:v>Not a governed weapon</x:v>
      </x:c>
      <x:c r="J36" s="77" t="str">
        <x:v>https://research.fs.usda.gov/treesearch/37424</x:v>
      </x:c>
    </x:row>
    <x:row r="37" ht="40.5" customHeight="1">
      <x:c r="A37" s="74" t="str">
        <x:v>NT-033</x:v>
      </x:c>
      <x:c r="B37" s="74" t="str">
        <x:v>Bench hook and stop set</x:v>
      </x:c>
      <x:c r="C37" s="74" t="str">
        <x:v>wood + pegs</x:v>
      </x:c>
      <x:c r="D37" s="74" t="str">
        <x:v>Resist cutting and planing force; locate repeated parts</x:v>
      </x:c>
      <x:c r="E37" s="74" t="str">
        <x:v>Safer carving; repeatable production</x:v>
      </x:c>
      <x:c r="F37" s="74" t="str">
        <x:v>Peg holes enlarge; wrong grain splits stop</x:v>
      </x:c>
      <x:c r="G37" s="74" t="str">
        <x:v>H2</x:v>
      </x:c>
      <x:c r="H37" s="74" t="str">
        <x:v>Woodworking and workholding</x:v>
      </x:c>
      <x:c r="I37" s="74" t="str">
        <x:v>Not a governed weapon</x:v>
      </x:c>
      <x:c r="J37" s="77" t="str">
        <x:v>https://research.fs.usda.gov/fpl/wood-handbook</x:v>
      </x:c>
    </x:row>
    <x:row r="38" ht="40.5" customHeight="1">
      <x:c r="A38" s="74" t="str">
        <x:v>NT-034</x:v>
      </x:c>
      <x:c r="B38" s="74" t="str">
        <x:v>Cordage tourniquet clamp</x:v>
      </x:c>
      <x:c r="C38" s="74" t="str">
        <x:v>wood + fiber</x:v>
      </x:c>
      <x:c r="D38" s="74" t="str">
        <x:v>Apply controlled compression to bundles and repairs</x:v>
      </x:c>
      <x:c r="E38" s="74" t="str">
        <x:v>Raft lashings; splints; glued wraps</x:v>
      </x:c>
      <x:c r="F38" s="74" t="str">
        <x:v>Can over-tighten and crush fibers or tissue</x:v>
      </x:c>
      <x:c r="G38" s="74" t="str">
        <x:v>H1</x:v>
      </x:c>
      <x:c r="H38" s="74" t="str">
        <x:v>Woodworking and workholding</x:v>
      </x:c>
      <x:c r="I38" s="74" t="str">
        <x:v>Emergency medical use requires knowledge</x:v>
      </x:c>
      <x:c r="J38" s="77" t="str">
        <x:v>https://research.fs.usda.gov/fpl/wood-handbook</x:v>
      </x:c>
    </x:row>
    <x:row r="39" ht="40.5" customHeight="1">
      <x:c r="A39" s="74" t="str">
        <x:v>NT-035</x:v>
      </x:c>
      <x:c r="B39" s="74" t="str">
        <x:v>Hafted stone axe</x:v>
      </x:c>
      <x:c r="C39" s="74" t="str">
        <x:v>wood + stone + fiber</x:v>
      </x:c>
      <x:c r="D39" s="74" t="str">
        <x:v>Fell small trees; limb; split; rough hew</x:v>
      </x:c>
      <x:c r="E39" s="74" t="str">
        <x:v>Timber economy; shelter; boats; fuel</x:v>
      </x:c>
      <x:c r="F39" s="74" t="str">
        <x:v>Head can fly loose; edge and handle track separately</x:v>
      </x:c>
      <x:c r="G39" s="74" t="str">
        <x:v>H2</x:v>
      </x:c>
      <x:c r="H39" s="74" t="str">
        <x:v>Hafted cutting tools</x:v>
      </x:c>
      <x:c r="I39" s="74" t="str">
        <x:v>Dual-use axe; high combat risk</x:v>
      </x:c>
      <x:c r="J39" s="77" t="str">
        <x:v>https://home.nps.gov/articles/000/grooved-axes.htm</x:v>
      </x:c>
    </x:row>
    <x:row r="40" ht="40.5" customHeight="1">
      <x:c r="A40" s="74" t="str">
        <x:v>NT-036</x:v>
      </x:c>
      <x:c r="B40" s="74" t="str">
        <x:v>Hafted stone adze</x:v>
      </x:c>
      <x:c r="C40" s="74" t="str">
        <x:v>wood + stone + fiber</x:v>
      </x:c>
      <x:c r="D40" s="74" t="str">
        <x:v>Hew faces; hollow troughs; flatten boards</x:v>
      </x:c>
      <x:c r="E40" s="74" t="str">
        <x:v>Canoe work; bowls; beams; better benches</x:v>
      </x:c>
      <x:c r="F40" s="74" t="str">
        <x:v>Glancing blows injure legs; lashing loosens</x:v>
      </x:c>
      <x:c r="G40" s="74" t="str">
        <x:v>H2</x:v>
      </x:c>
      <x:c r="H40" s="74" t="str">
        <x:v>Hafted cutting tools</x:v>
      </x:c>
      <x:c r="I40" s="74" t="str">
        <x:v>Dual-use tool</x:v>
      </x:c>
      <x:c r="J40" s="77" t="str">
        <x:v>https://pubmed.ncbi.nlm.nih.gov/26387038/</x:v>
      </x:c>
    </x:row>
    <x:row r="41" ht="40.5" customHeight="1">
      <x:c r="A41" s="74" t="str">
        <x:v>NT-037</x:v>
      </x:c>
      <x:c r="B41" s="74" t="str">
        <x:v>Stone pick and mattock</x:v>
      </x:c>
      <x:c r="C41" s="74" t="str">
        <x:v>wood + stone + fiber</x:v>
      </x:c>
      <x:c r="D41" s="74" t="str">
        <x:v>Break compact soil; pry roots; quarry clay and soft rock</x:v>
      </x:c>
      <x:c r="E41" s="74" t="str">
        <x:v>Drainage; agriculture; mineral access</x:v>
      </x:c>
      <x:c r="F41" s="74" t="str">
        <x:v>Stone head fractures under side loads</x:v>
      </x:c>
      <x:c r="G41" s="74" t="str">
        <x:v>H2</x:v>
      </x:c>
      <x:c r="H41" s="74" t="str">
        <x:v>Hafted cutting tools</x:v>
      </x:c>
      <x:c r="I41" s="74" t="str">
        <x:v>Dual-use pole tool</x:v>
      </x:c>
      <x:c r="J41" s="77" t="str">
        <x:v>https://home.nps.gov/articles/000/grooved-axes.htm</x:v>
      </x:c>
    </x:row>
    <x:row r="42" ht="40.5" customHeight="1">
      <x:c r="A42" s="74" t="str">
        <x:v>NT-038</x:v>
      </x:c>
      <x:c r="B42" s="74" t="str">
        <x:v>Stone chisel</x:v>
      </x:c>
      <x:c r="C42" s="74" t="str">
        <x:v>stone + wood baton</x:v>
      </x:c>
      <x:c r="D42" s="74" t="str">
        <x:v>Cut mortises; split bone; score shell; remove corrosion scale</x:v>
      </x:c>
      <x:c r="E42" s="74" t="str">
        <x:v>Joinery; containers; salvage preparation</x:v>
      </x:c>
      <x:c r="F42" s="74" t="str">
        <x:v>Tip bruises; never use as metal pry bar</x:v>
      </x:c>
      <x:c r="G42" s="74" t="str">
        <x:v>H1</x:v>
      </x:c>
      <x:c r="H42" s="74" t="str">
        <x:v>Hafted cutting tools</x:v>
      </x:c>
      <x:c r="I42" s="74" t="str">
        <x:v>Not a governed weapon</x:v>
      </x:c>
      <x:c r="J42" s="77" t="str">
        <x:v>https://pubmed.ncbi.nlm.nih.gov/26387038/</x:v>
      </x:c>
    </x:row>
    <x:row r="43" ht="40.5" customHeight="1">
      <x:c r="A43" s="74" t="str">
        <x:v>NT-039</x:v>
      </x:c>
      <x:c r="B43" s="74" t="str">
        <x:v>Stone gouge</x:v>
      </x:c>
      <x:c r="C43" s="74" t="str">
        <x:v>stone + fiber grip</x:v>
      </x:c>
      <x:c r="D43" s="74" t="str">
        <x:v>Hollow bowls; channels; ladles; gutters</x:v>
      </x:c>
      <x:c r="E43" s="74" t="str">
        <x:v>Wooden vessels; water management</x:v>
      </x:c>
      <x:c r="F43" s="74" t="str">
        <x:v>Fragile corners; slow in dry hardwood</x:v>
      </x:c>
      <x:c r="G43" s="74" t="str">
        <x:v>H2</x:v>
      </x:c>
      <x:c r="H43" s="74" t="str">
        <x:v>Hafted cutting tools</x:v>
      </x:c>
      <x:c r="I43" s="74" t="str">
        <x:v>Not a governed weapon</x:v>
      </x:c>
      <x:c r="J43" s="77" t="str">
        <x:v>https://pubmed.ncbi.nlm.nih.gov/26387038/</x:v>
      </x:c>
    </x:row>
    <x:row r="44" ht="40.5" customHeight="1">
      <x:c r="A44" s="74" t="str">
        <x:v>NT-040</x:v>
      </x:c>
      <x:c r="B44" s="74" t="str">
        <x:v>Stone drawknife</x:v>
      </x:c>
      <x:c r="C44" s="74" t="str">
        <x:v>stone blade + two wood handles + fiber</x:v>
      </x:c>
      <x:c r="D44" s="74" t="str">
        <x:v>Peel bark; taper shafts; true handles</x:v>
      </x:c>
      <x:c r="E44" s="74" t="str">
        <x:v>Fast pole production; bark sheets; paddles</x:v>
      </x:c>
      <x:c r="F44" s="74" t="str">
        <x:v>Blade breaks if twisted; needs workholding</x:v>
      </x:c>
      <x:c r="G44" s="74" t="str">
        <x:v>H2</x:v>
      </x:c>
      <x:c r="H44" s="74" t="str">
        <x:v>Hafted cutting tools</x:v>
      </x:c>
      <x:c r="I44" s="74" t="str">
        <x:v>Dual-use edge; no combat bonus</x:v>
      </x:c>
      <x:c r="J44" s="77" t="str">
        <x:v>https://pubmed.ncbi.nlm.nih.gov/26387038/</x:v>
      </x:c>
    </x:row>
    <x:row r="45" ht="40.5" customHeight="1">
      <x:c r="A45" s="74" t="str">
        <x:v>NT-041</x:v>
      </x:c>
      <x:c r="B45" s="74" t="str">
        <x:v>Abrasive cord saw</x:v>
      </x:c>
      <x:c r="C45" s="74" t="str">
        <x:v>fiber cord + sand + wood handles</x:v>
      </x:c>
      <x:c r="D45" s="74" t="str">
        <x:v>Friction-cut shell; bone; soft wood; plastic salvage</x:v>
      </x:c>
      <x:c r="E45" s="74" t="str">
        <x:v>Rings; slots; controlled cuts where flakes cannot reach</x:v>
      </x:c>
      <x:c r="F45" s="74" t="str">
        <x:v>Consumes cord; heat damages polymer; slow</x:v>
      </x:c>
      <x:c r="G45" s="74" t="str">
        <x:v>H2</x:v>
      </x:c>
      <x:c r="H45" s="74" t="str">
        <x:v>Hafted cutting tools</x:v>
      </x:c>
      <x:c r="I45" s="74" t="str">
        <x:v>Not a governed weapon</x:v>
      </x:c>
      <x:c r="J45" s="77" t="str">
        <x:v>https://www.si.edu/stories/human-origins-facts</x:v>
      </x:c>
    </x:row>
    <x:row r="46" ht="40.5" customHeight="1">
      <x:c r="A46" s="74" t="str">
        <x:v>NT-042</x:v>
      </x:c>
      <x:c r="B46" s="74" t="str">
        <x:v>Hand brace with stone bit</x:v>
      </x:c>
      <x:c r="C46" s="74" t="str">
        <x:v>wood + stone + fiber</x:v>
      </x:c>
      <x:c r="D46" s="74" t="str">
        <x:v>Bore aligned larger holes with two-hand control</x:v>
      </x:c>
      <x:c r="E46" s="74" t="str">
        <x:v>Peg frames; pulleys; pipe seats; pump parts</x:v>
      </x:c>
      <x:c r="F46" s="74" t="str">
        <x:v>Bit wanders; brace joint loosens</x:v>
      </x:c>
      <x:c r="G46" s="74" t="str">
        <x:v>H2</x:v>
      </x:c>
      <x:c r="H46" s="74" t="str">
        <x:v>Hafted cutting tools</x:v>
      </x:c>
      <x:c r="I46" s="74" t="str">
        <x:v>Not a governed weapon</x:v>
      </x:c>
      <x:c r="J46" s="77" t="str">
        <x:v>https://research.fs.usda.gov/fpl/wood-handbook</x:v>
      </x:c>
    </x:row>
    <x:row r="47" ht="40.5" customHeight="1">
      <x:c r="A47" s="74" t="str">
        <x:v>NT-043</x:v>
      </x:c>
      <x:c r="B47" s="74" t="str">
        <x:v>Hand drill</x:v>
      </x:c>
      <x:c r="C47" s="74" t="str">
        <x:v>wood shaft + fiber hand pad</x:v>
      </x:c>
      <x:c r="D47" s="74" t="str">
        <x:v>Start fire sockets; perforate shell and soft wood</x:v>
      </x:c>
      <x:c r="E47" s="74" t="str">
        <x:v>Beads; hooks; joinery starts</x:v>
      </x:c>
      <x:c r="F47" s="74" t="str">
        <x:v>Palm injury; low torque; shaft must stay straight</x:v>
      </x:c>
      <x:c r="G47" s="74" t="str">
        <x:v>H1</x:v>
      </x:c>
      <x:c r="H47" s="74" t="str">
        <x:v>Rotary and fire tools</x:v>
      </x:c>
      <x:c r="I47" s="74" t="str">
        <x:v>Not a governed weapon</x:v>
      </x:c>
      <x:c r="J47" s="77" t="str">
        <x:v>https://humanorigins.si.edu/evidence/behavior/stone-tools</x:v>
      </x:c>
    </x:row>
    <x:row r="48" ht="40.5" customHeight="1">
      <x:c r="A48" s="74" t="str">
        <x:v>NT-044</x:v>
      </x:c>
      <x:c r="B48" s="74" t="str">
        <x:v>Bow drill</x:v>
      </x:c>
      <x:c r="C48" s="74" t="str">
        <x:v>wood + fiber + stone bearing</x:v>
      </x:c>
      <x:c r="D48" s="74" t="str">
        <x:v>Produce ember; bore repeated holes</x:v>
      </x:c>
      <x:c r="E48" s="74" t="str">
        <x:v>Reliable fire; tool handles; traps</x:v>
      </x:c>
      <x:c r="F48" s="74" t="str">
        <x:v>Cord wears; bearing overheats; needs dry tinder</x:v>
      </x:c>
      <x:c r="G48" s="74" t="str">
        <x:v>H2</x:v>
      </x:c>
      <x:c r="H48" s="74" t="str">
        <x:v>Rotary and fire tools</x:v>
      </x:c>
      <x:c r="I48" s="74" t="str">
        <x:v>Bow is a tool, not weapon</x:v>
      </x:c>
      <x:c r="J48" s="77" t="str">
        <x:v>https://www.si.edu/stories/human-origins-facts</x:v>
      </x:c>
    </x:row>
    <x:row r="49" ht="40.5" customHeight="1">
      <x:c r="A49" s="74" t="str">
        <x:v>NT-045</x:v>
      </x:c>
      <x:c r="B49" s="74" t="str">
        <x:v>Pump drill</x:v>
      </x:c>
      <x:c r="C49" s="74" t="str">
        <x:v>wood + fiber + stone flywheel</x:v>
      </x:c>
      <x:c r="D49" s="74" t="str">
        <x:v>Higher-speed boring of shell; bone; soft metal salvage</x:v>
      </x:c>
      <x:c r="E49" s="74" t="str">
        <x:v>Needles; buttons; small hardware; repair</x:v>
      </x:c>
      <x:c r="F49" s="74" t="str">
        <x:v>Complex alignment; flywheel can detach</x:v>
      </x:c>
      <x:c r="G49" s="74" t="str">
        <x:v>H3</x:v>
      </x:c>
      <x:c r="H49" s="74" t="str">
        <x:v>Rotary and fire tools</x:v>
      </x:c>
      <x:c r="I49" s="74" t="str">
        <x:v>Not a governed weapon</x:v>
      </x:c>
      <x:c r="J49" s="77" t="str">
        <x:v>https://humanorigins.si.edu/evidence/behavior/stone-tools</x:v>
      </x:c>
    </x:row>
    <x:row r="50" ht="40.5" customHeight="1">
      <x:c r="A50" s="74" t="str">
        <x:v>NT-046</x:v>
      </x:c>
      <x:c r="B50" s="74" t="str">
        <x:v>Fire plough</x:v>
      </x:c>
      <x:c r="C50" s="74" t="str">
        <x:v>two dry wood pieces</x:v>
      </x:c>
      <x:c r="D50" s="74" t="str">
        <x:v>Generate ember without cord; test tinder and wood pairs</x:v>
      </x:c>
      <x:c r="E50" s="74" t="str">
        <x:v>Fire independence when fiber is scarce</x:v>
      </x:c>
      <x:c r="F50" s="74" t="str">
        <x:v>High stamina; fails when wood is damp or resinous</x:v>
      </x:c>
      <x:c r="G50" s="74" t="str">
        <x:v>H1</x:v>
      </x:c>
      <x:c r="H50" s="74" t="str">
        <x:v>Rotary and fire tools</x:v>
      </x:c>
      <x:c r="I50" s="74" t="str">
        <x:v>Not a governed weapon</x:v>
      </x:c>
      <x:c r="J50" s="77" t="str">
        <x:v>https://www.si.edu/stories/human-origins-facts</x:v>
      </x:c>
    </x:row>
    <x:row r="51" ht="40.5" customHeight="1">
      <x:c r="A51" s="74" t="str">
        <x:v>NT-047</x:v>
      </x:c>
      <x:c r="B51" s="74" t="str">
        <x:v>Drop spindle</x:v>
      </x:c>
      <x:c r="C51" s="74" t="str">
        <x:v>wood + stone whorl</x:v>
      </x:c>
      <x:c r="D51" s="74" t="str">
        <x:v>Twist plant fiber into consistent yarn</x:v>
      </x:c>
      <x:c r="E51" s="74" t="str">
        <x:v>Thread; nets; sewing; stronger cord</x:v>
      </x:c>
      <x:c r="F51" s="74" t="str">
        <x:v>Uneven fiber creates weak thin points</x:v>
      </x:c>
      <x:c r="G51" s="74" t="str">
        <x:v>H1</x:v>
      </x:c>
      <x:c r="H51" s="74" t="str">
        <x:v>Fiber and textile tools</x:v>
      </x:c>
      <x:c r="I51" s="74" t="str">
        <x:v>Not a governed weapon</x:v>
      </x:c>
      <x:c r="J51" s="77" t="str">
        <x:v>https://www.fao.org/4/y3612e/y3612e03.htm</x:v>
      </x:c>
    </x:row>
    <x:row r="52" ht="40.5" customHeight="1">
      <x:c r="A52" s="74" t="str">
        <x:v>NT-048</x:v>
      </x:c>
      <x:c r="B52" s="74" t="str">
        <x:v>Rope-twisting hook</x:v>
      </x:c>
      <x:c r="C52" s="74" t="str">
        <x:v>wood + fiber</x:v>
      </x:c>
      <x:c r="D52" s="74" t="str">
        <x:v>Lay multiple yarns into rope; maintain twist</x:v>
      </x:c>
      <x:c r="E52" s="74" t="str">
        <x:v>Load cord; rigging; hauling</x:v>
      </x:c>
      <x:c r="F52" s="74" t="str">
        <x:v>Kinks and hidden weak strands; needs proof load</x:v>
      </x:c>
      <x:c r="G52" s="74" t="str">
        <x:v>H2</x:v>
      </x:c>
      <x:c r="H52" s="74" t="str">
        <x:v>Fiber and textile tools</x:v>
      </x:c>
      <x:c r="I52" s="74" t="str">
        <x:v>Not a governed weapon</x:v>
      </x:c>
      <x:c r="J52" s="77" t="str">
        <x:v>https://www.fao.org/4/y3612e/y3612e03.htm</x:v>
      </x:c>
    </x:row>
    <x:row r="53" ht="40.5" customHeight="1">
      <x:c r="A53" s="74" t="str">
        <x:v>NT-049</x:v>
      </x:c>
      <x:c r="B53" s="74" t="str">
        <x:v>Netting shuttle</x:v>
      </x:c>
      <x:c r="C53" s="74" t="str">
        <x:v>wood</x:v>
      </x:c>
      <x:c r="D53" s="74" t="str">
        <x:v>Carry twine through meshes rapidly</x:v>
      </x:c>
      <x:c r="E53" s="74" t="str">
        <x:v>Fishing nets; hammocks; cargo nets</x:v>
      </x:c>
      <x:c r="F53" s="74" t="str">
        <x:v>Snags if rough; mesh varies without gauge</x:v>
      </x:c>
      <x:c r="G53" s="74" t="str">
        <x:v>H1</x:v>
      </x:c>
      <x:c r="H53" s="74" t="str">
        <x:v>Fiber and textile tools</x:v>
      </x:c>
      <x:c r="I53" s="74" t="str">
        <x:v>Not a governed weapon</x:v>
      </x:c>
      <x:c r="J53" s="77" t="str">
        <x:v>https://www.fao.org/4/y3612e/y3612e03.htm</x:v>
      </x:c>
    </x:row>
    <x:row r="54" ht="40.5" customHeight="1">
      <x:c r="A54" s="74" t="str">
        <x:v>NT-050</x:v>
      </x:c>
      <x:c r="B54" s="74" t="str">
        <x:v>Net gauge</x:v>
      </x:c>
      <x:c r="C54" s="74" t="str">
        <x:v>wood</x:v>
      </x:c>
      <x:c r="D54" s="74" t="str">
        <x:v>Keep mesh size consistent</x:v>
      </x:c>
      <x:c r="E54" s="74" t="str">
        <x:v>Species-selective nets; bags; traps</x:v>
      </x:c>
      <x:c r="F54" s="74" t="str">
        <x:v>Wrong gauge causes unwanted catch or weak net</x:v>
      </x:c>
      <x:c r="G54" s="74" t="str">
        <x:v>H2</x:v>
      </x:c>
      <x:c r="H54" s="74" t="str">
        <x:v>Fiber and textile tools</x:v>
      </x:c>
      <x:c r="I54" s="74" t="str">
        <x:v>Not a governed weapon</x:v>
      </x:c>
      <x:c r="J54" s="77" t="str">
        <x:v>https://www.fao.org/4/y3612e/y3612e03.htm</x:v>
      </x:c>
    </x:row>
    <x:row r="55" ht="40.5" customHeight="1">
      <x:c r="A55" s="74" t="str">
        <x:v>NT-051</x:v>
      </x:c>
      <x:c r="B55" s="74" t="str">
        <x:v>Weaving beater</x:v>
      </x:c>
      <x:c r="C55" s="74" t="str">
        <x:v>wood</x:v>
      </x:c>
      <x:c r="D55" s="74" t="str">
        <x:v>Pack fibers in mats; baskets; bark cloth panels</x:v>
      </x:c>
      <x:c r="E55" s="74" t="str">
        <x:v>Roofing mats; sails; screens; bedding</x:v>
      </x:c>
      <x:c r="F55" s="74" t="str">
        <x:v>Splinters snag fiber; repetitive strain</x:v>
      </x:c>
      <x:c r="G55" s="74" t="str">
        <x:v>H1</x:v>
      </x:c>
      <x:c r="H55" s="74" t="str">
        <x:v>Fiber and textile tools</x:v>
      </x:c>
      <x:c r="I55" s="74" t="str">
        <x:v>Not a governed weapon</x:v>
      </x:c>
      <x:c r="J55" s="77" t="str">
        <x:v>https://www.fao.org/4/y3612e/y3612e03.htm</x:v>
      </x:c>
    </x:row>
    <x:row r="56" ht="40.5" customHeight="1">
      <x:c r="A56" s="74" t="str">
        <x:v>NT-052</x:v>
      </x:c>
      <x:c r="B56" s="74" t="str">
        <x:v>Wooden sewing needle</x:v>
      </x:c>
      <x:c r="C56" s="74" t="str">
        <x:v>wood + stone drill</x:v>
      </x:c>
      <x:c r="D56" s="74" t="str">
        <x:v>Stitch broad holes in mats; bark cloth; net repairs</x:v>
      </x:c>
      <x:c r="E56" s="74" t="str">
        <x:v>Bags; filters; shade; bedding</x:v>
      </x:c>
      <x:c r="F56" s="74" t="str">
        <x:v>Too thick for leather or tight cloth; eye splits</x:v>
      </x:c>
      <x:c r="G56" s="74" t="str">
        <x:v>H1</x:v>
      </x:c>
      <x:c r="H56" s="74" t="str">
        <x:v>Fiber and textile tools</x:v>
      </x:c>
      <x:c r="I56" s="74" t="str">
        <x:v>Not a governed weapon</x:v>
      </x:c>
      <x:c r="J56" s="77" t="str">
        <x:v>https://humanorigins.si.edu/evidence/behavior/stone-tools</x:v>
      </x:c>
    </x:row>
    <x:row r="57" ht="40.5" customHeight="1">
      <x:c r="A57" s="74" t="str">
        <x:v>NT-053</x:v>
      </x:c>
      <x:c r="B57" s="74" t="str">
        <x:v>Basketmaker bodkin</x:v>
      </x:c>
      <x:c r="C57" s="74" t="str">
        <x:v>wood + stone tip</x:v>
      </x:c>
      <x:c r="D57" s="74" t="str">
        <x:v>Open weave; tuck fiber ends; untie knots</x:v>
      </x:c>
      <x:c r="E57" s="74" t="str">
        <x:v>Baskets; rope repair; salvage rigging</x:v>
      </x:c>
      <x:c r="F57" s="74" t="str">
        <x:v>Point dulls; prying breaks it</x:v>
      </x:c>
      <x:c r="G57" s="74" t="str">
        <x:v>H1</x:v>
      </x:c>
      <x:c r="H57" s="74" t="str">
        <x:v>Fiber and textile tools</x:v>
      </x:c>
      <x:c r="I57" s="74" t="str">
        <x:v>Not a governed weapon</x:v>
      </x:c>
      <x:c r="J57" s="77" t="str">
        <x:v>https://www.fao.org/4/y3612e/y3612e03.htm</x:v>
      </x:c>
    </x:row>
    <x:row r="58" ht="40.5" customHeight="1">
      <x:c r="A58" s="74" t="str">
        <x:v>NT-054</x:v>
      </x:c>
      <x:c r="B58" s="74" t="str">
        <x:v>Measuring cord</x:v>
      </x:c>
      <x:c r="C58" s="74" t="str">
        <x:v>fiber + wood markers</x:v>
      </x:c>
      <x:c r="D58" s="74" t="str">
        <x:v>Transfer length; radius; circumference; straight lines</x:v>
      </x:c>
      <x:c r="E58" s="74" t="str">
        <x:v>Repeatable parts; shelter layout; boat repair</x:v>
      </x:c>
      <x:c r="F58" s="74" t="str">
        <x:v>Cord stretch changes calibration when wet</x:v>
      </x:c>
      <x:c r="G58" s="74" t="str">
        <x:v>H1</x:v>
      </x:c>
      <x:c r="H58" s="74" t="str">
        <x:v>Measurement and layout</x:v>
      </x:c>
      <x:c r="I58" s="74" t="str">
        <x:v>Not a governed weapon</x:v>
      </x:c>
      <x:c r="J58" s="77" t="str">
        <x:v>https://research.fs.usda.gov/fpl/wood-handbook</x:v>
      </x:c>
    </x:row>
    <x:row r="59" ht="40.5" customHeight="1">
      <x:c r="A59" s="74" t="str">
        <x:v>NT-055</x:v>
      </x:c>
      <x:c r="B59" s="74" t="str">
        <x:v>Plumb line</x:v>
      </x:c>
      <x:c r="C59" s="74" t="str">
        <x:v>fiber + stone weight</x:v>
      </x:c>
      <x:c r="D59" s="74" t="str">
        <x:v>Check vertical; establish depth; sound shallow water</x:v>
      </x:c>
      <x:c r="E59" s="74" t="str">
        <x:v>Straight posts; wells; anchors</x:v>
      </x:c>
      <x:c r="F59" s="74" t="str">
        <x:v>Wind and current bias reading</x:v>
      </x:c>
      <x:c r="G59" s="74" t="str">
        <x:v>H1</x:v>
      </x:c>
      <x:c r="H59" s="74" t="str">
        <x:v>Measurement and layout</x:v>
      </x:c>
      <x:c r="I59" s="74" t="str">
        <x:v>Not a governed weapon</x:v>
      </x:c>
      <x:c r="J59" s="77" t="str">
        <x:v>https://research.fs.usda.gov/fpl/wood-handbook</x:v>
      </x:c>
    </x:row>
    <x:row r="60" ht="40.5" customHeight="1">
      <x:c r="A60" s="74" t="str">
        <x:v>NT-056</x:v>
      </x:c>
      <x:c r="B60" s="74" t="str">
        <x:v>Wooden try square</x:v>
      </x:c>
      <x:c r="C60" s="74" t="str">
        <x:v>wood + peg + fiber proof cord</x:v>
      </x:c>
      <x:c r="D60" s="74" t="str">
        <x:v>Mark right angles; check frames and panels</x:v>
      </x:c>
      <x:c r="E60" s="74" t="str">
        <x:v>Better boxes; doors; solar frames; machinery bases</x:v>
      </x:c>
      <x:c r="F60" s="74" t="str">
        <x:v>Only trustworthy after diagonal proof</x:v>
      </x:c>
      <x:c r="G60" s="74" t="str">
        <x:v>H2</x:v>
      </x:c>
      <x:c r="H60" s="74" t="str">
        <x:v>Measurement and layout</x:v>
      </x:c>
      <x:c r="I60" s="74" t="str">
        <x:v>Not a governed weapon</x:v>
      </x:c>
      <x:c r="J60" s="77" t="str">
        <x:v>https://research.fs.usda.gov/fpl/wood-handbook</x:v>
      </x:c>
    </x:row>
    <x:row r="61" ht="40.5" customHeight="1">
      <x:c r="A61" s="74" t="str">
        <x:v>NT-057</x:v>
      </x:c>
      <x:c r="B61" s="74" t="str">
        <x:v>Winding sticks</x:v>
      </x:c>
      <x:c r="C61" s="74" t="str">
        <x:v>two straight wood slats</x:v>
      </x:c>
      <x:c r="D61" s="74" t="str">
        <x:v>Reveal twist in boards and work surfaces</x:v>
      </x:c>
      <x:c r="E61" s="74" t="str">
        <x:v>Flat benches; aligned engine and generator mounts</x:v>
      </x:c>
      <x:c r="F61" s="74" t="str">
        <x:v>Bad sight line or warped sticks mislead</x:v>
      </x:c>
      <x:c r="G61" s="74" t="str">
        <x:v>H2</x:v>
      </x:c>
      <x:c r="H61" s="74" t="str">
        <x:v>Measurement and layout</x:v>
      </x:c>
      <x:c r="I61" s="74" t="str">
        <x:v>Not a governed weapon</x:v>
      </x:c>
      <x:c r="J61" s="77" t="str">
        <x:v>https://research.fs.usda.gov/fpl/wood-handbook</x:v>
      </x:c>
    </x:row>
    <x:row r="62" ht="40.5" customHeight="1">
      <x:c r="A62" s="74" t="str">
        <x:v>NT-058</x:v>
      </x:c>
      <x:c r="B62" s="74" t="str">
        <x:v>Work mat</x:v>
      </x:c>
      <x:c r="C62" s="74" t="str">
        <x:v>woven fiber</x:v>
      </x:c>
      <x:c r="D62" s="74" t="str">
        <x:v>Clean surface; catch small parts; sort food from grit</x:v>
      </x:c>
      <x:c r="E62" s="74" t="str">
        <x:v>Toolmaking; sewing; fastener recovery</x:v>
      </x:c>
      <x:c r="F62" s="74" t="str">
        <x:v>Hides sharp debris; rots if stored wet</x:v>
      </x:c>
      <x:c r="G62" s="74" t="str">
        <x:v>H0</x:v>
      </x:c>
      <x:c r="H62" s="74" t="str">
        <x:v>Measurement and layout</x:v>
      </x:c>
      <x:c r="I62" s="74" t="str">
        <x:v>Not a governed weapon</x:v>
      </x:c>
      <x:c r="J62" s="77" t="str">
        <x:v>https://www.fao.org/4/y3612e/y3612e03.htm</x:v>
      </x:c>
    </x:row>
    <x:row r="63" ht="40.5" customHeight="1">
      <x:c r="A63" s="74" t="str">
        <x:v>NT-059</x:v>
      </x:c>
      <x:c r="B63" s="74" t="str">
        <x:v>Coconut shell cup</x:v>
      </x:c>
      <x:c r="C63" s="74" t="str">
        <x:v>coconut half + fiber grip</x:v>
      </x:c>
      <x:c r="D63" s="74" t="str">
        <x:v>Drink; measure; collect rain; scoop dry goods</x:v>
      </x:c>
      <x:c r="E63" s="74" t="str">
        <x:v>Portioning; seed storage; resin mixing</x:v>
      </x:c>
      <x:c r="F63" s="74" t="str">
        <x:v>Cracks after impacts or thermal cycling</x:v>
      </x:c>
      <x:c r="G63" s="74" t="str">
        <x:v>H0</x:v>
      </x:c>
      <x:c r="H63" s="74" t="str">
        <x:v>Whole-use coconut tools</x:v>
      </x:c>
      <x:c r="I63" s="74" t="str">
        <x:v>Not a governed weapon</x:v>
      </x:c>
      <x:c r="J63" s="77" t="str">
        <x:v>https://www.fao.org/4/y3612e/y3612e03.htm</x:v>
      </x:c>
    </x:row>
    <x:row r="64" ht="40.5" customHeight="1">
      <x:c r="A64" s="74" t="str">
        <x:v>NT-060</x:v>
      </x:c>
      <x:c r="B64" s="74" t="str">
        <x:v>Coconut shell ladle</x:v>
      </x:c>
      <x:c r="C64" s="74" t="str">
        <x:v>coconut half + wood handle + fiber</x:v>
      </x:c>
      <x:c r="D64" s="74" t="str">
        <x:v>Transfer hot or cold water; serve food; bail small craft</x:v>
      </x:c>
      <x:c r="E64" s="74" t="str">
        <x:v>Safer cooking; hygiene; resin work</x:v>
      </x:c>
      <x:c r="F64" s="74" t="str">
        <x:v>Handle lashing chars; shell can split</x:v>
      </x:c>
      <x:c r="G64" s="74" t="str">
        <x:v>H1</x:v>
      </x:c>
      <x:c r="H64" s="74" t="str">
        <x:v>Whole-use coconut tools</x:v>
      </x:c>
      <x:c r="I64" s="74" t="str">
        <x:v>Not a governed weapon</x:v>
      </x:c>
      <x:c r="J64" s="77" t="str">
        <x:v>https://www.fao.org/4/y3612e/y3612e03.htm</x:v>
      </x:c>
    </x:row>
    <x:row r="65" ht="40.5" customHeight="1">
      <x:c r="A65" s="74" t="str">
        <x:v>NT-061</x:v>
      </x:c>
      <x:c r="B65" s="74" t="str">
        <x:v>Coconut hot-stone boiler</x:v>
      </x:c>
      <x:c r="C65" s="74" t="str">
        <x:v>clean coconut shell + hot stones + fiber cradle</x:v>
      </x:c>
      <x:c r="D65" s="74" t="str">
        <x:v>Heat and sometimes boil small water volumes indirectly</x:v>
      </x:c>
      <x:c r="E65" s="74" t="str">
        <x:v>Early water treatment; broth; warm washing water</x:v>
      </x:c>
      <x:c r="F65" s="74" t="str">
        <x:v>Thermal shock; ash contamination; limited volume; inspect every use</x:v>
      </x:c>
      <x:c r="G65" s="74" t="str">
        <x:v>H2</x:v>
      </x:c>
      <x:c r="H65" s="74" t="str">
        <x:v>Whole-use coconut tools</x:v>
      </x:c>
      <x:c r="I65" s="74" t="str">
        <x:v>Not a governed weapon</x:v>
      </x:c>
      <x:c r="J65" s="77" t="str">
        <x:v>https://doi.org/10.1007/s12520-023-01843-z</x:v>
      </x:c>
    </x:row>
    <x:row r="66" ht="40.5" customHeight="1">
      <x:c r="A66" s="74" t="str">
        <x:v>NT-062</x:v>
      </x:c>
      <x:c r="B66" s="74" t="str">
        <x:v>Coconut shell oil lamp</x:v>
      </x:c>
      <x:c r="C66" s="74" t="str">
        <x:v>coconut half + fiber wick + animal or plant oil</x:v>
      </x:c>
      <x:c r="D66" s="74" t="str">
        <x:v>Low light; ember transfer; task lighting</x:v>
      </x:c>
      <x:c r="E66" s="74" t="str">
        <x:v>Night crafting; signals; guarded work area</x:v>
      </x:c>
      <x:c r="F66" s="74" t="str">
        <x:v>Open flame; spills; soot; attracts attention</x:v>
      </x:c>
      <x:c r="G66" s="74" t="str">
        <x:v>H1</x:v>
      </x:c>
      <x:c r="H66" s="74" t="str">
        <x:v>Whole-use coconut tools</x:v>
      </x:c>
      <x:c r="I66" s="74" t="str">
        <x:v>Fire hazard</x:v>
      </x:c>
      <x:c r="J66" s="77" t="str">
        <x:v>https://www.fao.org/4/y3612e/y3612e03.htm</x:v>
      </x:c>
    </x:row>
    <x:row r="67" ht="40.5" customHeight="1">
      <x:c r="A67" s="74" t="str">
        <x:v>NT-063</x:v>
      </x:c>
      <x:c r="B67" s="74" t="str">
        <x:v>Coconut shell canteen</x:v>
      </x:c>
      <x:c r="C67" s="74" t="str">
        <x:v>two shell halves + fiber hinge + carved stopper</x:v>
      </x:c>
      <x:c r="D67" s="74" t="str">
        <x:v>Carry a small reserve of water or dry tinder</x:v>
      </x:c>
      <x:c r="E67" s="74" t="str">
        <x:v>Mobility; emergency cache</x:v>
      </x:c>
      <x:c r="F67" s="74" t="str">
        <x:v>Difficult seal; not long-term sterile storage</x:v>
      </x:c>
      <x:c r="G67" s="74" t="str">
        <x:v>H2</x:v>
      </x:c>
      <x:c r="H67" s="74" t="str">
        <x:v>Whole-use coconut tools</x:v>
      </x:c>
      <x:c r="I67" s="74" t="str">
        <x:v>Not a governed weapon</x:v>
      </x:c>
      <x:c r="J67" s="77" t="str">
        <x:v>https://www.fao.org/4/y3612e/y3612e03.htm</x:v>
      </x:c>
    </x:row>
    <x:row r="68" ht="40.5" customHeight="1">
      <x:c r="A68" s="74" t="str">
        <x:v>NT-064</x:v>
      </x:c>
      <x:c r="B68" s="74" t="str">
        <x:v>Pot suspension tripod</x:v>
      </x:c>
      <x:c r="C68" s="74" t="str">
        <x:v>three wood poles + fiber</x:v>
      </x:c>
      <x:c r="D68" s="74" t="str">
        <x:v>Suspend shell; hide vessel; or salvaged pot over heat</x:v>
      </x:c>
      <x:c r="E68" s="74" t="str">
        <x:v>Controlled cooking height; drying; smoking</x:v>
      </x:c>
      <x:c r="F68" s="74" t="str">
        <x:v>Lashing failure drops hot contents</x:v>
      </x:c>
      <x:c r="G68" s="74" t="str">
        <x:v>H1</x:v>
      </x:c>
      <x:c r="H68" s="74" t="str">
        <x:v>Cooking and water tools</x:v>
      </x:c>
      <x:c r="I68" s="74" t="str">
        <x:v>Not a governed weapon</x:v>
      </x:c>
      <x:c r="J68" s="77" t="str">
        <x:v>https://doi.org/10.1007/s12520-023-01843-z</x:v>
      </x:c>
    </x:row>
    <x:row r="69" ht="40.5" customHeight="1">
      <x:c r="A69" s="74" t="str">
        <x:v>NT-065</x:v>
      </x:c>
      <x:c r="B69" s="74" t="str">
        <x:v>Hot-stone basket cradle</x:v>
      </x:c>
      <x:c r="C69" s="74" t="str">
        <x:v>wood frame + fiber basket + stones</x:v>
      </x:c>
      <x:c r="D69" s="74" t="str">
        <x:v>Support organic vessel; rotate heated stones; drain foods</x:v>
      </x:c>
      <x:c r="E69" s="74" t="str">
        <x:v>Wet cooking; rendering; washing</x:v>
      </x:c>
      <x:c r="F69" s="74" t="str">
        <x:v>Basket scorching; stone fracture; contamination</x:v>
      </x:c>
      <x:c r="G69" s="74" t="str">
        <x:v>H2</x:v>
      </x:c>
      <x:c r="H69" s="74" t="str">
        <x:v>Cooking and water tools</x:v>
      </x:c>
      <x:c r="I69" s="74" t="str">
        <x:v>Not a governed weapon</x:v>
      </x:c>
      <x:c r="J69" s="77" t="str">
        <x:v>https://doi.org/10.1007/s12520-023-01843-z</x:v>
      </x:c>
    </x:row>
    <x:row r="70" ht="40.5" customHeight="1">
      <x:c r="A70" s="74" t="str">
        <x:v>NT-066</x:v>
      </x:c>
      <x:c r="B70" s="74" t="str">
        <x:v>Stone-lined hearth</x:v>
      </x:c>
      <x:c r="C70" s="74" t="str">
        <x:v>stone + wood fuel + fiber tinder</x:v>
      </x:c>
      <x:c r="D70" s="74" t="str">
        <x:v>Contain fire; support pots; retain heat</x:v>
      </x:c>
      <x:c r="E70" s="74" t="str">
        <x:v>Cooking; charcoal; tool drying</x:v>
      </x:c>
      <x:c r="F70" s="74" t="str">
        <x:v>Wet or porous stones may crack; smoke exposure</x:v>
      </x:c>
      <x:c r="G70" s="74" t="str">
        <x:v>H1</x:v>
      </x:c>
      <x:c r="H70" s="74" t="str">
        <x:v>Cooking and water tools</x:v>
      </x:c>
      <x:c r="I70" s="74" t="str">
        <x:v>Fire hazard</x:v>
      </x:c>
      <x:c r="J70" s="77" t="str">
        <x:v>https://doi.org/10.1007/s12520-023-01843-z</x:v>
      </x:c>
    </x:row>
    <x:row r="71" ht="40.5" customHeight="1">
      <x:c r="A71" s="74" t="str">
        <x:v>NT-067</x:v>
      </x:c>
      <x:c r="B71" s="74" t="str">
        <x:v>Fiber water prefilter</x:v>
      </x:c>
      <x:c r="C71" s="74" t="str">
        <x:v>woven fiber + clean sand support</x:v>
      </x:c>
      <x:c r="D71" s="74" t="str">
        <x:v>Remove leaves and coarse sediment before treatment</x:v>
      </x:c>
      <x:c r="E71" s="74" t="str">
        <x:v>Clearer boiling water; prolong later filters</x:v>
      </x:c>
      <x:c r="F71" s="74" t="str">
        <x:v>Does not disinfect or remove dissolved toxins</x:v>
      </x:c>
      <x:c r="G71" s="74" t="str">
        <x:v>H1</x:v>
      </x:c>
      <x:c r="H71" s="74" t="str">
        <x:v>Cooking and water tools</x:v>
      </x:c>
      <x:c r="I71" s="74" t="str">
        <x:v>Not protective by itself</x:v>
      </x:c>
      <x:c r="J71" s="77" t="str">
        <x:v>https://www.fao.org/4/y3612e/y3612e03.htm</x:v>
      </x:c>
    </x:row>
    <x:row r="72" ht="40.5" customHeight="1">
      <x:c r="A72" s="74" t="str">
        <x:v>NT-068</x:v>
      </x:c>
      <x:c r="B72" s="74" t="str">
        <x:v>Rain-catch funnel</x:v>
      </x:c>
      <x:c r="C72" s="74" t="str">
        <x:v>woven leaves or fiber + wood frame</x:v>
      </x:c>
      <x:c r="D72" s="74" t="str">
        <x:v>Direct rain into shell; vessel; or tank</x:v>
      </x:c>
      <x:c r="E72" s="74" t="str">
        <x:v>Passive freshwater collection</x:v>
      </x:c>
      <x:c r="F72" s="74" t="str">
        <x:v>Contamination from bird droppings and first flush</x:v>
      </x:c>
      <x:c r="G72" s="74" t="str">
        <x:v>H1</x:v>
      </x:c>
      <x:c r="H72" s="74" t="str">
        <x:v>Cooking and water tools</x:v>
      </x:c>
      <x:c r="I72" s="74" t="str">
        <x:v>Not a governed weapon</x:v>
      </x:c>
      <x:c r="J72" s="77" t="str">
        <x:v>https://www.fao.org/4/y3612e/y3612e03.htm</x:v>
      </x:c>
    </x:row>
    <x:row r="73" ht="40.5" customHeight="1">
      <x:c r="A73" s="74" t="str">
        <x:v>NT-069</x:v>
      </x:c>
      <x:c r="B73" s="74" t="str">
        <x:v>Fish-cleaning board</x:v>
      </x:c>
      <x:c r="C73" s="74" t="str">
        <x:v>wood + stone scraper</x:v>
      </x:c>
      <x:c r="D73" s="74" t="str">
        <x:v>Separate clean food work from dirty ground; pin fish</x:v>
      </x:c>
      <x:c r="E73" s="74" t="str">
        <x:v>Hygiene; filleting; drying racks</x:v>
      </x:c>
      <x:c r="F73" s="74" t="str">
        <x:v>Porous wood retains residue; must scrub and dry</x:v>
      </x:c>
      <x:c r="G73" s="74" t="str">
        <x:v>H1</x:v>
      </x:c>
      <x:c r="H73" s="74" t="str">
        <x:v>Food and hunting tools</x:v>
      </x:c>
      <x:c r="I73" s="74" t="str">
        <x:v>Not a governed weapon</x:v>
      </x:c>
      <x:c r="J73" s="77" t="str">
        <x:v>https://pubmed.ncbi.nlm.nih.gov/26387038/</x:v>
      </x:c>
    </x:row>
    <x:row r="74" ht="40.5" customHeight="1">
      <x:c r="A74" s="74" t="str">
        <x:v>NT-070</x:v>
      </x:c>
      <x:c r="B74" s="74" t="str">
        <x:v>Four-prong fishing spear</x:v>
      </x:c>
      <x:c r="C74" s="74" t="str">
        <x:v>wood + fiber spreader</x:v>
      </x:c>
      <x:c r="D74" s="74" t="str">
        <x:v>Pin fish in shallows; probe crevices</x:v>
      </x:c>
      <x:c r="E74" s="74" t="str">
        <x:v>Reliable shallow fishing; crab collection</x:v>
      </x:c>
      <x:c r="F74" s="74" t="str">
        <x:v>Short range; prongs snap; not for large animals</x:v>
      </x:c>
      <x:c r="G74" s="74" t="str">
        <x:v>H1</x:v>
      </x:c>
      <x:c r="H74" s="74" t="str">
        <x:v>Food and hunting tools</x:v>
      </x:c>
      <x:c r="I74" s="74" t="str">
        <x:v>Hunting weapon family</x:v>
      </x:c>
      <x:c r="J74" s="77" t="str">
        <x:v>https://humanorigins.si.edu/evidence/behavior/stone-tools</x:v>
      </x:c>
    </x:row>
    <x:row r="75" ht="40.5" customHeight="1">
      <x:c r="A75" s="74" t="str">
        <x:v>NT-071</x:v>
      </x:c>
      <x:c r="B75" s="74" t="str">
        <x:v>Stone-tipped spear</x:v>
      </x:c>
      <x:c r="C75" s="74" t="str">
        <x:v>wood + stone point + fiber</x:v>
      </x:c>
      <x:c r="D75" s="74" t="str">
        <x:v>Hunt; defend at reach; finish dangerous animals</x:v>
      </x:c>
      <x:c r="E75" s="74" t="str">
        <x:v>Safer hunting distance; boar or large-fish route</x:v>
      </x:c>
      <x:c r="F75" s="74" t="str">
        <x:v>Tip detaches; shaft bends; poor in dense brush</x:v>
      </x:c>
      <x:c r="G75" s="74" t="str">
        <x:v>H2</x:v>
      </x:c>
      <x:c r="H75" s="74" t="str">
        <x:v>Weapons and hunting systems</x:v>
      </x:c>
      <x:c r="I75" s="74" t="str">
        <x:v>Governed spear family</x:v>
      </x:c>
      <x:c r="J75" s="77" t="str">
        <x:v>https://humanorigins.si.edu/evidence/behavior/stone-tools</x:v>
      </x:c>
    </x:row>
    <x:row r="76" ht="40.5" customHeight="1">
      <x:c r="A76" s="74" t="str">
        <x:v>NT-072</x:v>
      </x:c>
      <x:c r="B76" s="74" t="str">
        <x:v>Toggle harpoon</x:v>
      </x:c>
      <x:c r="C76" s="74" t="str">
        <x:v>wood + stone or bone point + fiber line</x:v>
      </x:c>
      <x:c r="D76" s="74" t="str">
        <x:v>Retain large fish; retrieve floating cargo</x:v>
      </x:c>
      <x:c r="E76" s="74" t="str">
        <x:v>Deep-water fishing; salvage retrieval</x:v>
      </x:c>
      <x:c r="F76" s="74" t="str">
        <x:v>Line entanglement; barb failure; dangerous recoil</x:v>
      </x:c>
      <x:c r="G76" s="74" t="str">
        <x:v>H3</x:v>
      </x:c>
      <x:c r="H76" s="74" t="str">
        <x:v>Weapons and hunting systems</x:v>
      </x:c>
      <x:c r="I76" s="74" t="str">
        <x:v>Governed harpoon family</x:v>
      </x:c>
      <x:c r="J76" s="77" t="str">
        <x:v>https://humanorigins.si.edu/evidence/behavior/stone-tools</x:v>
      </x:c>
    </x:row>
    <x:row r="77" ht="40.5" customHeight="1">
      <x:c r="A77" s="74" t="str">
        <x:v>NT-073</x:v>
      </x:c>
      <x:c r="B77" s="74" t="str">
        <x:v>Spear thrower</x:v>
      </x:c>
      <x:c r="C77" s="74" t="str">
        <x:v>wood + fiber grip</x:v>
      </x:c>
      <x:c r="D77" s="74" t="str">
        <x:v>Launch darts farther with leverage</x:v>
      </x:c>
      <x:c r="E77" s="74" t="str">
        <x:v>Distance hunting; line casting</x:v>
      </x:c>
      <x:c r="F77" s="74" t="str">
        <x:v>Requires matched dart flex and practice</x:v>
      </x:c>
      <x:c r="G77" s="74" t="str">
        <x:v>H3</x:v>
      </x:c>
      <x:c r="H77" s="74" t="str">
        <x:v>Weapons and hunting systems</x:v>
      </x:c>
      <x:c r="I77" s="74" t="str">
        <x:v>Governed ranged hunting weapon</x:v>
      </x:c>
      <x:c r="J77" s="77" t="str">
        <x:v>https://humanorigins.si.edu/evidence/behavior/stone-tools</x:v>
      </x:c>
    </x:row>
    <x:row r="78" ht="40.5" customHeight="1">
      <x:c r="A78" s="74" t="str">
        <x:v>NT-074</x:v>
      </x:c>
      <x:c r="B78" s="74" t="str">
        <x:v>Throwing dart</x:v>
      </x:c>
      <x:c r="C78" s="74" t="str">
        <x:v>wood shaft + stone point + fiber binding</x:v>
      </x:c>
      <x:c r="D78" s="74" t="str">
        <x:v>Projectile for spear thrower; line carrier</x:v>
      </x:c>
      <x:c r="E78" s="74" t="str">
        <x:v>Distance hunting; rescue line experiments</x:v>
      </x:c>
      <x:c r="F78" s="74" t="str">
        <x:v>Warps when damp; point and shaft have separate condition</x:v>
      </x:c>
      <x:c r="G78" s="74" t="str">
        <x:v>H3</x:v>
      </x:c>
      <x:c r="H78" s="74" t="str">
        <x:v>Weapons and hunting systems</x:v>
      </x:c>
      <x:c r="I78" s="74" t="str">
        <x:v>Ammunition family</x:v>
      </x:c>
      <x:c r="J78" s="77" t="str">
        <x:v>https://humanorigins.si.edu/evidence/behavior/stone-tools</x:v>
      </x:c>
    </x:row>
    <x:row r="79" ht="40.5" customHeight="1">
      <x:c r="A79" s="74" t="str">
        <x:v>NT-075</x:v>
      </x:c>
      <x:c r="B79" s="74" t="str">
        <x:v>Self bow</x:v>
      </x:c>
      <x:c r="C79" s="74" t="str">
        <x:v>seasoned wood + fiber string</x:v>
      </x:c>
      <x:c r="D79" s="74" t="str">
        <x:v>Launch light arrows; hunt small and medium animals</x:v>
      </x:c>
      <x:c r="E79" s="74" t="str">
        <x:v>Ranged hunting; signal-line launching</x:v>
      </x:c>
      <x:c r="F79" s="74" t="str">
        <x:v>Wood set; limb cracks; string moisture; high skill gate</x:v>
      </x:c>
      <x:c r="G79" s="74" t="str">
        <x:v>H3</x:v>
      </x:c>
      <x:c r="H79" s="74" t="str">
        <x:v>Weapons and hunting systems</x:v>
      </x:c>
      <x:c r="I79" s="74" t="str">
        <x:v>Governed bow family</x:v>
      </x:c>
      <x:c r="J79" s="77" t="str">
        <x:v>https://humanorigins.si.edu/evidence/behavior/stone-tools</x:v>
      </x:c>
    </x:row>
    <x:row r="80" ht="40.5" customHeight="1">
      <x:c r="A80" s="74" t="str">
        <x:v>NT-076</x:v>
      </x:c>
      <x:c r="B80" s="74" t="str">
        <x:v>Bowstring</x:v>
      </x:c>
      <x:c r="C80" s="74" t="str">
        <x:v>long plant fiber cord</x:v>
      </x:c>
      <x:c r="D80" s="74" t="str">
        <x:v>Store and release bow energy</x:v>
      </x:c>
      <x:c r="E80" s="74" t="str">
        <x:v>Makes bow operable; replacement economy</x:v>
      </x:c>
      <x:c r="F80" s="74" t="str">
        <x:v>Abrasion and moisture cause sudden breakage</x:v>
      </x:c>
      <x:c r="G80" s="74" t="str">
        <x:v>H2</x:v>
      </x:c>
      <x:c r="H80" s="74" t="str">
        <x:v>Weapons and hunting systems</x:v>
      </x:c>
      <x:c r="I80" s="74" t="str">
        <x:v>Weapon component</x:v>
      </x:c>
      <x:c r="J80" s="77" t="str">
        <x:v>https://www.fao.org/4/y3612e/y3612e03.htm</x:v>
      </x:c>
    </x:row>
    <x:row r="81" ht="40.5" customHeight="1">
      <x:c r="A81" s="74" t="str">
        <x:v>NT-077</x:v>
      </x:c>
      <x:c r="B81" s="74" t="str">
        <x:v>Arrow shaft</x:v>
      </x:c>
      <x:c r="C81" s="74" t="str">
        <x:v>straight wood + fiber binding</x:v>
      </x:c>
      <x:c r="D81" s="74" t="str">
        <x:v>Carry arrowhead and stabilizer</x:v>
      </x:c>
      <x:c r="E81" s="74" t="str">
        <x:v>Reusable ammunition body; fishing arrow route</x:v>
      </x:c>
      <x:c r="F81" s="74" t="str">
        <x:v>Warp; spine mismatch; nock splitting</x:v>
      </x:c>
      <x:c r="G81" s="74" t="str">
        <x:v>H2</x:v>
      </x:c>
      <x:c r="H81" s="74" t="str">
        <x:v>Weapons and hunting systems</x:v>
      </x:c>
      <x:c r="I81" s="74" t="str">
        <x:v>Ammunition component</x:v>
      </x:c>
      <x:c r="J81" s="77" t="str">
        <x:v>https://humanorigins.si.edu/evidence/behavior/stone-tools</x:v>
      </x:c>
    </x:row>
    <x:row r="82" ht="40.5" customHeight="1">
      <x:c r="A82" s="74" t="str">
        <x:v>NT-078</x:v>
      </x:c>
      <x:c r="B82" s="74" t="str">
        <x:v>Stone arrowhead</x:v>
      </x:c>
      <x:c r="C82" s="74" t="str">
        <x:v>stone + fiber haft</x:v>
      </x:c>
      <x:c r="D82" s="74" t="str">
        <x:v>Penetrating or cutting projectile head</x:v>
      </x:c>
      <x:c r="E82" s="74" t="str">
        <x:v>Hunting arrows; recoverable fragments</x:v>
      </x:c>
      <x:c r="F82" s="74" t="str">
        <x:v>Brittle; wrong hafting destroys accuracy</x:v>
      </x:c>
      <x:c r="G82" s="74" t="str">
        <x:v>H2</x:v>
      </x:c>
      <x:c r="H82" s="74" t="str">
        <x:v>Weapons and hunting systems</x:v>
      </x:c>
      <x:c r="I82" s="74" t="str">
        <x:v>Ammunition component</x:v>
      </x:c>
      <x:c r="J82" s="77" t="str">
        <x:v>https://humanorigins.si.edu/evidence/behavior/stone-tools</x:v>
      </x:c>
    </x:row>
    <x:row r="83" ht="40.5" customHeight="1">
      <x:c r="A83" s="74" t="str">
        <x:v>NT-079</x:v>
      </x:c>
      <x:c r="B83" s="74" t="str">
        <x:v>Palm-leaf arrow vane</x:v>
      </x:c>
      <x:c r="C83" s="74" t="str">
        <x:v>fiber leaf strips + binding</x:v>
      </x:c>
      <x:c r="D83" s="74" t="str">
        <x:v>Stabilize arrow flight</x:v>
      </x:c>
      <x:c r="E83" s="74" t="str">
        <x:v>More consistent hunting range</x:v>
      </x:c>
      <x:c r="F83" s="74" t="str">
        <x:v>Wet vanes deform; must be matched</x:v>
      </x:c>
      <x:c r="G83" s="74" t="str">
        <x:v>H2</x:v>
      </x:c>
      <x:c r="H83" s="74" t="str">
        <x:v>Weapons and hunting systems</x:v>
      </x:c>
      <x:c r="I83" s="74" t="str">
        <x:v>Ammunition component</x:v>
      </x:c>
      <x:c r="J83" s="77" t="str">
        <x:v>https://www.fao.org/4/y3612e/y3612e03.htm</x:v>
      </x:c>
    </x:row>
    <x:row r="84" ht="40.5" customHeight="1">
      <x:c r="A84" s="74" t="str">
        <x:v>NT-080</x:v>
      </x:c>
      <x:c r="B84" s="74" t="str">
        <x:v>Fiber sling</x:v>
      </x:c>
      <x:c r="C84" s="74" t="str">
        <x:v>woven fiber</x:v>
      </x:c>
      <x:c r="D84" s="74" t="str">
        <x:v>Throw selected stones; scare animals; hunt small game</x:v>
      </x:c>
      <x:c r="E84" s="74" t="str">
        <x:v>Ranged deterrence; ammunition from beach</x:v>
      </x:c>
      <x:c r="F84" s="74" t="str">
        <x:v>High practice requirement; ricochet danger</x:v>
      </x:c>
      <x:c r="G84" s="74" t="str">
        <x:v>H2</x:v>
      </x:c>
      <x:c r="H84" s="74" t="str">
        <x:v>Weapons and hunting systems</x:v>
      </x:c>
      <x:c r="I84" s="74" t="str">
        <x:v>Governed sling family</x:v>
      </x:c>
      <x:c r="J84" s="77" t="str">
        <x:v>https://www.si.edu/stories/human-origins-facts</x:v>
      </x:c>
    </x:row>
    <x:row r="85" ht="40.5" customHeight="1">
      <x:c r="A85" s="74" t="str">
        <x:v>NT-081</x:v>
      </x:c>
      <x:c r="B85" s="74" t="str">
        <x:v>Snare trigger set</x:v>
      </x:c>
      <x:c r="C85" s="74" t="str">
        <x:v>wood pegs + fiber line</x:v>
      </x:c>
      <x:c r="D85" s="74" t="str">
        <x:v>Convert cordage into passive small-game trap</x:v>
      </x:c>
      <x:c r="E85" s="74" t="str">
        <x:v>Food while player works elsewhere</x:v>
      </x:c>
      <x:c r="F85" s="74" t="str">
        <x:v>Non-selective capture; animal welfare and reset costs</x:v>
      </x:c>
      <x:c r="G85" s="74" t="str">
        <x:v>H2</x:v>
      </x:c>
      <x:c r="H85" s="74" t="str">
        <x:v>Food and hunting tools</x:v>
      </x:c>
      <x:c r="I85" s="74" t="str">
        <x:v>Trap weapon system</x:v>
      </x:c>
      <x:c r="J85" s="77" t="str">
        <x:v>https://www.si.edu/stories/human-origins-facts</x:v>
      </x:c>
    </x:row>
    <x:row r="86" ht="40.5" customHeight="1">
      <x:c r="A86" s="74" t="str">
        <x:v>NT-082</x:v>
      </x:c>
      <x:c r="B86" s="74" t="str">
        <x:v>Fish trap basket</x:v>
      </x:c>
      <x:c r="C86" s="74" t="str">
        <x:v>wood ribs + woven fiber</x:v>
      </x:c>
      <x:c r="D86" s="74" t="str">
        <x:v>Passive fish and crustacean capture</x:v>
      </x:c>
      <x:c r="E86" s="74" t="str">
        <x:v>Low-attention food; bait economy</x:v>
      </x:c>
      <x:c r="F86" s="74" t="str">
        <x:v>Ghost-fishing if lost; must be marked and checked</x:v>
      </x:c>
      <x:c r="G86" s="74" t="str">
        <x:v>H2</x:v>
      </x:c>
      <x:c r="H86" s="74" t="str">
        <x:v>Food and hunting tools</x:v>
      </x:c>
      <x:c r="I86" s="74" t="str">
        <x:v>Not a weapon</x:v>
      </x:c>
      <x:c r="J86" s="77" t="str">
        <x:v>https://marinedebris.noaa.gov/discover-issue/derelict-fishing-gear</x:v>
      </x:c>
    </x:row>
    <x:row r="87" ht="40.5" customHeight="1">
      <x:c r="A87" s="74" t="str">
        <x:v>NT-083</x:v>
      </x:c>
      <x:c r="B87" s="74" t="str">
        <x:v>Crab pot</x:v>
      </x:c>
      <x:c r="C87" s="74" t="str">
        <x:v>wood frame + woven fiber + stone weight</x:v>
      </x:c>
      <x:c r="D87" s="74" t="str">
        <x:v>Catch crabs; store shellfish temporarily</x:v>
      </x:c>
      <x:c r="E87" s="74" t="str">
        <x:v>Food diversity; bait loop</x:v>
      </x:c>
      <x:c r="F87" s="74" t="str">
        <x:v>Entanglement and ghost-fishing if abandoned</x:v>
      </x:c>
      <x:c r="G87" s="74" t="str">
        <x:v>H2</x:v>
      </x:c>
      <x:c r="H87" s="74" t="str">
        <x:v>Food and hunting tools</x:v>
      </x:c>
      <x:c r="I87" s="74" t="str">
        <x:v>Not a weapon</x:v>
      </x:c>
      <x:c r="J87" s="77" t="str">
        <x:v>https://marinedebris.noaa.gov/discover-issue/derelict-fishing-gear</x:v>
      </x:c>
    </x:row>
    <x:row r="88" ht="40.5" customHeight="1">
      <x:c r="A88" s="74" t="str">
        <x:v>NT-084</x:v>
      </x:c>
      <x:c r="B88" s="74" t="str">
        <x:v>Paddle</x:v>
      </x:c>
      <x:c r="C88" s="74" t="str">
        <x:v>wood + stone adze</x:v>
      </x:c>
      <x:c r="D88" s="74" t="str">
        <x:v>Propel raft or canoe; brace; steer</x:v>
      </x:c>
      <x:c r="E88" s="74" t="str">
        <x:v>Offshore salvage; fishing range; current control</x:v>
      </x:c>
      <x:c r="F88" s="74" t="str">
        <x:v>Splits across grain; poor blade angle wastes stamina</x:v>
      </x:c>
      <x:c r="G88" s="74" t="str">
        <x:v>H2</x:v>
      </x:c>
      <x:c r="H88" s="74" t="str">
        <x:v>Maritime tools</x:v>
      </x:c>
      <x:c r="I88" s="74" t="str">
        <x:v>Dual-use staff only</x:v>
      </x:c>
      <x:c r="J88" s="77" t="str">
        <x:v>https://research.fs.usda.gov/fpl/wood-handbook</x:v>
      </x:c>
    </x:row>
    <x:row r="89" ht="40.5" customHeight="1">
      <x:c r="A89" s="74" t="str">
        <x:v>NT-085</x:v>
      </x:c>
      <x:c r="B89" s="74" t="str">
        <x:v>Coconut shell bailer</x:v>
      </x:c>
      <x:c r="C89" s="74" t="str">
        <x:v>coconut shell + fiber handle</x:v>
      </x:c>
      <x:c r="D89" s="74" t="str">
        <x:v>Remove water from raft; canoe; pit; or container</x:v>
      </x:c>
      <x:c r="E89" s="74" t="str">
        <x:v>Safer voyages; water handling</x:v>
      </x:c>
      <x:c r="F89" s="74" t="str">
        <x:v>Small capacity; easily lost</x:v>
      </x:c>
      <x:c r="G89" s="74" t="str">
        <x:v>H0</x:v>
      </x:c>
      <x:c r="H89" s="74" t="str">
        <x:v>Maritime tools</x:v>
      </x:c>
      <x:c r="I89" s="74" t="str">
        <x:v>Not a weapon</x:v>
      </x:c>
      <x:c r="J89" s="77" t="str">
        <x:v>https://www.fao.org/4/y3612e/y3612e03.htm</x:v>
      </x:c>
    </x:row>
    <x:row r="90" ht="40.5" customHeight="1">
      <x:c r="A90" s="74" t="str">
        <x:v>NT-086</x:v>
      </x:c>
      <x:c r="B90" s="74" t="str">
        <x:v>Stone anchor</x:v>
      </x:c>
      <x:c r="C90" s="74" t="str">
        <x:v>grooved stone + fiber rope</x:v>
      </x:c>
      <x:c r="D90" s="74" t="str">
        <x:v>Hold traps; raft; marker buoy; or line</x:v>
      </x:c>
      <x:c r="E90" s="74" t="str">
        <x:v>Fishing; mooring; salvage marking</x:v>
      </x:c>
      <x:c r="F90" s="74" t="str">
        <x:v>Rope chafe; holding varies by seabed</x:v>
      </x:c>
      <x:c r="G90" s="74" t="str">
        <x:v>H2</x:v>
      </x:c>
      <x:c r="H90" s="74" t="str">
        <x:v>Maritime tools</x:v>
      </x:c>
      <x:c r="I90" s="74" t="str">
        <x:v>Not a weapon</x:v>
      </x:c>
      <x:c r="J90" s="77" t="str">
        <x:v>https://marinedebris.noaa.gov/discover-issue/derelict-fishing-gear</x:v>
      </x:c>
    </x:row>
    <x:row r="91" ht="40.5" customHeight="1">
      <x:c r="A91" s="74" t="str">
        <x:v>NT-087</x:v>
      </x:c>
      <x:c r="B91" s="74" t="str">
        <x:v>Raft lashing tensioner</x:v>
      </x:c>
      <x:c r="C91" s="74" t="str">
        <x:v>wood toggle + fiber</x:v>
      </x:c>
      <x:c r="D91" s="74" t="str">
        <x:v>Tighten and retighten raft joints</x:v>
      </x:c>
      <x:c r="E91" s="74" t="str">
        <x:v>Safer modular rafts; replaceable lashings</x:v>
      </x:c>
      <x:c r="F91" s="74" t="str">
        <x:v>Over-tightening crushes fiber or timber</x:v>
      </x:c>
      <x:c r="G91" s="74" t="str">
        <x:v>H2</x:v>
      </x:c>
      <x:c r="H91" s="74" t="str">
        <x:v>Maritime tools</x:v>
      </x:c>
      <x:c r="I91" s="74" t="str">
        <x:v>Not a weapon</x:v>
      </x:c>
      <x:c r="J91" s="77" t="str">
        <x:v>https://research.fs.usda.gov/fpl/wood-handbook</x:v>
      </x:c>
    </x:row>
    <x:row r="92" ht="40.5" customHeight="1">
      <x:c r="A92" s="75" t="str">
        <x:v>NT-088</x:v>
      </x:c>
      <x:c r="B92" s="75" t="str">
        <x:v>Pole hook</x:v>
      </x:c>
      <x:c r="C92" s="75" t="str">
        <x:v>forked wood + fiber reinforcement</x:v>
      </x:c>
      <x:c r="D92" s="75" t="str">
        <x:v>Pull floating salvage; push off rocks; place lines</x:v>
      </x:c>
      <x:c r="E92" s="75" t="str">
        <x:v>Safer beach recovery; boat handling</x:v>
      </x:c>
      <x:c r="F92" s="75" t="str">
        <x:v>Fork breaks under side load; limited reach</x:v>
      </x:c>
      <x:c r="G92" s="75" t="str">
        <x:v>H1</x:v>
      </x:c>
      <x:c r="H92" s="75" t="str">
        <x:v>Maritime tools</x:v>
      </x:c>
      <x:c r="I92" s="75" t="str">
        <x:v>Dual-use pole only</x:v>
      </x:c>
      <x:c r="J92" s="78" t="str">
        <x:v>https://marinedebris.noaa.gov/discover-issue/ocean-based-marine-debris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c021acc846646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21.110000610351562" hidden="0" customWidth="1"/>
    <x:col min="3" max="3" width="16.110000610351562" hidden="0" customWidth="1"/>
    <x:col min="4" max="4" width="16.110000610351562" hidden="0" customWidth="1"/>
    <x:col min="5" max="5" width="14.4399995803833" hidden="0" customWidth="1"/>
    <x:col min="6" max="6" width="27.780000686645508" hidden="0" customWidth="1"/>
    <x:col min="7" max="7" width="25.559999465942383" hidden="0" customWidth="1"/>
    <x:col min="8" max="8" width="27.219999313354492" hidden="0" customWidth="1"/>
    <x:col min="9" max="9" width="27.219999313354492" hidden="0" customWidth="1"/>
    <x:col min="10" max="10" width="6.440000057220459" hidden="0" customWidth="1"/>
  </x:cols>
  <x:sheetData>
    <x:row r="1" ht="27" customHeight="1">
      <x:c r="A1" s="56" t="str">
        <x:v>Recurring Beach and Wreck Salvage Manifest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31.5" customHeight="1">
      <x:c r="A2" s="60" t="str">
        <x:v>Objects arrive as intact forms or assemblies. Recovery method and condition determine whether the player obtains a working object, donor parts, recyclable stock, a hazard, or garbage.</x:v>
      </x:c>
      <x:c r="B2" s="60"/>
      <x:c r="C2" s="60"/>
      <x:c r="D2" s="60"/>
      <x:c r="E2" s="60"/>
      <x:c r="F2" s="60"/>
      <x:c r="G2" s="60"/>
      <x:c r="H2" s="60"/>
      <x:c r="I2" s="60"/>
      <x:c r="J2" s="60"/>
    </x:row>
    <x:row r="4" ht="25.5" customHeight="1">
      <x:c r="A4" s="65" t="str">
        <x:v>ID</x:v>
      </x:c>
      <x:c r="B4" s="65" t="str">
        <x:v>Item name</x:v>
      </x:c>
      <x:c r="C4" s="65" t="str">
        <x:v>Source family</x:v>
      </x:c>
      <x:c r="D4" s="65" t="str">
        <x:v>Arrival channel</x:v>
      </x:c>
      <x:c r="E4" s="65" t="str">
        <x:v>Material</x:v>
      </x:c>
      <x:c r="F4" s="65" t="str">
        <x:v>Intact reuse</x:v>
      </x:c>
      <x:c r="G4" s="65" t="str">
        <x:v>Dismantle outputs</x:v>
      </x:c>
      <x:c r="H4" s="65" t="str">
        <x:v>Required action / tool</x:v>
      </x:c>
      <x:c r="I4" s="65" t="str">
        <x:v>Hazard / constraint</x:v>
      </x:c>
      <x:c r="J4" s="65" t="str">
        <x:v>Tier</x:v>
      </x:c>
    </x:row>
    <x:row r="5" ht="40.5" customHeight="1">
      <x:c r="A5" s="73" t="str">
        <x:v>SV-001</x:v>
      </x:c>
      <x:c r="B5" s="73" t="str">
        <x:v>Driftwood pole</x:v>
      </x:c>
      <x:c r="C5" s="73" t="str">
        <x:v>Natural drift</x:v>
      </x:c>
      <x:c r="D5" s="73" t="str">
        <x:v>Daily strandline</x:v>
      </x:c>
      <x:c r="E5" s="73" t="str">
        <x:v>wood</x:v>
      </x:c>
      <x:c r="F5" s="73" t="str">
        <x:v>Use as handle; ridge pole; lever; drying rack</x:v>
      </x:c>
      <x:c r="G5" s="73" t="str">
        <x:v>Dry stock; pegs; charcoal; fuel</x:v>
      </x:c>
      <x:c r="H5" s="73" t="str">
        <x:v>Inspect rot; rinse salt; dry; grade</x:v>
      </x:c>
      <x:c r="I5" s="73" t="str">
        <x:v>Hidden rot; marine borers; salt corrosion near metal</x:v>
      </x:c>
      <x:c r="J5" s="73" t="str">
        <x:v>H0</x:v>
      </x:c>
    </x:row>
    <x:row r="6" ht="40.5" customHeight="1">
      <x:c r="A6" s="74" t="str">
        <x:v>SV-002</x:v>
      </x:c>
      <x:c r="B6" s="74" t="str">
        <x:v>Hardwood branch</x:v>
      </x:c>
      <x:c r="C6" s="74" t="str">
        <x:v>Natural drift</x:v>
      </x:c>
      <x:c r="D6" s="74" t="str">
        <x:v>Daily strandline</x:v>
      </x:c>
      <x:c r="E6" s="74" t="str">
        <x:v>wood</x:v>
      </x:c>
      <x:c r="F6" s="74" t="str">
        <x:v>Handle; club stock; pegs; bow candidate</x:v>
      </x:c>
      <x:c r="G6" s="74" t="str">
        <x:v>Dry stock; wedges; charcoal</x:v>
      </x:c>
      <x:c r="H6" s="74" t="str">
        <x:v>Inspect grain; dry slowly; test bend</x:v>
      </x:c>
      <x:c r="I6" s="74" t="str">
        <x:v>Checks; knots; unknown species irritation</x:v>
      </x:c>
      <x:c r="J6" s="74" t="str">
        <x:v>H0</x:v>
      </x:c>
    </x:row>
    <x:row r="7" ht="40.5" customHeight="1">
      <x:c r="A7" s="74" t="str">
        <x:v>SV-003</x:v>
      </x:c>
      <x:c r="B7" s="74" t="str">
        <x:v>Root burl</x:v>
      </x:c>
      <x:c r="C7" s="74" t="str">
        <x:v>Natural drift</x:v>
      </x:c>
      <x:c r="D7" s="74" t="str">
        <x:v>Post-storm pulse</x:v>
      </x:c>
      <x:c r="E7" s="74" t="str">
        <x:v>wood</x:v>
      </x:c>
      <x:c r="F7" s="74" t="str">
        <x:v>Bowl blank; mallet head; bearing block</x:v>
      </x:c>
      <x:c r="G7" s="74" t="str">
        <x:v>Fuel; charcoal</x:v>
      </x:c>
      <x:c r="H7" s="74" t="str">
        <x:v>Rinse; dry; split and inspect</x:v>
      </x:c>
      <x:c r="I7" s="74" t="str">
        <x:v>Embedded sand ruins edges</x:v>
      </x:c>
      <x:c r="J7" s="74" t="str">
        <x:v>H1</x:v>
      </x:c>
    </x:row>
    <x:row r="8" ht="40.5" customHeight="1">
      <x:c r="A8" s="74" t="str">
        <x:v>SV-004</x:v>
      </x:c>
      <x:c r="B8" s="74" t="str">
        <x:v>Bamboo pole</x:v>
      </x:c>
      <x:c r="C8" s="74" t="str">
        <x:v>Natural drift</x:v>
      </x:c>
      <x:c r="D8" s="74" t="str">
        <x:v>Seasonal current</x:v>
      </x:c>
      <x:c r="E8" s="74" t="str">
        <x:v>plant wood</x:v>
      </x:c>
      <x:c r="F8" s="74" t="str">
        <x:v>Water tube if intact; frame; fishing pole</x:v>
      </x:c>
      <x:c r="G8" s="74" t="str">
        <x:v>Slats; needles; traps; charcoal</x:v>
      </x:c>
      <x:c r="H8" s="74" t="str">
        <x:v>Inspect nodes; drain; heat-dry carefully</x:v>
      </x:c>
      <x:c r="I8" s="74" t="str">
        <x:v>Splits explosively when sealed and heated</x:v>
      </x:c>
      <x:c r="J8" s="74" t="str">
        <x:v>H1</x:v>
      </x:c>
    </x:row>
    <x:row r="9" ht="40.5" customHeight="1">
      <x:c r="A9" s="74" t="str">
        <x:v>SV-005</x:v>
      </x:c>
      <x:c r="B9" s="74" t="str">
        <x:v>Palm trunk section</x:v>
      </x:c>
      <x:c r="C9" s="74" t="str">
        <x:v>Natural drift</x:v>
      </x:c>
      <x:c r="D9" s="74" t="str">
        <x:v>Post-storm pulse</x:v>
      </x:c>
      <x:c r="E9" s="74" t="str">
        <x:v>plant wood</x:v>
      </x:c>
      <x:c r="F9" s="74" t="str">
        <x:v>Float; walkway; rough beam</x:v>
      </x:c>
      <x:c r="G9" s="74" t="str">
        <x:v>Fiber; pith; fuel</x:v>
      </x:c>
      <x:c r="H9" s="74" t="str">
        <x:v>Inspect rot; split with wedges</x:v>
      </x:c>
      <x:c r="I9" s="74" t="str">
        <x:v>Low fastener holding; waterlogged mass</x:v>
      </x:c>
      <x:c r="J9" s="74" t="str">
        <x:v>H0</x:v>
      </x:c>
    </x:row>
    <x:row r="10" ht="40.5" customHeight="1">
      <x:c r="A10" s="74" t="str">
        <x:v>SV-006</x:v>
      </x:c>
      <x:c r="B10" s="74" t="str">
        <x:v>Whole coconut</x:v>
      </x:c>
      <x:c r="C10" s="74" t="str">
        <x:v>Natural drift</x:v>
      </x:c>
      <x:c r="D10" s="74" t="str">
        <x:v>Daily strandline</x:v>
      </x:c>
      <x:c r="E10" s="74" t="str">
        <x:v>coconut</x:v>
      </x:c>
      <x:c r="F10" s="74" t="str">
        <x:v>Drink and food after identification; seed; float marker</x:v>
      </x:c>
      <x:c r="G10" s="74" t="str">
        <x:v>Shell tools; coir; oil; charcoal</x:v>
      </x:c>
      <x:c r="H10" s="74" t="str">
        <x:v>Inspect sprouting; smell; open safely</x:v>
      </x:c>
      <x:c r="I10" s="74" t="str">
        <x:v>Spoilage; contamination; falling-object hazard inland</x:v>
      </x:c>
      <x:c r="J10" s="74" t="str">
        <x:v>H0</x:v>
      </x:c>
    </x:row>
    <x:row r="11" ht="40.5" customHeight="1">
      <x:c r="A11" s="74" t="str">
        <x:v>SV-007</x:v>
      </x:c>
      <x:c r="B11" s="74" t="str">
        <x:v>Coconut husk</x:v>
      </x:c>
      <x:c r="C11" s="74" t="str">
        <x:v>Natural drift</x:v>
      </x:c>
      <x:c r="D11" s="74" t="str">
        <x:v>Daily strandline</x:v>
      </x:c>
      <x:c r="E11" s="74" t="str">
        <x:v>coir</x:v>
      </x:c>
      <x:c r="F11" s="74" t="str">
        <x:v>Fuel when dry; mulch; scrubber</x:v>
      </x:c>
      <x:c r="G11" s="74" t="str">
        <x:v>Ret and beat into coir fiber and pith</x:v>
      </x:c>
      <x:c r="H11" s="74" t="str">
        <x:v>Rinse; soak or ret; beat; dry</x:v>
      </x:c>
      <x:c r="I11" s="74" t="str">
        <x:v>Smoke; mold; long processing time</x:v>
      </x:c>
      <x:c r="J11" s="74" t="str">
        <x:v>H0</x:v>
      </x:c>
    </x:row>
    <x:row r="12" ht="40.5" customHeight="1">
      <x:c r="A12" s="74" t="str">
        <x:v>SV-008</x:v>
      </x:c>
      <x:c r="B12" s="74" t="str">
        <x:v>Coconut shell half</x:v>
      </x:c>
      <x:c r="C12" s="74" t="str">
        <x:v>Natural drift</x:v>
      </x:c>
      <x:c r="D12" s="74" t="str">
        <x:v>Daily strandline</x:v>
      </x:c>
      <x:c r="E12" s="74" t="str">
        <x:v>shell</x:v>
      </x:c>
      <x:c r="F12" s="74" t="str">
        <x:v>Cup; scoop; rain collector; measure</x:v>
      </x:c>
      <x:c r="G12" s="74" t="str">
        <x:v>Ladle; lamp; charcoal; buttons</x:v>
      </x:c>
      <x:c r="H12" s="74" t="str">
        <x:v>Scrape; wash; dry; inspect cracks</x:v>
      </x:c>
      <x:c r="I12" s="74" t="str">
        <x:v>Thermal cracking; food residue</x:v>
      </x:c>
      <x:c r="J12" s="74" t="str">
        <x:v>H0</x:v>
      </x:c>
    </x:row>
    <x:row r="13" ht="40.5" customHeight="1">
      <x:c r="A13" s="74" t="str">
        <x:v>SV-009</x:v>
      </x:c>
      <x:c r="B13" s="74" t="str">
        <x:v>Seed pod</x:v>
      </x:c>
      <x:c r="C13" s="74" t="str">
        <x:v>Natural drift</x:v>
      </x:c>
      <x:c r="D13" s="74" t="str">
        <x:v>Daily strandline</x:v>
      </x:c>
      <x:c r="E13" s="74" t="str">
        <x:v>plant</x:v>
      </x:c>
      <x:c r="F13" s="74" t="str">
        <x:v>Container; rattle; tinder; seed trial</x:v>
      </x:c>
      <x:c r="G13" s="74" t="str">
        <x:v>Fiber; charcoal; decoration</x:v>
      </x:c>
      <x:c r="H13" s="74" t="str">
        <x:v>Identify; quarantine; dry</x:v>
      </x:c>
      <x:c r="I13" s="74" t="str">
        <x:v>Toxic seed; invasive planting</x:v>
      </x:c>
      <x:c r="J13" s="74" t="str">
        <x:v>H0</x:v>
      </x:c>
    </x:row>
    <x:row r="14" ht="40.5" customHeight="1">
      <x:c r="A14" s="74" t="str">
        <x:v>SV-010</x:v>
      </x:c>
      <x:c r="B14" s="74" t="str">
        <x:v>Bark sheet</x:v>
      </x:c>
      <x:c r="C14" s="74" t="str">
        <x:v>Natural drift</x:v>
      </x:c>
      <x:c r="D14" s="74" t="str">
        <x:v>Daily strandline</x:v>
      </x:c>
      <x:c r="E14" s="74" t="str">
        <x:v>bark</x:v>
      </x:c>
      <x:c r="F14" s="74" t="str">
        <x:v>Roof patch; mat; writing surface</x:v>
      </x:c>
      <x:c r="G14" s="74" t="str">
        <x:v>Fiber; tannin test; tinder</x:v>
      </x:c>
      <x:c r="H14" s="74" t="str">
        <x:v>Rinse; scrape; flatten; dry</x:v>
      </x:c>
      <x:c r="I14" s="74" t="str">
        <x:v>Irritant sap; insects; rot</x:v>
      </x:c>
      <x:c r="J14" s="74" t="str">
        <x:v>H0</x:v>
      </x:c>
    </x:row>
    <x:row r="15" ht="40.5" customHeight="1">
      <x:c r="A15" s="74" t="str">
        <x:v>SV-011</x:v>
      </x:c>
      <x:c r="B15" s="74" t="str">
        <x:v>Reed bundle</x:v>
      </x:c>
      <x:c r="C15" s="74" t="str">
        <x:v>Natural drift</x:v>
      </x:c>
      <x:c r="D15" s="74" t="str">
        <x:v>Seasonal current</x:v>
      </x:c>
      <x:c r="E15" s="74" t="str">
        <x:v>plant fiber</x:v>
      </x:c>
      <x:c r="F15" s="74" t="str">
        <x:v>Mats; screens; floats; arrow shafts</x:v>
      </x:c>
      <x:c r="G15" s="74" t="str">
        <x:v>Pulp; tinder; compost</x:v>
      </x:c>
      <x:c r="H15" s="74" t="str">
        <x:v>Sort; dry; straighten</x:v>
      </x:c>
      <x:c r="I15" s="74" t="str">
        <x:v>Mold; sharp leaf edges</x:v>
      </x:c>
      <x:c r="J15" s="74" t="str">
        <x:v>H0</x:v>
      </x:c>
    </x:row>
    <x:row r="16" ht="40.5" customHeight="1">
      <x:c r="A16" s="74" t="str">
        <x:v>SV-012</x:v>
      </x:c>
      <x:c r="B16" s="74" t="str">
        <x:v>Sea-grass bundle</x:v>
      </x:c>
      <x:c r="C16" s="74" t="str">
        <x:v>Natural drift</x:v>
      </x:c>
      <x:c r="D16" s="74" t="str">
        <x:v>Daily strandline</x:v>
      </x:c>
      <x:c r="E16" s="74" t="str">
        <x:v>plant fiber</x:v>
      </x:c>
      <x:c r="F16" s="74" t="str">
        <x:v>Thatch; stuffing; mulch</x:v>
      </x:c>
      <x:c r="G16" s="74" t="str">
        <x:v>Twine; mats; compost</x:v>
      </x:c>
      <x:c r="H16" s="74" t="str">
        <x:v>Rinse salt; dry fully</x:v>
      </x:c>
      <x:c r="I16" s="74" t="str">
        <x:v>Rot; mites; smoke if burned damp</x:v>
      </x:c>
      <x:c r="J16" s="74" t="str">
        <x:v>H0</x:v>
      </x:c>
    </x:row>
    <x:row r="17" ht="40.5" customHeight="1">
      <x:c r="A17" s="74" t="str">
        <x:v>SV-013</x:v>
      </x:c>
      <x:c r="B17" s="74" t="str">
        <x:v>Kelp frond</x:v>
      </x:c>
      <x:c r="C17" s="74" t="str">
        <x:v>Natural drift</x:v>
      </x:c>
      <x:c r="D17" s="74" t="str">
        <x:v>Daily strandline</x:v>
      </x:c>
      <x:c r="E17" s="74" t="str">
        <x:v>seaweed</x:v>
      </x:c>
      <x:c r="F17" s="74" t="str">
        <x:v>Food only after identification; wrap; mulch</x:v>
      </x:c>
      <x:c r="G17" s="74" t="str">
        <x:v>Ash mineral source; compost</x:v>
      </x:c>
      <x:c r="H17" s="74" t="str">
        <x:v>Identify; rinse; dry</x:v>
      </x:c>
      <x:c r="I17" s="74" t="str">
        <x:v>Iodine excess; decay; unknown species</x:v>
      </x:c>
      <x:c r="J17" s="74" t="str">
        <x:v>H0</x:v>
      </x:c>
    </x:row>
    <x:row r="18" ht="40.5" customHeight="1">
      <x:c r="A18" s="74" t="str">
        <x:v>SV-014</x:v>
      </x:c>
      <x:c r="B18" s="74" t="str">
        <x:v>Kelp holdfast</x:v>
      </x:c>
      <x:c r="C18" s="74" t="str">
        <x:v>Natural drift</x:v>
      </x:c>
      <x:c r="D18" s="74" t="str">
        <x:v>Post-storm pulse</x:v>
      </x:c>
      <x:c r="E18" s="74" t="str">
        <x:v>seaweed</x:v>
      </x:c>
      <x:c r="F18" s="74" t="str">
        <x:v>Scrubber; bait habitat; compost carbon</x:v>
      </x:c>
      <x:c r="G18" s="74" t="str">
        <x:v>Ash; fuel after drying</x:v>
      </x:c>
      <x:c r="H18" s="74" t="str">
        <x:v>Rinse; inspect trapped organisms</x:v>
      </x:c>
      <x:c r="I18" s="74" t="str">
        <x:v>Rot; sharp shells hidden inside</x:v>
      </x:c>
      <x:c r="J18" s="74" t="str">
        <x:v>H0</x:v>
      </x:c>
    </x:row>
    <x:row r="19" ht="40.5" customHeight="1">
      <x:c r="A19" s="74" t="str">
        <x:v>SV-015</x:v>
      </x:c>
      <x:c r="B19" s="74" t="str">
        <x:v>Large shell</x:v>
      </x:c>
      <x:c r="C19" s="74" t="str">
        <x:v>Natural drift</x:v>
      </x:c>
      <x:c r="D19" s="74" t="str">
        <x:v>Daily strandline</x:v>
      </x:c>
      <x:c r="E19" s="74" t="str">
        <x:v>shell</x:v>
      </x:c>
      <x:c r="F19" s="74" t="str">
        <x:v>Scoop; scraper; spoon; horn; lime feedstock</x:v>
      </x:c>
      <x:c r="G19" s="74" t="str">
        <x:v>Buttons; fish hooks; temper</x:v>
      </x:c>
      <x:c r="H19" s="74" t="str">
        <x:v>Confirm empty; wash; grind wet</x:v>
      </x:c>
      <x:c r="I19" s="74" t="str">
        <x:v>Sharp edges; dust; occupied live animal</x:v>
      </x:c>
      <x:c r="J19" s="74" t="str">
        <x:v>H0</x:v>
      </x:c>
    </x:row>
    <x:row r="20" ht="40.5" customHeight="1">
      <x:c r="A20" s="74" t="str">
        <x:v>SV-016</x:v>
      </x:c>
      <x:c r="B20" s="74" t="str">
        <x:v>Shell fragments</x:v>
      </x:c>
      <x:c r="C20" s="74" t="str">
        <x:v>Natural drift</x:v>
      </x:c>
      <x:c r="D20" s="74" t="str">
        <x:v>Daily strandline</x:v>
      </x:c>
      <x:c r="E20" s="74" t="str">
        <x:v>shell</x:v>
      </x:c>
      <x:c r="F20" s="74" t="str">
        <x:v>Scrapers; cutting inserts; drainage layer</x:v>
      </x:c>
      <x:c r="G20" s="74" t="str">
        <x:v>Lime; temper; aggregate</x:v>
      </x:c>
      <x:c r="H20" s="74" t="str">
        <x:v>Sort; grind wet; heat only in kiln route</x:v>
      </x:c>
      <x:c r="I20" s="74" t="str">
        <x:v>Sharp edges; caustic lime; dust</x:v>
      </x:c>
      <x:c r="J20" s="74" t="str">
        <x:v>H1</x:v>
      </x:c>
    </x:row>
    <x:row r="21" ht="40.5" customHeight="1">
      <x:c r="A21" s="74" t="str">
        <x:v>SV-017</x:v>
      </x:c>
      <x:c r="B21" s="74" t="str">
        <x:v>Cuttlebone</x:v>
      </x:c>
      <x:c r="C21" s="74" t="str">
        <x:v>Natural drift</x:v>
      </x:c>
      <x:c r="D21" s="74" t="str">
        <x:v>Seasonal current</x:v>
      </x:c>
      <x:c r="E21" s="74" t="str">
        <x:v>shell mineral</x:v>
      </x:c>
      <x:c r="F21" s="74" t="str">
        <x:v>Fine abrasive; float; carving blank</x:v>
      </x:c>
      <x:c r="G21" s="74" t="str">
        <x:v>Calcium-rich powder for non-food technical use</x:v>
      </x:c>
      <x:c r="H21" s="74" t="str">
        <x:v>Wash; dry; test powder</x:v>
      </x:c>
      <x:c r="I21" s="74" t="str">
        <x:v>Biological contamination; brittle</x:v>
      </x:c>
      <x:c r="J21" s="74" t="str">
        <x:v>H1</x:v>
      </x:c>
    </x:row>
    <x:row r="22" ht="40.5" customHeight="1">
      <x:c r="A22" s="74" t="str">
        <x:v>SV-018</x:v>
      </x:c>
      <x:c r="B22" s="74" t="str">
        <x:v>Animal bone fragment</x:v>
      </x:c>
      <x:c r="C22" s="74" t="str">
        <x:v>Natural drift</x:v>
      </x:c>
      <x:c r="D22" s="74" t="str">
        <x:v>Daily strandline</x:v>
      </x:c>
      <x:c r="E22" s="74" t="str">
        <x:v>bone</x:v>
      </x:c>
      <x:c r="F22" s="74" t="str">
        <x:v>Awl; hook; needle; handle scale</x:v>
      </x:c>
      <x:c r="G22" s="74" t="str">
        <x:v>Glue feedstock; char; buttons</x:v>
      </x:c>
      <x:c r="H22" s="74" t="str">
        <x:v>Identify; boil or clean; dry; inspect</x:v>
      </x:c>
      <x:c r="I22" s="74" t="str">
        <x:v>Disease; splinters; unknown origin</x:v>
      </x:c>
      <x:c r="J22" s="74" t="str">
        <x:v>H1</x:v>
      </x:c>
    </x:row>
    <x:row r="23" ht="40.5" customHeight="1">
      <x:c r="A23" s="74" t="str">
        <x:v>SV-019</x:v>
      </x:c>
      <x:c r="B23" s="74" t="str">
        <x:v>Fish spine</x:v>
      </x:c>
      <x:c r="C23" s="74" t="str">
        <x:v>Natural drift</x:v>
      </x:c>
      <x:c r="D23" s="74" t="str">
        <x:v>Daily strandline</x:v>
      </x:c>
      <x:c r="E23" s="74" t="str">
        <x:v>bone</x:v>
      </x:c>
      <x:c r="F23" s="74" t="str">
        <x:v>Needle; small barb; pin</x:v>
      </x:c>
      <x:c r="G23" s="74" t="str">
        <x:v>Char; calcium waste</x:v>
      </x:c>
      <x:c r="H23" s="74" t="str">
        <x:v>Clean; dry; smooth</x:v>
      </x:c>
      <x:c r="I23" s="74" t="str">
        <x:v>Puncture; infection</x:v>
      </x:c>
      <x:c r="J23" s="74" t="str">
        <x:v>H1</x:v>
      </x:c>
    </x:row>
    <x:row r="24" ht="40.5" customHeight="1">
      <x:c r="A24" s="74" t="str">
        <x:v>SV-020</x:v>
      </x:c>
      <x:c r="B24" s="74" t="str">
        <x:v>Fish skin</x:v>
      </x:c>
      <x:c r="C24" s="74" t="str">
        <x:v>Natural drift</x:v>
      </x:c>
      <x:c r="D24" s="74" t="str">
        <x:v>Daily strandline</x:v>
      </x:c>
      <x:c r="E24" s="74" t="str">
        <x:v>skin</x:v>
      </x:c>
      <x:c r="F24" s="74" t="str">
        <x:v>Bait; glue experiment; leather route if fresh</x:v>
      </x:c>
      <x:c r="G24" s="74" t="str">
        <x:v>Oil; collagen; compost</x:v>
      </x:c>
      <x:c r="H24" s="74" t="str">
        <x:v>Assess freshness; scrape; cure</x:v>
      </x:c>
      <x:c r="I24" s="74" t="str">
        <x:v>Rapid spoilage; parasites</x:v>
      </x:c>
      <x:c r="J24" s="74" t="str">
        <x:v>H1</x:v>
      </x:c>
    </x:row>
    <x:row r="25" ht="40.5" customHeight="1">
      <x:c r="A25" s="74" t="str">
        <x:v>SV-021</x:v>
      </x:c>
      <x:c r="B25" s="74" t="str">
        <x:v>Pumice stone</x:v>
      </x:c>
      <x:c r="C25" s="74" t="str">
        <x:v>Natural drift</x:v>
      </x:c>
      <x:c r="D25" s="74" t="str">
        <x:v>Seasonal current</x:v>
      </x:c>
      <x:c r="E25" s="74" t="str">
        <x:v>stone</x:v>
      </x:c>
      <x:c r="F25" s="74" t="str">
        <x:v>Abrasive; float marker; scrubber</x:v>
      </x:c>
      <x:c r="G25" s="74" t="str">
        <x:v>Filter support media after cleaning</x:v>
      </x:c>
      <x:c r="H25" s="74" t="str">
        <x:v>Wash; grade; test friability</x:v>
      </x:c>
      <x:c r="I25" s="74" t="str">
        <x:v>Dust; hidden contaminants</x:v>
      </x:c>
      <x:c r="J25" s="74" t="str">
        <x:v>H0</x:v>
      </x:c>
    </x:row>
    <x:row r="26" ht="40.5" customHeight="1">
      <x:c r="A26" s="74" t="str">
        <x:v>SV-022</x:v>
      </x:c>
      <x:c r="B26" s="74" t="str">
        <x:v>Clay lump</x:v>
      </x:c>
      <x:c r="C26" s="74" t="str">
        <x:v>Natural drift</x:v>
      </x:c>
      <x:c r="D26" s="74" t="str">
        <x:v>Eroded-bank event</x:v>
      </x:c>
      <x:c r="E26" s="74" t="str">
        <x:v>clay</x:v>
      </x:c>
      <x:c r="F26" s="74" t="str">
        <x:v>Seal hearth; daub; pottery test</x:v>
      </x:c>
      <x:c r="G26" s="74" t="str">
        <x:v>Crucible; kiln; ceramic filters after proof</x:v>
      </x:c>
      <x:c r="H26" s="74" t="str">
        <x:v>Slake; screen; test tile</x:v>
      </x:c>
      <x:c r="I26" s="74" t="str">
        <x:v>Unknown salts; firing cracks</x:v>
      </x:c>
      <x:c r="J26" s="74" t="str">
        <x:v>H1</x:v>
      </x:c>
    </x:row>
    <x:row r="27" ht="40.5" customHeight="1">
      <x:c r="A27" s="74" t="str">
        <x:v>SV-023</x:v>
      </x:c>
      <x:c r="B27" s="74" t="str">
        <x:v>Quartz-rich sand</x:v>
      </x:c>
      <x:c r="C27" s="74" t="str">
        <x:v>Natural drift</x:v>
      </x:c>
      <x:c r="D27" s="74" t="str">
        <x:v>Daily strandline</x:v>
      </x:c>
      <x:c r="E27" s="74" t="str">
        <x:v>mineral</x:v>
      </x:c>
      <x:c r="F27" s="74" t="str">
        <x:v>Abrasive; drainage; mold media</x:v>
      </x:c>
      <x:c r="G27" s="74" t="str">
        <x:v>Glass route; mortar; filtration support</x:v>
      </x:c>
      <x:c r="H27" s="74" t="str">
        <x:v>Wash; grade; dry</x:v>
      </x:c>
      <x:c r="I27" s="74" t="str">
        <x:v>Silica dust; not a disinfectant</x:v>
      </x:c>
      <x:c r="J27" s="74" t="str">
        <x:v>H0</x:v>
      </x:c>
    </x:row>
    <x:row r="28" ht="40.5" customHeight="1">
      <x:c r="A28" s="74" t="str">
        <x:v>SV-024</x:v>
      </x:c>
      <x:c r="B28" s="74" t="str">
        <x:v>Gravel cobbles</x:v>
      </x:c>
      <x:c r="C28" s="74" t="str">
        <x:v>Natural drift</x:v>
      </x:c>
      <x:c r="D28" s="74" t="str">
        <x:v>Daily strandline</x:v>
      </x:c>
      <x:c r="E28" s="74" t="str">
        <x:v>stone</x:v>
      </x:c>
      <x:c r="F28" s="74" t="str">
        <x:v>Hearth bed; drainage; hammerstone candidates</x:v>
      </x:c>
      <x:c r="G28" s="74" t="str">
        <x:v>Aggregate; thermal mass</x:v>
      </x:c>
      <x:c r="H28" s="74" t="str">
        <x:v>Sort; percussion and heat test</x:v>
      </x:c>
      <x:c r="I28" s="74" t="str">
        <x:v>Some stones fracture when heated</x:v>
      </x:c>
      <x:c r="J28" s="74" t="str">
        <x:v>H0</x:v>
      </x:c>
    </x:row>
    <x:row r="29" ht="40.5" customHeight="1">
      <x:c r="A29" s="74" t="str">
        <x:v>SV-025</x:v>
      </x:c>
      <x:c r="B29" s="74" t="str">
        <x:v>Salt crust</x:v>
      </x:c>
      <x:c r="C29" s="74" t="str">
        <x:v>Natural drift</x:v>
      </x:c>
      <x:c r="D29" s="74" t="str">
        <x:v>Dry-season exposure</x:v>
      </x:c>
      <x:c r="E29" s="74" t="str">
        <x:v>mineral</x:v>
      </x:c>
      <x:c r="F29" s="74" t="str">
        <x:v>Food salt only after source proof; brine; curing</x:v>
      </x:c>
      <x:c r="G29" s="74" t="str">
        <x:v>Chemical and tanning processes</x:v>
      </x:c>
      <x:c r="H29" s="74" t="str">
        <x:v>Dissolve; filter; recrystallize</x:v>
      </x:c>
      <x:c r="I29" s="74" t="str">
        <x:v>Pollution; excessive intake</x:v>
      </x:c>
      <x:c r="J29" s="74" t="str">
        <x:v>H1</x:v>
      </x:c>
    </x:row>
    <x:row r="30" ht="40.5" customHeight="1">
      <x:c r="A30" s="74" t="str">
        <x:v>SV-026</x:v>
      </x:c>
      <x:c r="B30" s="74" t="str">
        <x:v>Tar ball</x:v>
      </x:c>
      <x:c r="C30" s="74" t="str">
        <x:v>Natural drift</x:v>
      </x:c>
      <x:c r="D30" s="74" t="str">
        <x:v>Pollution pulse</x:v>
      </x:c>
      <x:c r="E30" s="74" t="str">
        <x:v>petroleum residue</x:v>
      </x:c>
      <x:c r="F30" s="74" t="str">
        <x:v>Story clue; possible waterproofing only after identification</x:v>
      </x:c>
      <x:c r="G30" s="74" t="str">
        <x:v>Hazard waste; fuel experiment under controls</x:v>
      </x:c>
      <x:c r="H30" s="74" t="str">
        <x:v>Gloves; isolate; test</x:v>
      </x:c>
      <x:c r="I30" s="74" t="str">
        <x:v>Toxic fumes; skin contact; contamination</x:v>
      </x:c>
      <x:c r="J30" s="74" t="str">
        <x:v>H3</x:v>
      </x:c>
    </x:row>
    <x:row r="31" ht="40.5" customHeight="1">
      <x:c r="A31" s="74" t="str">
        <x:v>SV-027</x:v>
      </x:c>
      <x:c r="B31" s="74" t="str">
        <x:v>Natural resin lump</x:v>
      </x:c>
      <x:c r="C31" s="74" t="str">
        <x:v>Natural drift</x:v>
      </x:c>
      <x:c r="D31" s="74" t="str">
        <x:v>Seasonal current</x:v>
      </x:c>
      <x:c r="E31" s="74" t="str">
        <x:v>resin</x:v>
      </x:c>
      <x:c r="F31" s="74" t="str">
        <x:v>Adhesive; fire starter; sealant</x:v>
      </x:c>
      <x:c r="G31" s="74" t="str">
        <x:v>Pitch compound; varnish</x:v>
      </x:c>
      <x:c r="H31" s="74" t="str">
        <x:v>Clean; heat gently; mix and test</x:v>
      </x:c>
      <x:c r="I31" s="74" t="str">
        <x:v>Flammable; irritant fumes</x:v>
      </x:c>
      <x:c r="J31" s="74" t="str">
        <x:v>H1</x:v>
      </x:c>
    </x:row>
    <x:row r="32" ht="40.5" customHeight="1">
      <x:c r="A32" s="74" t="str">
        <x:v>SV-028</x:v>
      </x:c>
      <x:c r="B32" s="74" t="str">
        <x:v>Cork bark piece</x:v>
      </x:c>
      <x:c r="C32" s="74" t="str">
        <x:v>Natural drift</x:v>
      </x:c>
      <x:c r="D32" s="74" t="str">
        <x:v>Cargo leakage</x:v>
      </x:c>
      <x:c r="E32" s="74" t="str">
        <x:v>cork</x:v>
      </x:c>
      <x:c r="F32" s="74" t="str">
        <x:v>Float; gasket; grip; insulation</x:v>
      </x:c>
      <x:c r="G32" s="74" t="str">
        <x:v>Stoppers; net floats; sanding block</x:v>
      </x:c>
      <x:c r="H32" s="74" t="str">
        <x:v>Rinse; dry; inspect oil contamination</x:v>
      </x:c>
      <x:c r="I32" s="74" t="str">
        <x:v>Burning smoke; degraded crumb</x:v>
      </x:c>
      <x:c r="J32" s="74" t="str">
        <x:v>H0</x:v>
      </x:c>
    </x:row>
    <x:row r="33" ht="40.5" customHeight="1">
      <x:c r="A33" s="74" t="str">
        <x:v>SV-029</x:v>
      </x:c>
      <x:c r="B33" s="74" t="str">
        <x:v>Message bottle</x:v>
      </x:c>
      <x:c r="C33" s="74" t="str">
        <x:v>Human trace</x:v>
      </x:c>
      <x:c r="D33" s="74" t="str">
        <x:v>Rare narrative drift</x:v>
      </x:c>
      <x:c r="E33" s="74" t="str">
        <x:v>glass + paper</x:v>
      </x:c>
      <x:c r="F33" s="74" t="str">
        <x:v>Clue; sealed dry container; dated map fragment</x:v>
      </x:c>
      <x:c r="G33" s="74" t="str">
        <x:v>Glass jar; cork; paper fiber</x:v>
      </x:c>
      <x:c r="H33" s="74" t="str">
        <x:v>Inspect unopened; photograph or copy clue</x:v>
      </x:c>
      <x:c r="I33" s="74" t="str">
        <x:v>Broken glass; false information</x:v>
      </x:c>
      <x:c r="J33" s="74" t="str">
        <x:v>H1</x:v>
      </x:c>
    </x:row>
    <x:row r="34" ht="40.5" customHeight="1">
      <x:c r="A34" s="74" t="str">
        <x:v>SV-030</x:v>
      </x:c>
      <x:c r="B34" s="74" t="str">
        <x:v>Weather buoy fragment</x:v>
      </x:c>
      <x:c r="C34" s="74" t="str">
        <x:v>Instrument drift</x:v>
      </x:c>
      <x:c r="D34" s="74" t="str">
        <x:v>Rare current event</x:v>
      </x:c>
      <x:c r="E34" s="74" t="str">
        <x:v>polymer + metal</x:v>
      </x:c>
      <x:c r="F34" s="74" t="str">
        <x:v>Marker; float; instrument donor</x:v>
      </x:c>
      <x:c r="G34" s="74" t="str">
        <x:v>Solar cell; battery; antenna; shell</x:v>
      </x:c>
      <x:c r="H34" s="74" t="str">
        <x:v>Identify markings; depower; disassemble</x:v>
      </x:c>
      <x:c r="I34" s="74" t="str">
        <x:v>Battery; capacitor; sharp shell; ownership clue</x:v>
      </x:c>
      <x:c r="J34" s="74" t="str">
        <x:v>H3</x:v>
      </x:c>
    </x:row>
    <x:row r="35" ht="40.5" customHeight="1">
      <x:c r="A35" s="74" t="str">
        <x:v>SV-031</x:v>
      </x:c>
      <x:c r="B35" s="74" t="str">
        <x:v>Polypropylene rope</x:v>
      </x:c>
      <x:c r="C35" s="74" t="str">
        <x:v>Fishing gear</x:v>
      </x:c>
      <x:c r="D35" s="74" t="str">
        <x:v>Daily strandline</x:v>
      </x:c>
      <x:c r="E35" s="74" t="str">
        <x:v>polymer fiber</x:v>
      </x:c>
      <x:c r="F35" s="74" t="str">
        <x:v>Rigging; hauling; mooring; rescue line after proof</x:v>
      </x:c>
      <x:c r="G35" s="74" t="str">
        <x:v>Short cord; lashings; melted ends</x:v>
      </x:c>
      <x:c r="H35" s="74" t="str">
        <x:v>Untangle; wash; inspect; proof load</x:v>
      </x:c>
      <x:c r="I35" s="74" t="str">
        <x:v>UV damage; cuts; entanglement</x:v>
      </x:c>
      <x:c r="J35" s="74" t="str">
        <x:v>H1</x:v>
      </x:c>
    </x:row>
    <x:row r="36" ht="40.5" customHeight="1">
      <x:c r="A36" s="74" t="str">
        <x:v>SV-032</x:v>
      </x:c>
      <x:c r="B36" s="74" t="str">
        <x:v>Nylon rope</x:v>
      </x:c>
      <x:c r="C36" s="74" t="str">
        <x:v>Fishing gear</x:v>
      </x:c>
      <x:c r="D36" s="74" t="str">
        <x:v>Post-storm pulse</x:v>
      </x:c>
      <x:c r="E36" s="74" t="str">
        <x:v>polymer fiber</x:v>
      </x:c>
      <x:c r="F36" s="74" t="str">
        <x:v>Shock-absorbing line; net repair</x:v>
      </x:c>
      <x:c r="G36" s="74" t="str">
        <x:v>Cord; lashings; woven straps</x:v>
      </x:c>
      <x:c r="H36" s="74" t="str">
        <x:v>Wash; dry; inspect; proof load</x:v>
      </x:c>
      <x:c r="I36" s="74" t="str">
        <x:v>Strength loss when wet or UV-damaged; recoil</x:v>
      </x:c>
      <x:c r="J36" s="74" t="str">
        <x:v>H1</x:v>
      </x:c>
    </x:row>
    <x:row r="37" ht="40.5" customHeight="1">
      <x:c r="A37" s="74" t="str">
        <x:v>SV-033</x:v>
      </x:c>
      <x:c r="B37" s="74" t="str">
        <x:v>Natural-fiber rope</x:v>
      </x:c>
      <x:c r="C37" s="74" t="str">
        <x:v>Fishing gear</x:v>
      </x:c>
      <x:c r="D37" s="74" t="str">
        <x:v>Wreck breakup</x:v>
      </x:c>
      <x:c r="E37" s="74" t="str">
        <x:v>plant fiber</x:v>
      </x:c>
      <x:c r="F37" s="74" t="str">
        <x:v>Lashings; handles; tinder when retired</x:v>
      </x:c>
      <x:c r="G37" s="74" t="str">
        <x:v>Oakum; caulking; fiber</x:v>
      </x:c>
      <x:c r="H37" s="74" t="str">
        <x:v>Untie; dry; inspect rot</x:v>
      </x:c>
      <x:c r="I37" s="74" t="str">
        <x:v>Hidden rot; mildew</x:v>
      </x:c>
      <x:c r="J37" s="74" t="str">
        <x:v>H0</x:v>
      </x:c>
    </x:row>
    <x:row r="38" ht="40.5" customHeight="1">
      <x:c r="A38" s="74" t="str">
        <x:v>SV-034</x:v>
      </x:c>
      <x:c r="B38" s="74" t="str">
        <x:v>Monofilament line</x:v>
      </x:c>
      <x:c r="C38" s="74" t="str">
        <x:v>Fishing gear</x:v>
      </x:c>
      <x:c r="D38" s="74" t="str">
        <x:v>Daily strandline</x:v>
      </x:c>
      <x:c r="E38" s="74" t="str">
        <x:v>polymer fiber</x:v>
      </x:c>
      <x:c r="F38" s="74" t="str">
        <x:v>Fishing leaders; sewing heavy sheet; snare trigger</x:v>
      </x:c>
      <x:c r="G38" s="74" t="str">
        <x:v>Short ties only</x:v>
      </x:c>
      <x:c r="H38" s="74" t="str">
        <x:v>Untangle with gloves; inspect nicks</x:v>
      </x:c>
      <x:c r="I38" s="74" t="str">
        <x:v>Nearly invisible entanglement; wildlife hazard</x:v>
      </x:c>
      <x:c r="J38" s="74" t="str">
        <x:v>H1</x:v>
      </x:c>
    </x:row>
    <x:row r="39" ht="40.5" customHeight="1">
      <x:c r="A39" s="74" t="str">
        <x:v>SV-035</x:v>
      </x:c>
      <x:c r="B39" s="74" t="str">
        <x:v>Braided fishing line</x:v>
      </x:c>
      <x:c r="C39" s="74" t="str">
        <x:v>Fishing gear</x:v>
      </x:c>
      <x:c r="D39" s="74" t="str">
        <x:v>Daily strandline</x:v>
      </x:c>
      <x:c r="E39" s="74" t="str">
        <x:v>polymer fiber</x:v>
      </x:c>
      <x:c r="F39" s="74" t="str">
        <x:v>Fishing; whipping; fine high-strength cord</x:v>
      </x:c>
      <x:c r="G39" s="74" t="str">
        <x:v>Stitching; lash repair</x:v>
      </x:c>
      <x:c r="H39" s="74" t="str">
        <x:v>Untangle; rinse; inspect</x:v>
      </x:c>
      <x:c r="I39" s="74" t="str">
        <x:v>Cuts skin under tension</x:v>
      </x:c>
      <x:c r="J39" s="74" t="str">
        <x:v>H1</x:v>
      </x:c>
    </x:row>
    <x:row r="40" ht="40.5" customHeight="1">
      <x:c r="A40" s="74" t="str">
        <x:v>SV-036</x:v>
      </x:c>
      <x:c r="B40" s="74" t="str">
        <x:v>Net panel</x:v>
      </x:c>
      <x:c r="C40" s="74" t="str">
        <x:v>Fishing gear</x:v>
      </x:c>
      <x:c r="D40" s="74" t="str">
        <x:v>Daily strandline</x:v>
      </x:c>
      <x:c r="E40" s="74" t="str">
        <x:v>polymer fiber</x:v>
      </x:c>
      <x:c r="F40" s="74" t="str">
        <x:v>Repairable fishing net; cargo hammock; fence</x:v>
      </x:c>
      <x:c r="G40" s="74" t="str">
        <x:v>Twine; bags; lashings</x:v>
      </x:c>
      <x:c r="H40" s="74" t="str">
        <x:v>Free animals; wash; map tears; mend</x:v>
      </x:c>
      <x:c r="I40" s="74" t="str">
        <x:v>Ghost fishing; entanglement; biofouling</x:v>
      </x:c>
      <x:c r="J40" s="74" t="str">
        <x:v>H1</x:v>
      </x:c>
    </x:row>
    <x:row r="41" ht="40.5" customHeight="1">
      <x:c r="A41" s="74" t="str">
        <x:v>SV-037</x:v>
      </x:c>
      <x:c r="B41" s="74" t="str">
        <x:v>Gillnet section</x:v>
      </x:c>
      <x:c r="C41" s="74" t="str">
        <x:v>Fishing gear</x:v>
      </x:c>
      <x:c r="D41" s="74" t="str">
        <x:v>Post-storm pulse</x:v>
      </x:c>
      <x:c r="E41" s="74" t="str">
        <x:v>polymer fiber</x:v>
      </x:c>
      <x:c r="F41" s="74" t="str">
        <x:v>Donor mesh; marked controlled net only</x:v>
      </x:c>
      <x:c r="G41" s="74" t="str">
        <x:v>Fine twine; floats; sinkers</x:v>
      </x:c>
      <x:c r="H41" s="74" t="str">
        <x:v>Quarantine; cut free wildlife; dismantle</x:v>
      </x:c>
      <x:c r="I41" s="74" t="str">
        <x:v>Severe ghost-fishing hazard</x:v>
      </x:c>
      <x:c r="J41" s="74" t="str">
        <x:v>H2</x:v>
      </x:c>
    </x:row>
    <x:row r="42" ht="40.5" customHeight="1">
      <x:c r="A42" s="74" t="str">
        <x:v>SV-038</x:v>
      </x:c>
      <x:c r="B42" s="74" t="str">
        <x:v>Trawl net section</x:v>
      </x:c>
      <x:c r="C42" s="74" t="str">
        <x:v>Fishing gear</x:v>
      </x:c>
      <x:c r="D42" s="74" t="str">
        <x:v>Post-storm pulse</x:v>
      </x:c>
      <x:c r="E42" s="74" t="str">
        <x:v>polymer fiber</x:v>
      </x:c>
      <x:c r="F42" s="74" t="str">
        <x:v>Heavy cargo net; shade; donor twine</x:v>
      </x:c>
      <x:c r="G42" s="74" t="str">
        <x:v>Rope; mesh patches</x:v>
      </x:c>
      <x:c r="H42" s="74" t="str">
        <x:v>Cut into controlled panels; wash</x:v>
      </x:c>
      <x:c r="I42" s="74" t="str">
        <x:v>Entanglement; extreme mass when wet</x:v>
      </x:c>
      <x:c r="J42" s="74" t="str">
        <x:v>H2</x:v>
      </x:c>
    </x:row>
    <x:row r="43" ht="40.5" customHeight="1">
      <x:c r="A43" s="74" t="str">
        <x:v>SV-039</x:v>
      </x:c>
      <x:c r="B43" s="74" t="str">
        <x:v>Longline branchline</x:v>
      </x:c>
      <x:c r="C43" s="74" t="str">
        <x:v>Fishing gear</x:v>
      </x:c>
      <x:c r="D43" s="74" t="str">
        <x:v>Daily strandline</x:v>
      </x:c>
      <x:c r="E43" s="74" t="str">
        <x:v>line + metal</x:v>
      </x:c>
      <x:c r="F43" s="74" t="str">
        <x:v>Fishing rig after inspection</x:v>
      </x:c>
      <x:c r="G43" s="74" t="str">
        <x:v>Hook; swivel; line</x:v>
      </x:c>
      <x:c r="H43" s="74" t="str">
        <x:v>Gloves; dehook; coil</x:v>
      </x:c>
      <x:c r="I43" s="74" t="str">
        <x:v>Hidden hooks; punctures</x:v>
      </x:c>
      <x:c r="J43" s="74" t="str">
        <x:v>H1</x:v>
      </x:c>
    </x:row>
    <x:row r="44" ht="40.5" customHeight="1">
      <x:c r="A44" s="74" t="str">
        <x:v>SV-040</x:v>
      </x:c>
      <x:c r="B44" s="74" t="str">
        <x:v>Fishing hook</x:v>
      </x:c>
      <x:c r="C44" s="74" t="str">
        <x:v>Fishing gear</x:v>
      </x:c>
      <x:c r="D44" s="74" t="str">
        <x:v>Daily strandline</x:v>
      </x:c>
      <x:c r="E44" s="74" t="str">
        <x:v>steel</x:v>
      </x:c>
      <x:c r="F44" s="74" t="str">
        <x:v>Fishing; sewing fid tip; small hanging hook</x:v>
      </x:c>
      <x:c r="G44" s="74" t="str">
        <x:v>Steel stock if ruined</x:v>
      </x:c>
      <x:c r="H44" s="74" t="str">
        <x:v>Pliers; debarb or sharpen; disinfect</x:v>
      </x:c>
      <x:c r="I44" s="74" t="str">
        <x:v>Puncture; rust; embedded bait</x:v>
      </x:c>
      <x:c r="J44" s="74" t="str">
        <x:v>H1</x:v>
      </x:c>
    </x:row>
    <x:row r="45" ht="40.5" customHeight="1">
      <x:c r="A45" s="74" t="str">
        <x:v>SV-041</x:v>
      </x:c>
      <x:c r="B45" s="74" t="str">
        <x:v>Treble hook</x:v>
      </x:c>
      <x:c r="C45" s="74" t="str">
        <x:v>Fishing gear</x:v>
      </x:c>
      <x:c r="D45" s="74" t="str">
        <x:v>Daily strandline</x:v>
      </x:c>
      <x:c r="E45" s="74" t="str">
        <x:v>steel</x:v>
      </x:c>
      <x:c r="F45" s="74" t="str">
        <x:v>Large-lure fishing only</x:v>
      </x:c>
      <x:c r="G45" s="74" t="str">
        <x:v>Three hooks or scrap steel</x:v>
      </x:c>
      <x:c r="H45" s="74" t="str">
        <x:v>Pliers; cap points; disassemble</x:v>
      </x:c>
      <x:c r="I45" s="74" t="str">
        <x:v>Multiple puncture risk</x:v>
      </x:c>
      <x:c r="J45" s="74" t="str">
        <x:v>H2</x:v>
      </x:c>
    </x:row>
    <x:row r="46" ht="40.5" customHeight="1">
      <x:c r="A46" s="74" t="str">
        <x:v>SV-042</x:v>
      </x:c>
      <x:c r="B46" s="74" t="str">
        <x:v>Fishing swivel</x:v>
      </x:c>
      <x:c r="C46" s="74" t="str">
        <x:v>Fishing gear</x:v>
      </x:c>
      <x:c r="D46" s="74" t="str">
        <x:v>Daily strandline</x:v>
      </x:c>
      <x:c r="E46" s="74" t="str">
        <x:v>metal</x:v>
      </x:c>
      <x:c r="F46" s="74" t="str">
        <x:v>Reduce line twist; rotating linkage</x:v>
      </x:c>
      <x:c r="G46" s="74" t="str">
        <x:v>Tiny rings; pins</x:v>
      </x:c>
      <x:c r="H46" s="74" t="str">
        <x:v>Needle-nose pliers; rinse and lubricate</x:v>
      </x:c>
      <x:c r="I46" s="74" t="str">
        <x:v>Corrosion; small-part loss</x:v>
      </x:c>
      <x:c r="J46" s="74" t="str">
        <x:v>H2</x:v>
      </x:c>
    </x:row>
    <x:row r="47" ht="40.5" customHeight="1">
      <x:c r="A47" s="74" t="str">
        <x:v>SV-043</x:v>
      </x:c>
      <x:c r="B47" s="74" t="str">
        <x:v>Snap clip</x:v>
      </x:c>
      <x:c r="C47" s="74" t="str">
        <x:v>Fishing gear</x:v>
      </x:c>
      <x:c r="D47" s="74" t="str">
        <x:v>Daily strandline</x:v>
      </x:c>
      <x:c r="E47" s="74" t="str">
        <x:v>steel</x:v>
      </x:c>
      <x:c r="F47" s="74" t="str">
        <x:v>Quick line connection; light hanging</x:v>
      </x:c>
      <x:c r="G47" s="74" t="str">
        <x:v>Spring wire; loop</x:v>
      </x:c>
      <x:c r="H47" s="74" t="str">
        <x:v>Open by hand or pliers; test spring</x:v>
      </x:c>
      <x:c r="I47" s="74" t="str">
        <x:v>Can release under load; corrosion</x:v>
      </x:c>
      <x:c r="J47" s="74" t="str">
        <x:v>H1</x:v>
      </x:c>
    </x:row>
    <x:row r="48" ht="40.5" customHeight="1">
      <x:c r="A48" s="74" t="str">
        <x:v>SV-044</x:v>
      </x:c>
      <x:c r="B48" s="74" t="str">
        <x:v>Lead sinker</x:v>
      </x:c>
      <x:c r="C48" s="74" t="str">
        <x:v>Fishing gear</x:v>
      </x:c>
      <x:c r="D48" s="74" t="str">
        <x:v>Daily strandline</x:v>
      </x:c>
      <x:c r="E48" s="74" t="str">
        <x:v>lead</x:v>
      </x:c>
      <x:c r="F48" s="74" t="str">
        <x:v>Fishing weight; balance weight in sealed use</x:v>
      </x:c>
      <x:c r="G48" s="74" t="str">
        <x:v>Lead stock for non-contact casting</x:v>
      </x:c>
      <x:c r="H48" s="74" t="str">
        <x:v>Gloves; isolate; cold-handle only</x:v>
      </x:c>
      <x:c r="I48" s="74" t="str">
        <x:v>Lead toxicity; contamination</x:v>
      </x:c>
      <x:c r="J48" s="74" t="str">
        <x:v>H3</x:v>
      </x:c>
    </x:row>
    <x:row r="49" ht="40.5" customHeight="1">
      <x:c r="A49" s="74" t="str">
        <x:v>SV-045</x:v>
      </x:c>
      <x:c r="B49" s="74" t="str">
        <x:v>Steel sinker</x:v>
      </x:c>
      <x:c r="C49" s="74" t="str">
        <x:v>Fishing gear</x:v>
      </x:c>
      <x:c r="D49" s="74" t="str">
        <x:v>Daily strandline</x:v>
      </x:c>
      <x:c r="E49" s="74" t="str">
        <x:v>steel</x:v>
      </x:c>
      <x:c r="F49" s="74" t="str">
        <x:v>Fishing weight; plumb bob; counterweight</x:v>
      </x:c>
      <x:c r="G49" s="74" t="str">
        <x:v>Steel scrap</x:v>
      </x:c>
      <x:c r="H49" s="74" t="str">
        <x:v>Inspect rust; attach securely</x:v>
      </x:c>
      <x:c r="I49" s="74" t="str">
        <x:v>Falling weight; sharp rust</x:v>
      </x:c>
      <x:c r="J49" s="74" t="str">
        <x:v>H1</x:v>
      </x:c>
    </x:row>
    <x:row r="50" ht="40.5" customHeight="1">
      <x:c r="A50" s="74" t="str">
        <x:v>SV-046</x:v>
      </x:c>
      <x:c r="B50" s="74" t="str">
        <x:v>Cork net float</x:v>
      </x:c>
      <x:c r="C50" s="74" t="str">
        <x:v>Fishing gear</x:v>
      </x:c>
      <x:c r="D50" s="74" t="str">
        <x:v>Daily strandline</x:v>
      </x:c>
      <x:c r="E50" s="74" t="str">
        <x:v>cork</x:v>
      </x:c>
      <x:c r="F50" s="74" t="str">
        <x:v>Float; marker; gasket stock</x:v>
      </x:c>
      <x:c r="G50" s="74" t="str">
        <x:v>Stoppers; grips</x:v>
      </x:c>
      <x:c r="H50" s="74" t="str">
        <x:v>Rinse; dry</x:v>
      </x:c>
      <x:c r="I50" s="74" t="str">
        <x:v>Oil or biological contamination</x:v>
      </x:c>
      <x:c r="J50" s="74" t="str">
        <x:v>H0</x:v>
      </x:c>
    </x:row>
    <x:row r="51" ht="40.5" customHeight="1">
      <x:c r="A51" s="74" t="str">
        <x:v>SV-047</x:v>
      </x:c>
      <x:c r="B51" s="74" t="str">
        <x:v>Plastic net float</x:v>
      </x:c>
      <x:c r="C51" s="74" t="str">
        <x:v>Fishing gear</x:v>
      </x:c>
      <x:c r="D51" s="74" t="str">
        <x:v>Daily strandline</x:v>
      </x:c>
      <x:c r="E51" s="74" t="str">
        <x:v>polymer</x:v>
      </x:c>
      <x:c r="F51" s="74" t="str">
        <x:v>Marker; outrigger float; line winder</x:v>
      </x:c>
      <x:c r="G51" s="74" t="str">
        <x:v>Plastic shell; caps</x:v>
      </x:c>
      <x:c r="H51" s="74" t="str">
        <x:v>Inspect seal; wash</x:v>
      </x:c>
      <x:c r="I51" s="74" t="str">
        <x:v>Microplastic shedding; unknown contents</x:v>
      </x:c>
      <x:c r="J51" s="74" t="str">
        <x:v>H1</x:v>
      </x:c>
    </x:row>
    <x:row r="52" ht="40.5" customHeight="1">
      <x:c r="A52" s="74" t="str">
        <x:v>SV-048</x:v>
      </x:c>
      <x:c r="B52" s="74" t="str">
        <x:v>Fishing buoy</x:v>
      </x:c>
      <x:c r="C52" s="74" t="str">
        <x:v>Fishing gear</x:v>
      </x:c>
      <x:c r="D52" s="74" t="str">
        <x:v>Post-storm pulse</x:v>
      </x:c>
      <x:c r="E52" s="74" t="str">
        <x:v>polymer + metal</x:v>
      </x:c>
      <x:c r="F52" s="74" t="str">
        <x:v>Mooring marker; salvage cache marker</x:v>
      </x:c>
      <x:c r="G52" s="74" t="str">
        <x:v>Float shell; rope; eye fitting</x:v>
      </x:c>
      <x:c r="H52" s="74" t="str">
        <x:v>Inspect markings; wash; open only if needed</x:v>
      </x:c>
      <x:c r="I52" s="74" t="str">
        <x:v>Pressure plug; biofouling; ownership clue</x:v>
      </x:c>
      <x:c r="J52" s="74" t="str">
        <x:v>H1</x:v>
      </x:c>
    </x:row>
    <x:row r="53" ht="40.5" customHeight="1">
      <x:c r="A53" s="74" t="str">
        <x:v>SV-049</x:v>
      </x:c>
      <x:c r="B53" s="74" t="str">
        <x:v>Marker flag</x:v>
      </x:c>
      <x:c r="C53" s="74" t="str">
        <x:v>Fishing gear</x:v>
      </x:c>
      <x:c r="D53" s="74" t="str">
        <x:v>Daily strandline</x:v>
      </x:c>
      <x:c r="E53" s="74" t="str">
        <x:v>cloth + rod</x:v>
      </x:c>
      <x:c r="F53" s="74" t="str">
        <x:v>Signal; wind indicator; survey marker</x:v>
      </x:c>
      <x:c r="G53" s="74" t="str">
        <x:v>Cloth patches; rod</x:v>
      </x:c>
      <x:c r="H53" s="74" t="str">
        <x:v>Wash; dry; inspect</x:v>
      </x:c>
      <x:c r="I53" s="74" t="str">
        <x:v>Contaminated cloth; sharp rod</x:v>
      </x:c>
      <x:c r="J53" s="74" t="str">
        <x:v>H0</x:v>
      </x:c>
    </x:row>
    <x:row r="54" ht="40.5" customHeight="1">
      <x:c r="A54" s="74" t="str">
        <x:v>SV-050</x:v>
      </x:c>
      <x:c r="B54" s="74" t="str">
        <x:v>Fish crate</x:v>
      </x:c>
      <x:c r="C54" s="74" t="str">
        <x:v>Fishing gear</x:v>
      </x:c>
      <x:c r="D54" s="74" t="str">
        <x:v>Daily strandline</x:v>
      </x:c>
      <x:c r="E54" s="74" t="str">
        <x:v>polymer</x:v>
      </x:c>
      <x:c r="F54" s="74" t="str">
        <x:v>Stackable storage; drying rack; trap body</x:v>
      </x:c>
      <x:c r="G54" s="74" t="str">
        <x:v>Plastic slats; handles</x:v>
      </x:c>
      <x:c r="H54" s="74" t="str">
        <x:v>Wash and disinfect; inspect cracks</x:v>
      </x:c>
      <x:c r="I54" s="74" t="str">
        <x:v>Biological contamination</x:v>
      </x:c>
      <x:c r="J54" s="74" t="str">
        <x:v>H1</x:v>
      </x:c>
    </x:row>
    <x:row r="55" ht="40.5" customHeight="1">
      <x:c r="A55" s="74" t="str">
        <x:v>SV-051</x:v>
      </x:c>
      <x:c r="B55" s="74" t="str">
        <x:v>Insulated fish box</x:v>
      </x:c>
      <x:c r="C55" s="74" t="str">
        <x:v>Fishing gear</x:v>
      </x:c>
      <x:c r="D55" s="74" t="str">
        <x:v>Post-storm pulse</x:v>
      </x:c>
      <x:c r="E55" s="74" t="str">
        <x:v>polymer + foam</x:v>
      </x:c>
      <x:c r="F55" s="74" t="str">
        <x:v>Cool box; dry storage; seat</x:v>
      </x:c>
      <x:c r="G55" s="74" t="str">
        <x:v>Foam; lid; hinges</x:v>
      </x:c>
      <x:c r="H55" s="74" t="str">
        <x:v>Wash; identify foam; inspect seal</x:v>
      </x:c>
      <x:c r="I55" s="74" t="str">
        <x:v>Rotten fish residue; closed-space mold</x:v>
      </x:c>
      <x:c r="J55" s="74" t="str">
        <x:v>H1</x:v>
      </x:c>
    </x:row>
    <x:row r="56" ht="40.5" customHeight="1">
      <x:c r="A56" s="74" t="str">
        <x:v>SV-052</x:v>
      </x:c>
      <x:c r="B56" s="74" t="str">
        <x:v>Bait bucket</x:v>
      </x:c>
      <x:c r="C56" s="74" t="str">
        <x:v>Fishing gear</x:v>
      </x:c>
      <x:c r="D56" s="74" t="str">
        <x:v>Daily strandline</x:v>
      </x:c>
      <x:c r="E56" s="74" t="str">
        <x:v>polymer</x:v>
      </x:c>
      <x:c r="F56" s="74" t="str">
        <x:v>Water carrier for non-potable use; bait well</x:v>
      </x:c>
      <x:c r="G56" s="74" t="str">
        <x:v>Bucket; lid; handle</x:v>
      </x:c>
      <x:c r="H56" s="74" t="str">
        <x:v>Wash; label dedicated use</x:v>
      </x:c>
      <x:c r="I56" s="74" t="str">
        <x:v>Chemical or biological contamination</x:v>
      </x:c>
      <x:c r="J56" s="74" t="str">
        <x:v>H1</x:v>
      </x:c>
    </x:row>
    <x:row r="57" ht="40.5" customHeight="1">
      <x:c r="A57" s="74" t="str">
        <x:v>SV-053</x:v>
      </x:c>
      <x:c r="B57" s="74" t="str">
        <x:v>Wire fish-trap frame</x:v>
      </x:c>
      <x:c r="C57" s="74" t="str">
        <x:v>Fishing gear</x:v>
      </x:c>
      <x:c r="D57" s="74" t="str">
        <x:v>Post-storm pulse</x:v>
      </x:c>
      <x:c r="E57" s="74" t="str">
        <x:v>steel wire</x:v>
      </x:c>
      <x:c r="F57" s="74" t="str">
        <x:v>Repairable trap; rack; cage</x:v>
      </x:c>
      <x:c r="G57" s="74" t="str">
        <x:v>Wire; mesh; clips</x:v>
      </x:c>
      <x:c r="H57" s="74" t="str">
        <x:v>Free wildlife; cut with side cutters</x:v>
      </x:c>
      <x:c r="I57" s="74" t="str">
        <x:v>Sharp rust; ghost fishing</x:v>
      </x:c>
      <x:c r="J57" s="74" t="str">
        <x:v>H2</x:v>
      </x:c>
    </x:row>
    <x:row r="58" ht="40.5" customHeight="1">
      <x:c r="A58" s="74" t="str">
        <x:v>SV-054</x:v>
      </x:c>
      <x:c r="B58" s="74" t="str">
        <x:v>Fish-trap entrance funnel</x:v>
      </x:c>
      <x:c r="C58" s="74" t="str">
        <x:v>Fishing gear</x:v>
      </x:c>
      <x:c r="D58" s="74" t="str">
        <x:v>Post-storm pulse</x:v>
      </x:c>
      <x:c r="E58" s="74" t="str">
        <x:v>mesh + frame</x:v>
      </x:c>
      <x:c r="F58" s="74" t="str">
        <x:v>Trap repair; one-way chute for storage bin</x:v>
      </x:c>
      <x:c r="G58" s="74" t="str">
        <x:v>Mesh; rings</x:v>
      </x:c>
      <x:c r="H58" s="74" t="str">
        <x:v>Unclip or cut ties</x:v>
      </x:c>
      <x:c r="I58" s="74" t="str">
        <x:v>Entanglement</x:v>
      </x:c>
      <x:c r="J58" s="74" t="str">
        <x:v>H1</x:v>
      </x:c>
    </x:row>
    <x:row r="59" ht="40.5" customHeight="1">
      <x:c r="A59" s="74" t="str">
        <x:v>SV-055</x:v>
      </x:c>
      <x:c r="B59" s="74" t="str">
        <x:v>Gaff hook</x:v>
      </x:c>
      <x:c r="C59" s="74" t="str">
        <x:v>Fishing gear</x:v>
      </x:c>
      <x:c r="D59" s="74" t="str">
        <x:v>Wreck breakup</x:v>
      </x:c>
      <x:c r="E59" s="74" t="str">
        <x:v>steel + handle</x:v>
      </x:c>
      <x:c r="F59" s="74" t="str">
        <x:v>Land fish; retrieve floating objects</x:v>
      </x:c>
      <x:c r="G59" s="74" t="str">
        <x:v>Hook; handle; fastener</x:v>
      </x:c>
      <x:c r="H59" s="74" t="str">
        <x:v>Inspect and rehaft; cap when stored</x:v>
      </x:c>
      <x:c r="I59" s="74" t="str">
        <x:v>Severe puncture</x:v>
      </x:c>
      <x:c r="J59" s="74" t="str">
        <x:v>H2</x:v>
      </x:c>
    </x:row>
    <x:row r="60" ht="40.5" customHeight="1">
      <x:c r="A60" s="74" t="str">
        <x:v>SV-056</x:v>
      </x:c>
      <x:c r="B60" s="74" t="str">
        <x:v>Netting needle</x:v>
      </x:c>
      <x:c r="C60" s="74" t="str">
        <x:v>Fishing gear</x:v>
      </x:c>
      <x:c r="D60" s="74" t="str">
        <x:v>Daily strandline</x:v>
      </x:c>
      <x:c r="E60" s="74" t="str">
        <x:v>plastic or wood</x:v>
      </x:c>
      <x:c r="F60" s="74" t="str">
        <x:v>Mend nets; organize cord</x:v>
      </x:c>
      <x:c r="G60" s="74" t="str">
        <x:v>Shuttle; gauge blank</x:v>
      </x:c>
      <x:c r="H60" s="74" t="str">
        <x:v>Wash; smooth edges</x:v>
      </x:c>
      <x:c r="I60" s="74" t="str">
        <x:v>Low</x:v>
      </x:c>
      <x:c r="J60" s="74" t="str">
        <x:v>H0</x:v>
      </x:c>
    </x:row>
    <x:row r="61" ht="40.5" customHeight="1">
      <x:c r="A61" s="74" t="str">
        <x:v>SV-057</x:v>
      </x:c>
      <x:c r="B61" s="74" t="str">
        <x:v>Small shackle</x:v>
      </x:c>
      <x:c r="C61" s="74" t="str">
        <x:v>Fishing gear</x:v>
      </x:c>
      <x:c r="D61" s="74" t="str">
        <x:v>Daily strandline</x:v>
      </x:c>
      <x:c r="E61" s="74" t="str">
        <x:v>steel</x:v>
      </x:c>
      <x:c r="F61" s="74" t="str">
        <x:v>Join chain; rope eye; anchor gear</x:v>
      </x:c>
      <x:c r="G61" s="74" t="str">
        <x:v>Pin; bow</x:v>
      </x:c>
      <x:c r="H61" s="74" t="str">
        <x:v>Shackle key or pliers; inspect threads</x:v>
      </x:c>
      <x:c r="I61" s="74" t="str">
        <x:v>Seized pin; untrusted load rating</x:v>
      </x:c>
      <x:c r="J61" s="74" t="str">
        <x:v>H2</x:v>
      </x:c>
    </x:row>
    <x:row r="62" ht="40.5" customHeight="1">
      <x:c r="A62" s="74" t="str">
        <x:v>SV-058</x:v>
      </x:c>
      <x:c r="B62" s="74" t="str">
        <x:v>Chain length</x:v>
      </x:c>
      <x:c r="C62" s="74" t="str">
        <x:v>Fishing gear</x:v>
      </x:c>
      <x:c r="D62" s="74" t="str">
        <x:v>Post-storm pulse</x:v>
      </x:c>
      <x:c r="E62" s="74" t="str">
        <x:v>steel</x:v>
      </x:c>
      <x:c r="F62" s="74" t="str">
        <x:v>Anchor rode; security; ballast; pot weight</x:v>
      </x:c>
      <x:c r="G62" s="74" t="str">
        <x:v>Links; hooks; steel stock</x:v>
      </x:c>
      <x:c r="H62" s="74" t="str">
        <x:v>Inspect each link; proof only non-life-critical use</x:v>
      </x:c>
      <x:c r="I62" s="74" t="str">
        <x:v>Hidden corrosion; crushing</x:v>
      </x:c>
      <x:c r="J62" s="74" t="str">
        <x:v>H2</x:v>
      </x:c>
    </x:row>
    <x:row r="63" ht="40.5" customHeight="1">
      <x:c r="A63" s="74" t="str">
        <x:v>SV-059</x:v>
      </x:c>
      <x:c r="B63" s="74" t="str">
        <x:v>Grapnel anchor</x:v>
      </x:c>
      <x:c r="C63" s="74" t="str">
        <x:v>Fishing gear</x:v>
      </x:c>
      <x:c r="D63" s="74" t="str">
        <x:v>Rare drift</x:v>
      </x:c>
      <x:c r="E63" s="74" t="str">
        <x:v>steel</x:v>
      </x:c>
      <x:c r="F63" s="74" t="str">
        <x:v>Anchor small craft; drag for submerged salvage</x:v>
      </x:c>
      <x:c r="G63" s="74" t="str">
        <x:v>Hooks; chain; steel stock</x:v>
      </x:c>
      <x:c r="H63" s="74" t="str">
        <x:v>Inspect; attach proofed rode</x:v>
      </x:c>
      <x:c r="I63" s="74" t="str">
        <x:v>Snagging; uncontrolled release</x:v>
      </x:c>
      <x:c r="J63" s="74" t="str">
        <x:v>H3</x:v>
      </x:c>
    </x:row>
    <x:row r="64" ht="40.5" customHeight="1">
      <x:c r="A64" s="74" t="str">
        <x:v>SV-060</x:v>
      </x:c>
      <x:c r="B64" s="74" t="str">
        <x:v>Derelict fish pot</x:v>
      </x:c>
      <x:c r="C64" s="74" t="str">
        <x:v>Fishing gear</x:v>
      </x:c>
      <x:c r="D64" s="74" t="str">
        <x:v>Post-storm pulse</x:v>
      </x:c>
      <x:c r="E64" s="74" t="str">
        <x:v>mixed</x:v>
      </x:c>
      <x:c r="F64" s="74" t="str">
        <x:v>Repairable trap; cage; rack</x:v>
      </x:c>
      <x:c r="G64" s="74" t="str">
        <x:v>Frame; mesh; rope; funnel; weights</x:v>
      </x:c>
      <x:c r="H64" s="74" t="str">
        <x:v>Free wildlife first; inventory; dismantle</x:v>
      </x:c>
      <x:c r="I64" s="74" t="str">
        <x:v>Ghost fishing; trapped animals; sharp metal</x:v>
      </x:c>
      <x:c r="J64" s="74" t="str">
        <x:v>H2</x:v>
      </x:c>
    </x:row>
    <x:row r="65" ht="40.5" customHeight="1">
      <x:c r="A65" s="74" t="str">
        <x:v>SV-061</x:v>
      </x:c>
      <x:c r="B65" s="74" t="str">
        <x:v>Hull plank</x:v>
      </x:c>
      <x:c r="C65" s="74" t="str">
        <x:v>Boat structure</x:v>
      </x:c>
      <x:c r="D65" s="74" t="str">
        <x:v>Wreck breakup</x:v>
      </x:c>
      <x:c r="E65" s="74" t="str">
        <x:v>wood</x:v>
      </x:c>
      <x:c r="F65" s="74" t="str">
        <x:v>Shelter panel; bench; repair patch after grading</x:v>
      </x:c>
      <x:c r="G65" s="74" t="str">
        <x:v>Boards; pegs; fuel if unsound</x:v>
      </x:c>
      <x:c r="H65" s="74" t="str">
        <x:v>Remove fasteners; rinse; dry; grade</x:v>
      </x:c>
      <x:c r="I65" s="74" t="str">
        <x:v>Rot; paint toxins; embedded nails</x:v>
      </x:c>
      <x:c r="J65" s="74" t="str">
        <x:v>H1</x:v>
      </x:c>
    </x:row>
    <x:row r="66" ht="40.5" customHeight="1">
      <x:c r="A66" s="74" t="str">
        <x:v>SV-062</x:v>
      </x:c>
      <x:c r="B66" s="74" t="str">
        <x:v>Marine plywood panel</x:v>
      </x:c>
      <x:c r="C66" s="74" t="str">
        <x:v>Boat structure</x:v>
      </x:c>
      <x:c r="D66" s="74" t="str">
        <x:v>Wreck breakup</x:v>
      </x:c>
      <x:c r="E66" s="74" t="str">
        <x:v>wood composite</x:v>
      </x:c>
      <x:c r="F66" s="74" t="str">
        <x:v>Roof; floor; box; jig base</x:v>
      </x:c>
      <x:c r="G66" s="74" t="str">
        <x:v>Smaller panels; fuel only if coating-safe</x:v>
      </x:c>
      <x:c r="H66" s="74" t="str">
        <x:v>Unscrew; pry carefully; dry flat</x:v>
      </x:c>
      <x:c r="I66" s="74" t="str">
        <x:v>Delamination; toxic coatings; hidden screws</x:v>
      </x:c>
      <x:c r="J66" s="74" t="str">
        <x:v>H2</x:v>
      </x:c>
    </x:row>
    <x:row r="67" ht="40.5" customHeight="1">
      <x:c r="A67" s="74" t="str">
        <x:v>SV-063</x:v>
      </x:c>
      <x:c r="B67" s="74" t="str">
        <x:v>Fiberglass hull panel</x:v>
      </x:c>
      <x:c r="C67" s="74" t="str">
        <x:v>Boat structure</x:v>
      </x:c>
      <x:c r="D67" s="74" t="str">
        <x:v>Wreck breakup</x:v>
      </x:c>
      <x:c r="E67" s="74" t="str">
        <x:v>glass fiber composite</x:v>
      </x:c>
      <x:c r="F67" s="74" t="str">
        <x:v>Roof; windbreak; boat patch; rigid tray</x:v>
      </x:c>
      <x:c r="G67" s="74" t="str">
        <x:v>Flat coupons; reinforcing cloth only with proper process</x:v>
      </x:c>
      <x:c r="H67" s="74" t="str">
        <x:v>Cut with saw; wet-control dust; seal edges</x:v>
      </x:c>
      <x:c r="I67" s="74" t="str">
        <x:v>Glass fibers; resin fumes; fire smoke</x:v>
      </x:c>
      <x:c r="J67" s="74" t="str">
        <x:v>H3</x:v>
      </x:c>
    </x:row>
    <x:row r="68" ht="40.5" customHeight="1">
      <x:c r="A68" s="74" t="str">
        <x:v>SV-064</x:v>
      </x:c>
      <x:c r="B68" s="74" t="str">
        <x:v>Aluminum hull plate</x:v>
      </x:c>
      <x:c r="C68" s="74" t="str">
        <x:v>Boat structure</x:v>
      </x:c>
      <x:c r="D68" s="74" t="str">
        <x:v>Wreck breakup</x:v>
      </x:c>
      <x:c r="E68" s="74" t="str">
        <x:v>aluminum</x:v>
      </x:c>
      <x:c r="F68" s="74" t="str">
        <x:v>Roofing; flashing; gutter; brackets; reflector</x:v>
      </x:c>
      <x:c r="G68" s="74" t="str">
        <x:v>Sheet coupons; rivets; angle stock</x:v>
      </x:c>
      <x:c r="H68" s="74" t="str">
        <x:v>Unscrew or drill rivets; deburr</x:v>
      </x:c>
      <x:c r="I68" s="74" t="str">
        <x:v>Sharp edges; fatigue cracks; coatings</x:v>
      </x:c>
      <x:c r="J68" s="74" t="str">
        <x:v>H2</x:v>
      </x:c>
    </x:row>
    <x:row r="69" ht="40.5" customHeight="1">
      <x:c r="A69" s="74" t="str">
        <x:v>SV-065</x:v>
      </x:c>
      <x:c r="B69" s="74" t="str">
        <x:v>Steel hull plate</x:v>
      </x:c>
      <x:c r="C69" s="74" t="str">
        <x:v>Boat structure</x:v>
      </x:c>
      <x:c r="D69" s="74" t="str">
        <x:v>Rare wreck breakup</x:v>
      </x:c>
      <x:c r="E69" s="74" t="str">
        <x:v>steel</x:v>
      </x:c>
      <x:c r="F69" s="74" t="str">
        <x:v>Stove body; forge plate; brackets; anvil surface</x:v>
      </x:c>
      <x:c r="G69" s="74" t="str">
        <x:v>Sheet; bar; scrap feed</x:v>
      </x:c>
      <x:c r="H69" s="74" t="str">
        <x:v>Unbolt or cold-cut; descale</x:v>
      </x:c>
      <x:c r="I69" s="74" t="str">
        <x:v>Weight; sharp edge; lead paint; corrosion</x:v>
      </x:c>
      <x:c r="J69" s="74" t="str">
        <x:v>H3</x:v>
      </x:c>
    </x:row>
    <x:row r="70" ht="40.5" customHeight="1">
      <x:c r="A70" s="74" t="str">
        <x:v>SV-066</x:v>
      </x:c>
      <x:c r="B70" s="74" t="str">
        <x:v>Hull frame or rib</x:v>
      </x:c>
      <x:c r="C70" s="74" t="str">
        <x:v>Boat structure</x:v>
      </x:c>
      <x:c r="D70" s="74" t="str">
        <x:v>Wreck breakup</x:v>
      </x:c>
      <x:c r="E70" s="74" t="str">
        <x:v>wood or metal</x:v>
      </x:c>
      <x:c r="F70" s="74" t="str">
        <x:v>Structural brace; jig; boat repair pattern</x:v>
      </x:c>
      <x:c r="G70" s="74" t="str">
        <x:v>Curved stock; brackets; fasteners</x:v>
      </x:c>
      <x:c r="H70" s="74" t="str">
        <x:v>Expose joints; unbolt or cut</x:v>
      </x:c>
      <x:c r="I70" s="74" t="str">
        <x:v>Stored stress; hidden fasteners</x:v>
      </x:c>
      <x:c r="J70" s="74" t="str">
        <x:v>H2</x:v>
      </x:c>
    </x:row>
    <x:row r="71" ht="40.5" customHeight="1">
      <x:c r="A71" s="74" t="str">
        <x:v>SV-067</x:v>
      </x:c>
      <x:c r="B71" s="74" t="str">
        <x:v>Stringer section</x:v>
      </x:c>
      <x:c r="C71" s="74" t="str">
        <x:v>Boat structure</x:v>
      </x:c>
      <x:c r="D71" s="74" t="str">
        <x:v>Wreck breakup</x:v>
      </x:c>
      <x:c r="E71" s="74" t="str">
        <x:v>wood or aluminum</x:v>
      </x:c>
      <x:c r="F71" s="74" t="str">
        <x:v>Long stiffener; rail; machine base</x:v>
      </x:c>
      <x:c r="G71" s="74" t="str">
        <x:v>Straight stock; brackets</x:v>
      </x:c>
      <x:c r="H71" s="74" t="str">
        <x:v>Unscrew or drill rivets</x:v>
      </x:c>
      <x:c r="I71" s="74" t="str">
        <x:v>Fatigue; hidden corrosion</x:v>
      </x:c>
      <x:c r="J71" s="74" t="str">
        <x:v>H2</x:v>
      </x:c>
    </x:row>
    <x:row r="72" ht="40.5" customHeight="1">
      <x:c r="A72" s="74" t="str">
        <x:v>SV-068</x:v>
      </x:c>
      <x:c r="B72" s="74" t="str">
        <x:v>Bulkhead panel</x:v>
      </x:c>
      <x:c r="C72" s="74" t="str">
        <x:v>Boat structure</x:v>
      </x:c>
      <x:c r="D72" s="74" t="str">
        <x:v>Wreck breakup</x:v>
      </x:c>
      <x:c r="E72" s="74" t="str">
        <x:v>mixed panel</x:v>
      </x:c>
      <x:c r="F72" s="74" t="str">
        <x:v>Wall; door; bench top; windbreak</x:v>
      </x:c>
      <x:c r="G72" s="74" t="str">
        <x:v>Flat sheet; insulation; frame</x:v>
      </x:c>
      <x:c r="H72" s="74" t="str">
        <x:v>Inventory layers; remove perimeter fasteners</x:v>
      </x:c>
      <x:c r="I72" s="74" t="str">
        <x:v>Mold; asbestos or foam; hidden wire</x:v>
      </x:c>
      <x:c r="J72" s="74" t="str">
        <x:v>H3</x:v>
      </x:c>
    </x:row>
    <x:row r="73" ht="40.5" customHeight="1">
      <x:c r="A73" s="74" t="str">
        <x:v>SV-069</x:v>
      </x:c>
      <x:c r="B73" s="74" t="str">
        <x:v>Deck board</x:v>
      </x:c>
      <x:c r="C73" s="74" t="str">
        <x:v>Boat structure</x:v>
      </x:c>
      <x:c r="D73" s="74" t="str">
        <x:v>Daily wreck breakup</x:v>
      </x:c>
      <x:c r="E73" s="74" t="str">
        <x:v>wood composite</x:v>
      </x:c>
      <x:c r="F73" s="74" t="str">
        <x:v>Walkway; bench; drying rack</x:v>
      </x:c>
      <x:c r="G73" s="74" t="str">
        <x:v>Boards; strips</x:v>
      </x:c>
      <x:c r="H73" s="74" t="str">
        <x:v>Pull screws; rinse; dry</x:v>
      </x:c>
      <x:c r="I73" s="74" t="str">
        <x:v>Rot; non-slip coating contaminants</x:v>
      </x:c>
      <x:c r="J73" s="74" t="str">
        <x:v>H1</x:v>
      </x:c>
    </x:row>
    <x:row r="74" ht="40.5" customHeight="1">
      <x:c r="A74" s="74" t="str">
        <x:v>SV-070</x:v>
      </x:c>
      <x:c r="B74" s="74" t="str">
        <x:v>Hatch lid</x:v>
      </x:c>
      <x:c r="C74" s="74" t="str">
        <x:v>Boat structure</x:v>
      </x:c>
      <x:c r="D74" s="74" t="str">
        <x:v>Wreck breakup</x:v>
      </x:c>
      <x:c r="E74" s="74" t="str">
        <x:v>mixed</x:v>
      </x:c>
      <x:c r="F74" s="74" t="str">
        <x:v>Storage lid; work surface; storm shutter</x:v>
      </x:c>
      <x:c r="G74" s="74" t="str">
        <x:v>Panel; hinges; latch; gasket; screws</x:v>
      </x:c>
      <x:c r="H74" s="74" t="str">
        <x:v>Unscrew hinges and latch; preserve gasket</x:v>
      </x:c>
      <x:c r="I74" s="74" t="str">
        <x:v>Pinch points; glass; seized screws</x:v>
      </x:c>
      <x:c r="J74" s="74" t="str">
        <x:v>H2</x:v>
      </x:c>
    </x:row>
    <x:row r="75" ht="40.5" customHeight="1">
      <x:c r="A75" s="74" t="str">
        <x:v>SV-071</x:v>
      </x:c>
      <x:c r="B75" s="74" t="str">
        <x:v>Cabin door</x:v>
      </x:c>
      <x:c r="C75" s="74" t="str">
        <x:v>Boat structure</x:v>
      </x:c>
      <x:c r="D75" s="74" t="str">
        <x:v>Rare wreck breakup</x:v>
      </x:c>
      <x:c r="E75" s="74" t="str">
        <x:v>mixed</x:v>
      </x:c>
      <x:c r="F75" s="74" t="str">
        <x:v>Shelter door; workbench top; raft deck</x:v>
      </x:c>
      <x:c r="G75" s="74" t="str">
        <x:v>Panel; hinges; handle; lock; fasteners</x:v>
      </x:c>
      <x:c r="H75" s="74" t="str">
        <x:v>Support weight; unscrew hardware</x:v>
      </x:c>
      <x:c r="I75" s="74" t="str">
        <x:v>Heavy; broken glass; trapped tension</x:v>
      </x:c>
      <x:c r="J75" s="74" t="str">
        <x:v>H2</x:v>
      </x:c>
    </x:row>
    <x:row r="76" ht="40.5" customHeight="1">
      <x:c r="A76" s="74" t="str">
        <x:v>SV-072</x:v>
      </x:c>
      <x:c r="B76" s="74" t="str">
        <x:v>Acrylic window</x:v>
      </x:c>
      <x:c r="C76" s="74" t="str">
        <x:v>Boat structure</x:v>
      </x:c>
      <x:c r="D76" s="74" t="str">
        <x:v>Wreck breakup</x:v>
      </x:c>
      <x:c r="E76" s="74" t="str">
        <x:v>acrylic</x:v>
      </x:c>
      <x:c r="F76" s="74" t="str">
        <x:v>Glazing; light pipe; template; splash shield</x:v>
      </x:c>
      <x:c r="G76" s="74" t="str">
        <x:v>Small clear panels</x:v>
      </x:c>
      <x:c r="H76" s="74" t="str">
        <x:v>Unscrew frame; cut with fine saw</x:v>
      </x:c>
      <x:c r="I76" s="74" t="str">
        <x:v>Cracks; sharp edges; crazing</x:v>
      </x:c>
      <x:c r="J76" s="74" t="str">
        <x:v>H2</x:v>
      </x:c>
    </x:row>
    <x:row r="77" ht="40.5" customHeight="1">
      <x:c r="A77" s="74" t="str">
        <x:v>SV-073</x:v>
      </x:c>
      <x:c r="B77" s="74" t="str">
        <x:v>Tempered glass pane</x:v>
      </x:c>
      <x:c r="C77" s="74" t="str">
        <x:v>Boat structure</x:v>
      </x:c>
      <x:c r="D77" s="74" t="str">
        <x:v>Rare wreck breakup</x:v>
      </x:c>
      <x:c r="E77" s="74" t="str">
        <x:v>glass</x:v>
      </x:c>
      <x:c r="F77" s="74" t="str">
        <x:v>Window if intact; flat working reference</x:v>
      </x:c>
      <x:c r="G77" s="74" t="str">
        <x:v>Glass shards only as hazardous scrap</x:v>
      </x:c>
      <x:c r="H77" s="74" t="str">
        <x:v>Remove gasket and frame intact</x:v>
      </x:c>
      <x:c r="I77" s="74" t="str">
        <x:v>Explosive shattering; sharp fragments</x:v>
      </x:c>
      <x:c r="J77" s="74" t="str">
        <x:v>H3</x:v>
      </x:c>
    </x:row>
    <x:row r="78" ht="40.5" customHeight="1">
      <x:c r="A78" s="74" t="str">
        <x:v>SV-074</x:v>
      </x:c>
      <x:c r="B78" s="74" t="str">
        <x:v>Mast section</x:v>
      </x:c>
      <x:c r="C78" s="74" t="str">
        <x:v>Boat rig</x:v>
      </x:c>
      <x:c r="D78" s="74" t="str">
        <x:v>Rare wreck breakup</x:v>
      </x:c>
      <x:c r="E78" s="74" t="str">
        <x:v>wood or aluminum</x:v>
      </x:c>
      <x:c r="F78" s="74" t="str">
        <x:v>Tower; derrick; antenna mast; long beam</x:v>
      </x:c>
      <x:c r="G78" s="74" t="str">
        <x:v>Tube; track; fittings</x:v>
      </x:c>
      <x:c r="H78" s="74" t="str">
        <x:v>Unbolt fittings; inspect straightness</x:v>
      </x:c>
      <x:c r="I78" s="74" t="str">
        <x:v>Falls; stored rig tension; corrosion</x:v>
      </x:c>
      <x:c r="J78" s="74" t="str">
        <x:v>H3</x:v>
      </x:c>
    </x:row>
    <x:row r="79" ht="40.5" customHeight="1">
      <x:c r="A79" s="74" t="str">
        <x:v>SV-075</x:v>
      </x:c>
      <x:c r="B79" s="74" t="str">
        <x:v>Boom section</x:v>
      </x:c>
      <x:c r="C79" s="74" t="str">
        <x:v>Boat rig</x:v>
      </x:c>
      <x:c r="D79" s="74" t="str">
        <x:v>Wreck breakup</x:v>
      </x:c>
      <x:c r="E79" s="74" t="str">
        <x:v>wood or aluminum</x:v>
      </x:c>
      <x:c r="F79" s="74" t="str">
        <x:v>Crane arm; ridge beam; lever</x:v>
      </x:c>
      <x:c r="G79" s="74" t="str">
        <x:v>Tube; fittings</x:v>
      </x:c>
      <x:c r="H79" s="74" t="str">
        <x:v>Release lines; unshackle; inspect</x:v>
      </x:c>
      <x:c r="I79" s="74" t="str">
        <x:v>Swing hazard; hidden cracks</x:v>
      </x:c>
      <x:c r="J79" s="74" t="str">
        <x:v>H2</x:v>
      </x:c>
    </x:row>
    <x:row r="80" ht="40.5" customHeight="1">
      <x:c r="A80" s="74" t="str">
        <x:v>SV-076</x:v>
      </x:c>
      <x:c r="B80" s="74" t="str">
        <x:v>Sailcloth panel</x:v>
      </x:c>
      <x:c r="C80" s="74" t="str">
        <x:v>Boat rig</x:v>
      </x:c>
      <x:c r="D80" s="74" t="str">
        <x:v>Post-storm pulse</x:v>
      </x:c>
      <x:c r="E80" s="74" t="str">
        <x:v>woven synthetic or canvas</x:v>
      </x:c>
      <x:c r="F80" s="74" t="str">
        <x:v>Sail repair; tarp; rain catch; shade</x:v>
      </x:c>
      <x:c r="G80" s="74" t="str">
        <x:v>Patches; bags; straps; cord edge</x:v>
      </x:c>
      <x:c r="H80" s="74" t="str">
        <x:v>Unpick seams; wash; dry</x:v>
      </x:c>
      <x:c r="I80" s="74" t="str">
        <x:v>Mildew; UV weakness; contaminated coating</x:v>
      </x:c>
      <x:c r="J80" s="74" t="str">
        <x:v>H1</x:v>
      </x:c>
    </x:row>
    <x:row r="81" ht="40.5" customHeight="1">
      <x:c r="A81" s="74" t="str">
        <x:v>SV-077</x:v>
      </x:c>
      <x:c r="B81" s="74" t="str">
        <x:v>Canvas cover</x:v>
      </x:c>
      <x:c r="C81" s="74" t="str">
        <x:v>Boat rig</x:v>
      </x:c>
      <x:c r="D81" s="74" t="str">
        <x:v>Daily wreck breakup</x:v>
      </x:c>
      <x:c r="E81" s="74" t="str">
        <x:v>canvas</x:v>
      </x:c>
      <x:c r="F81" s="74" t="str">
        <x:v>Tarp; pack; door; bucket cover</x:v>
      </x:c>
      <x:c r="G81" s="74" t="str">
        <x:v>Patches; straps; wick if clean natural fiber</x:v>
      </x:c>
      <x:c r="H81" s="74" t="str">
        <x:v>Unlace; wash; dry; inspect</x:v>
      </x:c>
      <x:c r="I81" s="74" t="str">
        <x:v>Mold; fuel contamination</x:v>
      </x:c>
      <x:c r="J81" s="74" t="str">
        <x:v>H1</x:v>
      </x:c>
    </x:row>
    <x:row r="82" ht="40.5" customHeight="1">
      <x:c r="A82" s="74" t="str">
        <x:v>SV-078</x:v>
      </x:c>
      <x:c r="B82" s="74" t="str">
        <x:v>Tarpaulin</x:v>
      </x:c>
      <x:c r="C82" s="74" t="str">
        <x:v>Cargo drift</x:v>
      </x:c>
      <x:c r="D82" s="74" t="str">
        <x:v>Post-storm pulse</x:v>
      </x:c>
      <x:c r="E82" s="74" t="str">
        <x:v>coated fabric</x:v>
      </x:c>
      <x:c r="F82" s="74" t="str">
        <x:v>Roof; rain catch; groundsheet; cargo wrap</x:v>
      </x:c>
      <x:c r="G82" s="74" t="str">
        <x:v>Patches; waterproof panels</x:v>
      </x:c>
      <x:c r="H82" s="74" t="str">
        <x:v>Untie; wash; patch</x:v>
      </x:c>
      <x:c r="I82" s="74" t="str">
        <x:v>Tears propagate; unknown coating smoke</x:v>
      </x:c>
      <x:c r="J82" s="74" t="str">
        <x:v>H1</x:v>
      </x:c>
    </x:row>
    <x:row r="83" ht="40.5" customHeight="1">
      <x:c r="A83" s="74" t="str">
        <x:v>SV-079</x:v>
      </x:c>
      <x:c r="B83" s="74" t="str">
        <x:v>Webbing strap</x:v>
      </x:c>
      <x:c r="C83" s="74" t="str">
        <x:v>Boat rig</x:v>
      </x:c>
      <x:c r="D83" s="74" t="str">
        <x:v>Daily wreck breakup</x:v>
      </x:c>
      <x:c r="E83" s="74" t="str">
        <x:v>synthetic fiber</x:v>
      </x:c>
      <x:c r="F83" s="74" t="str">
        <x:v>Tie-down; pack strap; belt; hinge</x:v>
      </x:c>
      <x:c r="G83" s="74" t="str">
        <x:v>Short straps; loops</x:v>
      </x:c>
      <x:c r="H83" s="74" t="str">
        <x:v>Unbuckle or cut only if seized; inspect</x:v>
      </x:c>
      <x:c r="I83" s="74" t="str">
        <x:v>UV damage; untrusted for life support</x:v>
      </x:c>
      <x:c r="J83" s="74" t="str">
        <x:v>H1</x:v>
      </x:c>
    </x:row>
    <x:row r="84" ht="40.5" customHeight="1">
      <x:c r="A84" s="74" t="str">
        <x:v>SV-080</x:v>
      </x:c>
      <x:c r="B84" s="74" t="str">
        <x:v>Seat-belt buckle</x:v>
      </x:c>
      <x:c r="C84" s="74" t="str">
        <x:v>Boat rig</x:v>
      </x:c>
      <x:c r="D84" s="74" t="str">
        <x:v>Wreck breakup</x:v>
      </x:c>
      <x:c r="E84" s="74" t="str">
        <x:v>metal + polymer</x:v>
      </x:c>
      <x:c r="F84" s="74" t="str">
        <x:v>Quick-release strap hardware</x:v>
      </x:c>
      <x:c r="G84" s="74" t="str">
        <x:v>Springs; plates; fasteners</x:v>
      </x:c>
      <x:c r="H84" s="74" t="str">
        <x:v>Unthread webbing; unscrew mount</x:v>
      </x:c>
      <x:c r="I84" s="74" t="str">
        <x:v>May jam with salt; not climbing-rated</x:v>
      </x:c>
      <x:c r="J84" s="74" t="str">
        <x:v>H2</x:v>
      </x:c>
    </x:row>
    <x:row r="85" ht="40.5" customHeight="1">
      <x:c r="A85" s="74" t="str">
        <x:v>SV-081</x:v>
      </x:c>
      <x:c r="B85" s="74" t="str">
        <x:v>Closed-cell foam cushion</x:v>
      </x:c>
      <x:c r="C85" s="74" t="str">
        <x:v>Boat cabin</x:v>
      </x:c>
      <x:c r="D85" s="74" t="str">
        <x:v>Post-storm pulse</x:v>
      </x:c>
      <x:c r="E85" s="74" t="str">
        <x:v>foam</x:v>
      </x:c>
      <x:c r="F85" s="74" t="str">
        <x:v>Flotation after proof; insulation; padding</x:v>
      </x:c>
      <x:c r="G85" s="74" t="str">
        <x:v>Gaskets; knee pads; packing</x:v>
      </x:c>
      <x:c r="H85" s="74" t="str">
        <x:v>Open cover; identify closed-cell; wash</x:v>
      </x:c>
      <x:c r="I85" s="74" t="str">
        <x:v>Fuel saturation; toxic smoke; false flotation</x:v>
      </x:c>
      <x:c r="J85" s="74" t="str">
        <x:v>H2</x:v>
      </x:c>
    </x:row>
    <x:row r="86" ht="40.5" customHeight="1">
      <x:c r="A86" s="74" t="str">
        <x:v>SV-082</x:v>
      </x:c>
      <x:c r="B86" s="74" t="str">
        <x:v>Cabin upholstery cloth</x:v>
      </x:c>
      <x:c r="C86" s="74" t="str">
        <x:v>Boat cabin</x:v>
      </x:c>
      <x:c r="D86" s="74" t="str">
        <x:v>Wreck breakup</x:v>
      </x:c>
      <x:c r="E86" s="74" t="str">
        <x:v>textile</x:v>
      </x:c>
      <x:c r="F86" s="74" t="str">
        <x:v>Patches; bags; shade; insulation layer</x:v>
      </x:c>
      <x:c r="G86" s="74" t="str">
        <x:v>Thread; strips; stuffing</x:v>
      </x:c>
      <x:c r="H86" s="74" t="str">
        <x:v>Unpick seams; wash; dry</x:v>
      </x:c>
      <x:c r="I86" s="74" t="str">
        <x:v>Mold; flame retardants; biological residue</x:v>
      </x:c>
      <x:c r="J86" s="74" t="str">
        <x:v>H1</x:v>
      </x:c>
    </x:row>
    <x:row r="87" ht="40.5" customHeight="1">
      <x:c r="A87" s="74" t="str">
        <x:v>SV-083</x:v>
      </x:c>
      <x:c r="B87" s="74" t="str">
        <x:v>Leather strap</x:v>
      </x:c>
      <x:c r="C87" s="74" t="str">
        <x:v>Boat cabin</x:v>
      </x:c>
      <x:c r="D87" s="74" t="str">
        <x:v>Daily wreck breakup</x:v>
      </x:c>
      <x:c r="E87" s="74" t="str">
        <x:v>leather</x:v>
      </x:c>
      <x:c r="F87" s="74" t="str">
        <x:v>Belt; hinge; tool sheath; gasket</x:v>
      </x:c>
      <x:c r="G87" s="74" t="str">
        <x:v>Laces; washers; patches</x:v>
      </x:c>
      <x:c r="H87" s="74" t="str">
        <x:v>Unbuckle; clean; oil; inspect</x:v>
      </x:c>
      <x:c r="I87" s="74" t="str">
        <x:v>Rot; salt stiffness</x:v>
      </x:c>
      <x:c r="J87" s="74" t="str">
        <x:v>H1</x:v>
      </x:c>
    </x:row>
    <x:row r="88" ht="40.5" customHeight="1">
      <x:c r="A88" s="74" t="str">
        <x:v>SV-084</x:v>
      </x:c>
      <x:c r="B88" s="74" t="str">
        <x:v>Wire rope</x:v>
      </x:c>
      <x:c r="C88" s="74" t="str">
        <x:v>Boat rig</x:v>
      </x:c>
      <x:c r="D88" s="74" t="str">
        <x:v>Rare wreck breakup</x:v>
      </x:c>
      <x:c r="E88" s="74" t="str">
        <x:v>steel cable</x:v>
      </x:c>
      <x:c r="F88" s="74" t="str">
        <x:v>Guy line; winch cable only after inspection</x:v>
      </x:c>
      <x:c r="G88" s="74" t="str">
        <x:v>Wire strands; loops; reinforcement</x:v>
      </x:c>
      <x:c r="H88" s="74" t="str">
        <x:v>Release tension; cut with cable cutter; cap ends</x:v>
      </x:c>
      <x:c r="I88" s="74" t="str">
        <x:v>Stored energy; needle wires; hidden corrosion</x:v>
      </x:c>
      <x:c r="J88" s="74" t="str">
        <x:v>H3</x:v>
      </x:c>
    </x:row>
    <x:row r="89" ht="40.5" customHeight="1">
      <x:c r="A89" s="74" t="str">
        <x:v>SV-085</x:v>
      </x:c>
      <x:c r="B89" s="74" t="str">
        <x:v>Rigging block</x:v>
      </x:c>
      <x:c r="C89" s="74" t="str">
        <x:v>Boat rig</x:v>
      </x:c>
      <x:c r="D89" s="74" t="str">
        <x:v>Wreck breakup</x:v>
      </x:c>
      <x:c r="E89" s="74" t="str">
        <x:v>wood or metal</x:v>
      </x:c>
      <x:c r="F89" s="74" t="str">
        <x:v>Pulley for lifting; water draw; workshop power transfer</x:v>
      </x:c>
      <x:c r="G89" s="74" t="str">
        <x:v>Sheave; pin; cheek plates; bush</x:v>
      </x:c>
      <x:c r="H89" s="74" t="str">
        <x:v>Unshackle; clean; inspect; proof</x:v>
      </x:c>
      <x:c r="I89" s="74" t="str">
        <x:v>Crushing; cracked sheave; untrusted rating</x:v>
      </x:c>
      <x:c r="J89" s="74" t="str">
        <x:v>H2</x:v>
      </x:c>
    </x:row>
    <x:row r="90" ht="40.5" customHeight="1">
      <x:c r="A90" s="74" t="str">
        <x:v>SV-086</x:v>
      </x:c>
      <x:c r="B90" s="74" t="str">
        <x:v>Pulley sheave</x:v>
      </x:c>
      <x:c r="C90" s="74" t="str">
        <x:v>Boat rig</x:v>
      </x:c>
      <x:c r="D90" s="74" t="str">
        <x:v>Wreck breakup</x:v>
      </x:c>
      <x:c r="E90" s="74" t="str">
        <x:v>metal or polymer</x:v>
      </x:c>
      <x:c r="F90" s="74" t="str">
        <x:v>Build pulley; belt idler; guide line</x:v>
      </x:c>
      <x:c r="G90" s="74" t="str">
        <x:v>Bearing; axle hole</x:v>
      </x:c>
      <x:c r="H90" s="74" t="str">
        <x:v>Remove pin or bearing</x:v>
      </x:c>
      <x:c r="I90" s="74" t="str">
        <x:v>Cracks; groove mismatch cuts rope</x:v>
      </x:c>
      <x:c r="J90" s="74" t="str">
        <x:v>H2</x:v>
      </x:c>
    </x:row>
    <x:row r="91" ht="40.5" customHeight="1">
      <x:c r="A91" s="74" t="str">
        <x:v>SV-087</x:v>
      </x:c>
      <x:c r="B91" s="74" t="str">
        <x:v>Deck cleat</x:v>
      </x:c>
      <x:c r="C91" s="74" t="str">
        <x:v>Boat rig</x:v>
      </x:c>
      <x:c r="D91" s="74" t="str">
        <x:v>Wreck breakup</x:v>
      </x:c>
      <x:c r="E91" s="74" t="str">
        <x:v>metal</x:v>
      </x:c>
      <x:c r="F91" s="74" t="str">
        <x:v>Mooring point; bench tie point; handle</x:v>
      </x:c>
      <x:c r="G91" s="74" t="str">
        <x:v>Metal stock; bolts</x:v>
      </x:c>
      <x:c r="H91" s="74" t="str">
        <x:v>Unbolt backing plate; preserve washers</x:v>
      </x:c>
      <x:c r="I91" s="74" t="str">
        <x:v>High loads; hidden corrosion</x:v>
      </x:c>
      <x:c r="J91" s="74" t="str">
        <x:v>H2</x:v>
      </x:c>
    </x:row>
    <x:row r="92" ht="40.5" customHeight="1">
      <x:c r="A92" s="74" t="str">
        <x:v>SV-088</x:v>
      </x:c>
      <x:c r="B92" s="74" t="str">
        <x:v>Fairlead</x:v>
      </x:c>
      <x:c r="C92" s="74" t="str">
        <x:v>Boat rig</x:v>
      </x:c>
      <x:c r="D92" s="74" t="str">
        <x:v>Wreck breakup</x:v>
      </x:c>
      <x:c r="E92" s="74" t="str">
        <x:v>metal or polymer</x:v>
      </x:c>
      <x:c r="F92" s="74" t="str">
        <x:v>Guide rope; prevent chafe; cable pass-through</x:v>
      </x:c>
      <x:c r="G92" s="74" t="str">
        <x:v>Wear insert; bolts</x:v>
      </x:c>
      <x:c r="H92" s="74" t="str">
        <x:v>Unbolt or drill rivets</x:v>
      </x:c>
      <x:c r="I92" s="74" t="str">
        <x:v>Sharp wear groove</x:v>
      </x:c>
      <x:c r="J92" s="74" t="str">
        <x:v>H2</x:v>
      </x:c>
    </x:row>
    <x:row r="93" ht="40.5" customHeight="1">
      <x:c r="A93" s="74" t="str">
        <x:v>SV-089</x:v>
      </x:c>
      <x:c r="B93" s="74" t="str">
        <x:v>Eye bolt</x:v>
      </x:c>
      <x:c r="C93" s="74" t="str">
        <x:v>Boat hardware</x:v>
      </x:c>
      <x:c r="D93" s="74" t="str">
        <x:v>Wreck breakup</x:v>
      </x:c>
      <x:c r="E93" s="74" t="str">
        <x:v>steel</x:v>
      </x:c>
      <x:c r="F93" s="74" t="str">
        <x:v>Anchor point after load proof; hanging; hinge pin</x:v>
      </x:c>
      <x:c r="G93" s="74" t="str">
        <x:v>Threaded rod; eye</x:v>
      </x:c>
      <x:c r="H93" s="74" t="str">
        <x:v>Unbolt with backing nut; inspect eye</x:v>
      </x:c>
      <x:c r="I93" s="74" t="str">
        <x:v>Fatigue crack; false rating</x:v>
      </x:c>
      <x:c r="J93" s="74" t="str">
        <x:v>H2</x:v>
      </x:c>
    </x:row>
    <x:row r="94" ht="40.5" customHeight="1">
      <x:c r="A94" s="74" t="str">
        <x:v>SV-090</x:v>
      </x:c>
      <x:c r="B94" s="74" t="str">
        <x:v>U-bolt</x:v>
      </x:c>
      <x:c r="C94" s="74" t="str">
        <x:v>Boat hardware</x:v>
      </x:c>
      <x:c r="D94" s="74" t="str">
        <x:v>Wreck breakup</x:v>
      </x:c>
      <x:c r="E94" s="74" t="str">
        <x:v>steel</x:v>
      </x:c>
      <x:c r="F94" s="74" t="str">
        <x:v>Clamp pipe; axle; mast; frame</x:v>
      </x:c>
      <x:c r="G94" s="74" t="str">
        <x:v>Threaded legs; nuts; plate</x:v>
      </x:c>
      <x:c r="H94" s="74" t="str">
        <x:v>Unbolt evenly; clean threads</x:v>
      </x:c>
      <x:c r="I94" s="74" t="str">
        <x:v>Corroded threads; stress cracking</x:v>
      </x:c>
      <x:c r="J94" s="74" t="str">
        <x:v>H2</x:v>
      </x:c>
    </x:row>
    <x:row r="95" ht="40.5" customHeight="1">
      <x:c r="A95" s="74" t="str">
        <x:v>SV-091</x:v>
      </x:c>
      <x:c r="B95" s="74" t="str">
        <x:v>Turnbuckle</x:v>
      </x:c>
      <x:c r="C95" s="74" t="str">
        <x:v>Boat rig</x:v>
      </x:c>
      <x:c r="D95" s="74" t="str">
        <x:v>Rare wreck breakup</x:v>
      </x:c>
      <x:c r="E95" s="74" t="str">
        <x:v>steel</x:v>
      </x:c>
      <x:c r="F95" s="74" t="str">
        <x:v>Tension guy; align frame; tune belt mount</x:v>
      </x:c>
      <x:c r="G95" s="74" t="str">
        <x:v>Threaded eyes; body</x:v>
      </x:c>
      <x:c r="H95" s="74" t="str">
        <x:v>Back off without load; clean; lubricate</x:v>
      </x:c>
      <x:c r="I95" s="74" t="str">
        <x:v>Stored tension; mixed thread direction</x:v>
      </x:c>
      <x:c r="J95" s="74" t="str">
        <x:v>H3</x:v>
      </x:c>
    </x:row>
    <x:row r="96" ht="40.5" customHeight="1">
      <x:c r="A96" s="74" t="str">
        <x:v>SV-092</x:v>
      </x:c>
      <x:c r="B96" s="74" t="str">
        <x:v>Spring hook</x:v>
      </x:c>
      <x:c r="C96" s="74" t="str">
        <x:v>Boat rig</x:v>
      </x:c>
      <x:c r="D96" s="74" t="str">
        <x:v>Daily wreck breakup</x:v>
      </x:c>
      <x:c r="E96" s="74" t="str">
        <x:v>steel</x:v>
      </x:c>
      <x:c r="F96" s="74" t="str">
        <x:v>Quick light attachment; tool tether</x:v>
      </x:c>
      <x:c r="G96" s="74" t="str">
        <x:v>Spring wire; hook body</x:v>
      </x:c>
      <x:c r="H96" s="74" t="str">
        <x:v>Open; rinse; test spring</x:v>
      </x:c>
      <x:c r="I96" s="74" t="str">
        <x:v>Not climbing-rated; corrosion</x:v>
      </x:c>
      <x:c r="J96" s="74" t="str">
        <x:v>H1</x:v>
      </x:c>
    </x:row>
    <x:row r="97" ht="40.5" customHeight="1">
      <x:c r="A97" s="74" t="str">
        <x:v>SV-093</x:v>
      </x:c>
      <x:c r="B97" s="74" t="str">
        <x:v>Screw assortment</x:v>
      </x:c>
      <x:c r="C97" s="74" t="str">
        <x:v>Boat hardware</x:v>
      </x:c>
      <x:c r="D97" s="74" t="str">
        <x:v>Wreck breakup</x:v>
      </x:c>
      <x:c r="E97" s="74" t="str">
        <x:v>steel or brass</x:v>
      </x:c>
      <x:c r="F97" s="74" t="str">
        <x:v>Reusable fastening when head; thread; material match</x:v>
      </x:c>
      <x:c r="G97" s="74" t="str">
        <x:v>Screws sorted by type; damaged screw stock</x:v>
      </x:c>
      <x:c r="H97" s="74" t="str">
        <x:v>Correct driver; penetrant; steady pressure</x:v>
      </x:c>
      <x:c r="I97" s="74" t="str">
        <x:v>Stripped heads; incompatible metals; sharp points</x:v>
      </x:c>
      <x:c r="J97" s="74" t="str">
        <x:v>H2</x:v>
      </x:c>
    </x:row>
    <x:row r="98" ht="40.5" customHeight="1">
      <x:c r="A98" s="74" t="str">
        <x:v>SV-094</x:v>
      </x:c>
      <x:c r="B98" s="74" t="str">
        <x:v>Bolt assortment</x:v>
      </x:c>
      <x:c r="C98" s="74" t="str">
        <x:v>Boat hardware</x:v>
      </x:c>
      <x:c r="D98" s="74" t="str">
        <x:v>Wreck breakup</x:v>
      </x:c>
      <x:c r="E98" s="74" t="str">
        <x:v>steel or brass</x:v>
      </x:c>
      <x:c r="F98" s="74" t="str">
        <x:v>Structural fastening when matched with nuts and washers</x:v>
      </x:c>
      <x:c r="G98" s="74" t="str">
        <x:v>Threaded rod; pins; steel stock</x:v>
      </x:c>
      <x:c r="H98" s="74" t="str">
        <x:v>Correct wrench or socket; support both sides</x:v>
      </x:c>
      <x:c r="I98" s="74" t="str">
        <x:v>Mixed grades; seized threads; false strength</x:v>
      </x:c>
      <x:c r="J98" s="74" t="str">
        <x:v>H2</x:v>
      </x:c>
    </x:row>
    <x:row r="99" ht="40.5" customHeight="1">
      <x:c r="A99" s="74" t="str">
        <x:v>SV-095</x:v>
      </x:c>
      <x:c r="B99" s="74" t="str">
        <x:v>Nut assortment</x:v>
      </x:c>
      <x:c r="C99" s="74" t="str">
        <x:v>Boat hardware</x:v>
      </x:c>
      <x:c r="D99" s="74" t="str">
        <x:v>Wreck breakup</x:v>
      </x:c>
      <x:c r="E99" s="74" t="str">
        <x:v>steel or brass</x:v>
      </x:c>
      <x:c r="F99" s="74" t="str">
        <x:v>Matched reusable threaded fasteners</x:v>
      </x:c>
      <x:c r="G99" s="74" t="str">
        <x:v>Spacers; small metal stock</x:v>
      </x:c>
      <x:c r="H99" s="74" t="str">
        <x:v>Correct wrench; clean and gauge thread</x:v>
      </x:c>
      <x:c r="I99" s="74" t="str">
        <x:v>Thread mismatch; corrosion</x:v>
      </x:c>
      <x:c r="J99" s="74" t="str">
        <x:v>H2</x:v>
      </x:c>
    </x:row>
    <x:row r="100" ht="40.5" customHeight="1">
      <x:c r="A100" s="74" t="str">
        <x:v>SV-096</x:v>
      </x:c>
      <x:c r="B100" s="74" t="str">
        <x:v>Washer assortment</x:v>
      </x:c>
      <x:c r="C100" s="74" t="str">
        <x:v>Boat hardware</x:v>
      </x:c>
      <x:c r="D100" s="74" t="str">
        <x:v>Wreck breakup</x:v>
      </x:c>
      <x:c r="E100" s="74" t="str">
        <x:v>metal</x:v>
      </x:c>
      <x:c r="F100" s="74" t="str">
        <x:v>Spread load; shim; electrical terminal; spacer</x:v>
      </x:c>
      <x:c r="G100" s="74" t="str">
        <x:v>Sheet coupons; weights</x:v>
      </x:c>
      <x:c r="H100" s="74" t="str">
        <x:v>Recover during unbolting; sort</x:v>
      </x:c>
      <x:c r="I100" s="74" t="str">
        <x:v>Sharp burrs; mixed metals</x:v>
      </x:c>
      <x:c r="J100" s="74" t="str">
        <x:v>H1</x:v>
      </x:c>
    </x:row>
    <x:row r="101" ht="40.5" customHeight="1">
      <x:c r="A101" s="74" t="str">
        <x:v>SV-097</x:v>
      </x:c>
      <x:c r="B101" s="74" t="str">
        <x:v>Cotter pin</x:v>
      </x:c>
      <x:c r="C101" s="74" t="str">
        <x:v>Boat hardware</x:v>
      </x:c>
      <x:c r="D101" s="74" t="str">
        <x:v>Wreck breakup</x:v>
      </x:c>
      <x:c r="E101" s="74" t="str">
        <x:v>steel</x:v>
      </x:c>
      <x:c r="F101" s="74" t="str">
        <x:v>Lock castellated nut; hinge pin retainer</x:v>
      </x:c>
      <x:c r="G101" s="74" t="str">
        <x:v>Wire; small pin</x:v>
      </x:c>
      <x:c r="H101" s="74" t="str">
        <x:v>Straighten and pull with pliers; replace if fatigued</x:v>
      </x:c>
      <x:c r="I101" s="74" t="str">
        <x:v>Single-use fatigue; sharp ends</x:v>
      </x:c>
      <x:c r="J101" s="74" t="str">
        <x:v>H2</x:v>
      </x:c>
    </x:row>
    <x:row r="102" ht="40.5" customHeight="1">
      <x:c r="A102" s="74" t="str">
        <x:v>SV-098</x:v>
      </x:c>
      <x:c r="B102" s="74" t="str">
        <x:v>Solid rivet assortment</x:v>
      </x:c>
      <x:c r="C102" s="74" t="str">
        <x:v>Boat hardware</x:v>
      </x:c>
      <x:c r="D102" s="74" t="str">
        <x:v>Wreck breakup</x:v>
      </x:c>
      <x:c r="E102" s="74" t="str">
        <x:v>aluminum or steel</x:v>
      </x:c>
      <x:c r="F102" s="74" t="str">
        <x:v>Sheet fastening with correct set and access</x:v>
      </x:c>
      <x:c r="G102" s="74" t="str">
        <x:v>Rivet stock; pins</x:v>
      </x:c>
      <x:c r="H102" s="74" t="str">
        <x:v>Preserve loose rivets; drill installed heads</x:v>
      </x:c>
      <x:c r="I102" s="74" t="str">
        <x:v>Wrong alloy or grip length</x:v>
      </x:c>
      <x:c r="J102" s="74" t="str">
        <x:v>H3</x:v>
      </x:c>
    </x:row>
    <x:row r="103" ht="40.5" customHeight="1">
      <x:c r="A103" s="74" t="str">
        <x:v>SV-099</x:v>
      </x:c>
      <x:c r="B103" s="74" t="str">
        <x:v>Blind rivet assortment</x:v>
      </x:c>
      <x:c r="C103" s="74" t="str">
        <x:v>Boat hardware</x:v>
      </x:c>
      <x:c r="D103" s="74" t="str">
        <x:v>Wreck breakup</x:v>
      </x:c>
      <x:c r="E103" s="74" t="str">
        <x:v>aluminum or steel</x:v>
      </x:c>
      <x:c r="F103" s="74" t="str">
        <x:v>One-side sheet repair with hand riveter</x:v>
      </x:c>
      <x:c r="G103" s="74" t="str">
        <x:v>Mandrels; rivet sleeves</x:v>
      </x:c>
      <x:c r="H103" s="74" t="str">
        <x:v>Sort size; install with matched riveter</x:v>
      </x:c>
      <x:c r="I103" s="74" t="str">
        <x:v>Not pressure-tight by default</x:v>
      </x:c>
      <x:c r="J103" s="74" t="str">
        <x:v>H3</x:v>
      </x:c>
    </x:row>
    <x:row r="104" ht="40.5" customHeight="1">
      <x:c r="A104" s="74" t="str">
        <x:v>SV-100</x:v>
      </x:c>
      <x:c r="B104" s="74" t="str">
        <x:v>Hinge</x:v>
      </x:c>
      <x:c r="C104" s="74" t="str">
        <x:v>Boat hardware</x:v>
      </x:c>
      <x:c r="D104" s="74" t="str">
        <x:v>Wreck breakup</x:v>
      </x:c>
      <x:c r="E104" s="74" t="str">
        <x:v>metal</x:v>
      </x:c>
      <x:c r="F104" s="74" t="str">
        <x:v>Doors; lids; folding jigs; rudder prototype</x:v>
      </x:c>
      <x:c r="G104" s="74" t="str">
        <x:v>Leaves; pin; screws</x:v>
      </x:c>
      <x:c r="H104" s="74" t="str">
        <x:v>Unscrew; drive pin if designed</x:v>
      </x:c>
      <x:c r="I104" s="74" t="str">
        <x:v>Seized pin; sharp leaf</x:v>
      </x:c>
      <x:c r="J104" s="74" t="str">
        <x:v>H1</x:v>
      </x:c>
    </x:row>
    <x:row r="105" ht="40.5" customHeight="1">
      <x:c r="A105" s="74" t="str">
        <x:v>SV-101</x:v>
      </x:c>
      <x:c r="B105" s="74" t="str">
        <x:v>Latch</x:v>
      </x:c>
      <x:c r="C105" s="74" t="str">
        <x:v>Boat hardware</x:v>
      </x:c>
      <x:c r="D105" s="74" t="str">
        <x:v>Wreck breakup</x:v>
      </x:c>
      <x:c r="E105" s="74" t="str">
        <x:v>metal</x:v>
      </x:c>
      <x:c r="F105" s="74" t="str">
        <x:v>Secure box; door; panel</x:v>
      </x:c>
      <x:c r="G105" s="74" t="str">
        <x:v>Spring; hook; plate; screws</x:v>
      </x:c>
      <x:c r="H105" s="74" t="str">
        <x:v>Unscrew; clean; lubricate</x:v>
      </x:c>
      <x:c r="I105" s="74" t="str">
        <x:v>Pinch; unreliable under load</x:v>
      </x:c>
      <x:c r="J105" s="74" t="str">
        <x:v>H1</x:v>
      </x:c>
    </x:row>
    <x:row r="106" ht="40.5" customHeight="1">
      <x:c r="A106" s="74" t="str">
        <x:v>SV-102</x:v>
      </x:c>
      <x:c r="B106" s="74" t="str">
        <x:v>Angle bracket</x:v>
      </x:c>
      <x:c r="C106" s="74" t="str">
        <x:v>Boat hardware</x:v>
      </x:c>
      <x:c r="D106" s="74" t="str">
        <x:v>Wreck breakup</x:v>
      </x:c>
      <x:c r="E106" s="74" t="str">
        <x:v>metal</x:v>
      </x:c>
      <x:c r="F106" s="74" t="str">
        <x:v>Join frames; mount shelf; stiffen machine base</x:v>
      </x:c>
      <x:c r="G106" s="74" t="str">
        <x:v>Angle stock; holes</x:v>
      </x:c>
      <x:c r="H106" s="74" t="str">
        <x:v>Unbolt or drill rivets</x:v>
      </x:c>
      <x:c r="I106" s="74" t="str">
        <x:v>Fatigue; sharp edges</x:v>
      </x:c>
      <x:c r="J106" s="74" t="str">
        <x:v>H2</x:v>
      </x:c>
    </x:row>
    <x:row r="107" ht="40.5" customHeight="1">
      <x:c r="A107" s="74" t="str">
        <x:v>SV-103</x:v>
      </x:c>
      <x:c r="B107" s="74" t="str">
        <x:v>Flat bar bracket</x:v>
      </x:c>
      <x:c r="C107" s="74" t="str">
        <x:v>Boat hardware</x:v>
      </x:c>
      <x:c r="D107" s="74" t="str">
        <x:v>Wreck breakup</x:v>
      </x:c>
      <x:c r="E107" s="74" t="str">
        <x:v>metal</x:v>
      </x:c>
      <x:c r="F107" s="74" t="str">
        <x:v>Strap joint; reinforcement; tool blank</x:v>
      </x:c>
      <x:c r="G107" s="74" t="str">
        <x:v>Flat stock; holes</x:v>
      </x:c>
      <x:c r="H107" s="74" t="str">
        <x:v>Unbolt; flatten only if not cracked</x:v>
      </x:c>
      <x:c r="I107" s="74" t="str">
        <x:v>Work hardening; paint toxin</x:v>
      </x:c>
      <x:c r="J107" s="74" t="str">
        <x:v>H2</x:v>
      </x:c>
    </x:row>
    <x:row r="108" ht="40.5" customHeight="1">
      <x:c r="A108" s="74" t="str">
        <x:v>SV-104</x:v>
      </x:c>
      <x:c r="B108" s="74" t="str">
        <x:v>Rubber gasket</x:v>
      </x:c>
      <x:c r="C108" s="74" t="str">
        <x:v>Boat hardware</x:v>
      </x:c>
      <x:c r="D108" s="74" t="str">
        <x:v>Wreck breakup</x:v>
      </x:c>
      <x:c r="E108" s="74" t="str">
        <x:v>rubber</x:v>
      </x:c>
      <x:c r="F108" s="74" t="str">
        <x:v>Seal lid; pump; pipe; vibration mount</x:v>
      </x:c>
      <x:c r="G108" s="74" t="str">
        <x:v>Washers; patches</x:v>
      </x:c>
      <x:c r="H108" s="74" t="str">
        <x:v>Separate gently; trace pattern</x:v>
      </x:c>
      <x:c r="I108" s="74" t="str">
        <x:v>Fuel incompatibility; compression set</x:v>
      </x:c>
      <x:c r="J108" s="74" t="str">
        <x:v>H2</x:v>
      </x:c>
    </x:row>
    <x:row r="109" ht="40.5" customHeight="1">
      <x:c r="A109" s="74" t="str">
        <x:v>SV-105</x:v>
      </x:c>
      <x:c r="B109" s="74" t="str">
        <x:v>Engine block</x:v>
      </x:c>
      <x:c r="C109" s="74" t="str">
        <x:v>Boat machinery</x:v>
      </x:c>
      <x:c r="D109" s="74" t="str">
        <x:v>Rare major wreck</x:v>
      </x:c>
      <x:c r="E109" s="74" t="str">
        <x:v>cast metal</x:v>
      </x:c>
      <x:c r="F109" s="74" t="str">
        <x:v>Machine base; repairable engine core if intact</x:v>
      </x:c>
      <x:c r="G109" s="74" t="str">
        <x:v>Cylinders; studs; metal stock</x:v>
      </x:c>
      <x:c r="H109" s="74" t="str">
        <x:v>Drain; clean; lift with rated rig; inspect</x:v>
      </x:c>
      <x:c r="I109" s="74" t="str">
        <x:v>Oil; fuel; weight; cracks</x:v>
      </x:c>
      <x:c r="J109" s="74" t="str">
        <x:v>H5</x:v>
      </x:c>
    </x:row>
    <x:row r="110" ht="40.5" customHeight="1">
      <x:c r="A110" s="74" t="str">
        <x:v>SV-106</x:v>
      </x:c>
      <x:c r="B110" s="74" t="str">
        <x:v>Cylinder head</x:v>
      </x:c>
      <x:c r="C110" s="74" t="str">
        <x:v>Boat machinery</x:v>
      </x:c>
      <x:c r="D110" s="74" t="str">
        <x:v>Rare major wreck</x:v>
      </x:c>
      <x:c r="E110" s="74" t="str">
        <x:v>cast metal</x:v>
      </x:c>
      <x:c r="F110" s="74" t="str">
        <x:v>Engine repair; valve and chamber donor</x:v>
      </x:c>
      <x:c r="G110" s="74" t="str">
        <x:v>Valves; springs; guides; metal</x:v>
      </x:c>
      <x:c r="H110" s="74" t="str">
        <x:v>Unbolt in sequence; lift; inspect flatness</x:v>
      </x:c>
      <x:c r="I110" s="74" t="str">
        <x:v>Stored spring force; lead deposits; weight</x:v>
      </x:c>
      <x:c r="J110" s="74" t="str">
        <x:v>H5</x:v>
      </x:c>
    </x:row>
    <x:row r="111" ht="40.5" customHeight="1">
      <x:c r="A111" s="74" t="str">
        <x:v>SV-107</x:v>
      </x:c>
      <x:c r="B111" s="74" t="str">
        <x:v>Piston</x:v>
      </x:c>
      <x:c r="C111" s="74" t="str">
        <x:v>Boat machinery</x:v>
      </x:c>
      <x:c r="D111" s="74" t="str">
        <x:v>Rare major wreck</x:v>
      </x:c>
      <x:c r="E111" s="74" t="str">
        <x:v>aluminum or steel</x:v>
      </x:c>
      <x:c r="F111" s="74" t="str">
        <x:v>Engine repair; pump piston prototype</x:v>
      </x:c>
      <x:c r="G111" s="74" t="str">
        <x:v>Pin; rings; aluminum stock</x:v>
      </x:c>
      <x:c r="H111" s="74" t="str">
        <x:v>Remove pin and rings; measure</x:v>
      </x:c>
      <x:c r="I111" s="74" t="str">
        <x:v>Scoring; brittle rings; contamination</x:v>
      </x:c>
      <x:c r="J111" s="74" t="str">
        <x:v>H4</x:v>
      </x:c>
    </x:row>
    <x:row r="112" ht="40.5" customHeight="1">
      <x:c r="A112" s="74" t="str">
        <x:v>SV-108</x:v>
      </x:c>
      <x:c r="B112" s="74" t="str">
        <x:v>Piston ring set</x:v>
      </x:c>
      <x:c r="C112" s="74" t="str">
        <x:v>Boat machinery</x:v>
      </x:c>
      <x:c r="D112" s="74" t="str">
        <x:v>Rare major wreck</x:v>
      </x:c>
      <x:c r="E112" s="74" t="str">
        <x:v>spring steel</x:v>
      </x:c>
      <x:c r="F112" s="74" t="str">
        <x:v>Matched engine repair; sealing experiments</x:v>
      </x:c>
      <x:c r="G112" s="74" t="str">
        <x:v>Spring steel strips</x:v>
      </x:c>
      <x:c r="H112" s="74" t="str">
        <x:v>Use ring expander; label orientation</x:v>
      </x:c>
      <x:c r="I112" s="74" t="str">
        <x:v>Sharp; brittle; size-specific</x:v>
      </x:c>
      <x:c r="J112" s="74" t="str">
        <x:v>H4</x:v>
      </x:c>
    </x:row>
    <x:row r="113" ht="40.5" customHeight="1">
      <x:c r="A113" s="74" t="str">
        <x:v>SV-109</x:v>
      </x:c>
      <x:c r="B113" s="74" t="str">
        <x:v>Connecting rod</x:v>
      </x:c>
      <x:c r="C113" s="74" t="str">
        <x:v>Boat machinery</x:v>
      </x:c>
      <x:c r="D113" s="74" t="str">
        <x:v>Rare major wreck</x:v>
      </x:c>
      <x:c r="E113" s="74" t="str">
        <x:v>steel</x:v>
      </x:c>
      <x:c r="F113" s="74" t="str">
        <x:v>Engine repair; crank linkage; press lever</x:v>
      </x:c>
      <x:c r="G113" s="74" t="str">
        <x:v>Bearing shells; bolts; forged stock</x:v>
      </x:c>
      <x:c r="H113" s="74" t="str">
        <x:v>Unbolt cap; preserve matched pair</x:v>
      </x:c>
      <x:c r="I113" s="74" t="str">
        <x:v>Fatigue cracks; matched orientation</x:v>
      </x:c>
      <x:c r="J113" s="74" t="str">
        <x:v>H4</x:v>
      </x:c>
    </x:row>
    <x:row r="114" ht="40.5" customHeight="1">
      <x:c r="A114" s="74" t="str">
        <x:v>SV-110</x:v>
      </x:c>
      <x:c r="B114" s="74" t="str">
        <x:v>Crankshaft</x:v>
      </x:c>
      <x:c r="C114" s="74" t="str">
        <x:v>Boat machinery</x:v>
      </x:c>
      <x:c r="D114" s="74" t="str">
        <x:v>Rare major wreck</x:v>
      </x:c>
      <x:c r="E114" s="74" t="str">
        <x:v>steel</x:v>
      </x:c>
      <x:c r="F114" s="74" t="str">
        <x:v>Engine core; crank drive; heavy flywheel axle</x:v>
      </x:c>
      <x:c r="G114" s="74" t="str">
        <x:v>Counterweights; journals; steel stock</x:v>
      </x:c>
      <x:c r="H114" s="74" t="str">
        <x:v>Lift; inspect journals; measure runout</x:v>
      </x:c>
      <x:c r="I114" s="74" t="str">
        <x:v>Very heavy; hidden cracks</x:v>
      </x:c>
      <x:c r="J114" s="74" t="str">
        <x:v>H5</x:v>
      </x:c>
    </x:row>
    <x:row r="115" ht="40.5" customHeight="1">
      <x:c r="A115" s="74" t="str">
        <x:v>SV-111</x:v>
      </x:c>
      <x:c r="B115" s="74" t="str">
        <x:v>Flywheel</x:v>
      </x:c>
      <x:c r="C115" s="74" t="str">
        <x:v>Boat machinery</x:v>
      </x:c>
      <x:c r="D115" s="74" t="str">
        <x:v>Rare major wreck</x:v>
      </x:c>
      <x:c r="E115" s="74" t="str">
        <x:v>steel or iron</x:v>
      </x:c>
      <x:c r="F115" s="74" t="str">
        <x:v>Smooth engine; treadle; generator drive</x:v>
      </x:c>
      <x:c r="G115" s="74" t="str">
        <x:v>Rim stock; hub</x:v>
      </x:c>
      <x:c r="H115" s="74" t="str">
        <x:v>Use puller; support; inspect</x:v>
      </x:c>
      <x:c r="I115" s="74" t="str">
        <x:v>Stored energy; burst risk; weight</x:v>
      </x:c>
      <x:c r="J115" s="74" t="str">
        <x:v>H5</x:v>
      </x:c>
    </x:row>
    <x:row r="116" ht="40.5" customHeight="1">
      <x:c r="A116" s="74" t="str">
        <x:v>SV-112</x:v>
      </x:c>
      <x:c r="B116" s="74" t="str">
        <x:v>Shaft section</x:v>
      </x:c>
      <x:c r="C116" s="74" t="str">
        <x:v>Boat machinery</x:v>
      </x:c>
      <x:c r="D116" s="74" t="str">
        <x:v>Wreck breakup</x:v>
      </x:c>
      <x:c r="E116" s="74" t="str">
        <x:v>steel</x:v>
      </x:c>
      <x:c r="F116" s="74" t="str">
        <x:v>Axle; lathe spindle; pump shaft; generator mount</x:v>
      </x:c>
      <x:c r="G116" s="74" t="str">
        <x:v>Pins; key; metal stock</x:v>
      </x:c>
      <x:c r="H116" s="74" t="str">
        <x:v>Unbolt coupling; withdraw; check straightness</x:v>
      </x:c>
      <x:c r="I116" s="74" t="str">
        <x:v>Bending; sharp keyways</x:v>
      </x:c>
      <x:c r="J116" s="74" t="str">
        <x:v>H3</x:v>
      </x:c>
    </x:row>
    <x:row r="117" ht="40.5" customHeight="1">
      <x:c r="A117" s="74" t="str">
        <x:v>SV-113</x:v>
      </x:c>
      <x:c r="B117" s="74" t="str">
        <x:v>Ball bearing</x:v>
      </x:c>
      <x:c r="C117" s="74" t="str">
        <x:v>Boat machinery</x:v>
      </x:c>
      <x:c r="D117" s="74" t="str">
        <x:v>Wreck breakup</x:v>
      </x:c>
      <x:c r="E117" s="74" t="str">
        <x:v>steel</x:v>
      </x:c>
      <x:c r="F117" s="74" t="str">
        <x:v>Low-friction shaft support</x:v>
      </x:c>
      <x:c r="G117" s="74" t="str">
        <x:v>Balls; races; cage</x:v>
      </x:c>
      <x:c r="H117" s="74" t="str">
        <x:v>Pull evenly; clean; spin and feel test</x:v>
      </x:c>
      <x:c r="I117" s="74" t="str">
        <x:v>Spalling; solvent; false smoothness unloaded</x:v>
      </x:c>
      <x:c r="J117" s="74" t="str">
        <x:v>H3</x:v>
      </x:c>
    </x:row>
    <x:row r="118" ht="40.5" customHeight="1">
      <x:c r="A118" s="74" t="str">
        <x:v>SV-114</x:v>
      </x:c>
      <x:c r="B118" s="74" t="str">
        <x:v>Plain bushing</x:v>
      </x:c>
      <x:c r="C118" s="74" t="str">
        <x:v>Boat machinery</x:v>
      </x:c>
      <x:c r="D118" s="74" t="str">
        <x:v>Wreck breakup</x:v>
      </x:c>
      <x:c r="E118" s="74" t="str">
        <x:v>bronze or polymer</x:v>
      </x:c>
      <x:c r="F118" s="74" t="str">
        <x:v>Shaft bearing; hinge; spacer</x:v>
      </x:c>
      <x:c r="G118" s="74" t="str">
        <x:v>Bronze stock; sleeve</x:v>
      </x:c>
      <x:c r="H118" s="74" t="str">
        <x:v>Press or drift out squarely; measure</x:v>
      </x:c>
      <x:c r="I118" s="74" t="str">
        <x:v>Wear ovality; embedded grit</x:v>
      </x:c>
      <x:c r="J118" s="74" t="str">
        <x:v>H3</x:v>
      </x:c>
    </x:row>
    <x:row r="119" ht="40.5" customHeight="1">
      <x:c r="A119" s="74" t="str">
        <x:v>SV-115</x:v>
      </x:c>
      <x:c r="B119" s="74" t="str">
        <x:v>Gear</x:v>
      </x:c>
      <x:c r="C119" s="74" t="str">
        <x:v>Boat machinery</x:v>
      </x:c>
      <x:c r="D119" s="74" t="str">
        <x:v>Rare major wreck</x:v>
      </x:c>
      <x:c r="E119" s="74" t="str">
        <x:v>steel or polymer</x:v>
      </x:c>
      <x:c r="F119" s="74" t="str">
        <x:v>Transmission; hand winch; timer; pump</x:v>
      </x:c>
      <x:c r="G119" s="74" t="str">
        <x:v>Gear blank; hub; key</x:v>
      </x:c>
      <x:c r="H119" s="74" t="str">
        <x:v>Mark mesh pair; use puller</x:v>
      </x:c>
      <x:c r="I119" s="74" t="str">
        <x:v>Broken teeth; pinch; ratio mismatch</x:v>
      </x:c>
      <x:c r="J119" s="74" t="str">
        <x:v>H4</x:v>
      </x:c>
    </x:row>
    <x:row r="120" ht="40.5" customHeight="1">
      <x:c r="A120" s="74" t="str">
        <x:v>SV-116</x:v>
      </x:c>
      <x:c r="B120" s="74" t="str">
        <x:v>Sprocket</x:v>
      </x:c>
      <x:c r="C120" s="74" t="str">
        <x:v>Boat machinery</x:v>
      </x:c>
      <x:c r="D120" s="74" t="str">
        <x:v>Wreck breakup</x:v>
      </x:c>
      <x:c r="E120" s="74" t="str">
        <x:v>steel</x:v>
      </x:c>
      <x:c r="F120" s="74" t="str">
        <x:v>Chain drive; winch; conveyor; generator transmission</x:v>
      </x:c>
      <x:c r="G120" s="74" t="str">
        <x:v>Hub; keyed plate</x:v>
      </x:c>
      <x:c r="H120" s="74" t="str">
        <x:v>Remove key and puller</x:v>
      </x:c>
      <x:c r="I120" s="74" t="str">
        <x:v>Worn tooth hooks throw chain</x:v>
      </x:c>
      <x:c r="J120" s="74" t="str">
        <x:v>H3</x:v>
      </x:c>
    </x:row>
    <x:row r="121" ht="40.5" customHeight="1">
      <x:c r="A121" s="74" t="str">
        <x:v>SV-117</x:v>
      </x:c>
      <x:c r="B121" s="74" t="str">
        <x:v>Roller chain</x:v>
      </x:c>
      <x:c r="C121" s="74" t="str">
        <x:v>Boat machinery</x:v>
      </x:c>
      <x:c r="D121" s="74" t="str">
        <x:v>Wreck breakup</x:v>
      </x:c>
      <x:c r="E121" s="74" t="str">
        <x:v>steel</x:v>
      </x:c>
      <x:c r="F121" s="74" t="str">
        <x:v>Drive machinery; hoist only if rated and inspected</x:v>
      </x:c>
      <x:c r="G121" s="74" t="str">
        <x:v>Links; pins; rollers</x:v>
      </x:c>
      <x:c r="H121" s="74" t="str">
        <x:v>Find master link; degrease; articulate test</x:v>
      </x:c>
      <x:c r="I121" s="74" t="str">
        <x:v>Pinch; rust; lube contamination</x:v>
      </x:c>
      <x:c r="J121" s="74" t="str">
        <x:v>H3</x:v>
      </x:c>
    </x:row>
    <x:row r="122" ht="40.5" customHeight="1">
      <x:c r="A122" s="74" t="str">
        <x:v>SV-118</x:v>
      </x:c>
      <x:c r="B122" s="74" t="str">
        <x:v>V-belt</x:v>
      </x:c>
      <x:c r="C122" s="74" t="str">
        <x:v>Boat machinery</x:v>
      </x:c>
      <x:c r="D122" s="74" t="str">
        <x:v>Wreck breakup</x:v>
      </x:c>
      <x:c r="E122" s="74" t="str">
        <x:v>rubber composite</x:v>
      </x:c>
      <x:c r="F122" s="74" t="str">
        <x:v>Drive alternator; pump; lathe; fan</x:v>
      </x:c>
      <x:c r="G122" s="74" t="str">
        <x:v>Rubber strips only if retired</x:v>
      </x:c>
      <x:c r="H122" s="74" t="str">
        <x:v>Release tension; inspect cracks and glaze</x:v>
      </x:c>
      <x:c r="I122" s="74" t="str">
        <x:v>Sudden break; entanglement</x:v>
      </x:c>
      <x:c r="J122" s="74" t="str">
        <x:v>H3</x:v>
      </x:c>
    </x:row>
    <x:row r="123" ht="40.5" customHeight="1">
      <x:c r="A123" s="74" t="str">
        <x:v>SV-119</x:v>
      </x:c>
      <x:c r="B123" s="74" t="str">
        <x:v>Belt pulley</x:v>
      </x:c>
      <x:c r="C123" s="74" t="str">
        <x:v>Boat machinery</x:v>
      </x:c>
      <x:c r="D123" s="74" t="str">
        <x:v>Wreck breakup</x:v>
      </x:c>
      <x:c r="E123" s="74" t="str">
        <x:v>metal</x:v>
      </x:c>
      <x:c r="F123" s="74" t="str">
        <x:v>Transmit power; idler; rope sheave if compatible</x:v>
      </x:c>
      <x:c r="G123" s="74" t="str">
        <x:v>Hub; rim; key</x:v>
      </x:c>
      <x:c r="H123" s="74" t="str">
        <x:v>Loosen set screw; use puller</x:v>
      </x:c>
      <x:c r="I123" s="74" t="str">
        <x:v>Burst if cracked; pinch</x:v>
      </x:c>
      <x:c r="J123" s="74" t="str">
        <x:v>H3</x:v>
      </x:c>
    </x:row>
    <x:row r="124" ht="40.5" customHeight="1">
      <x:c r="A124" s="74" t="str">
        <x:v>SV-120</x:v>
      </x:c>
      <x:c r="B124" s="74" t="str">
        <x:v>Flexible coupling</x:v>
      </x:c>
      <x:c r="C124" s="74" t="str">
        <x:v>Boat machinery</x:v>
      </x:c>
      <x:c r="D124" s="74" t="str">
        <x:v>Rare major wreck</x:v>
      </x:c>
      <x:c r="E124" s="74" t="str">
        <x:v>metal + rubber</x:v>
      </x:c>
      <x:c r="F124" s="74" t="str">
        <x:v>Join misaligned shafts; engine-generator connection</x:v>
      </x:c>
      <x:c r="G124" s="74" t="str">
        <x:v>Hubs; spider insert; set screws</x:v>
      </x:c>
      <x:c r="H124" s="74" t="str">
        <x:v>Mark alignment; unbolt; inspect insert</x:v>
      </x:c>
      <x:c r="I124" s="74" t="str">
        <x:v>Rotating entanglement; hidden cracks</x:v>
      </x:c>
      <x:c r="J124" s="74" t="str">
        <x:v>H4</x:v>
      </x:c>
    </x:row>
    <x:row r="125" ht="40.5" customHeight="1">
      <x:c r="A125" s="74" t="str">
        <x:v>SV-121</x:v>
      </x:c>
      <x:c r="B125" s="74" t="str">
        <x:v>Propeller</x:v>
      </x:c>
      <x:c r="C125" s="74" t="str">
        <x:v>Boat machinery</x:v>
      </x:c>
      <x:c r="D125" s="74" t="str">
        <x:v>Rare wreck breakup</x:v>
      </x:c>
      <x:c r="E125" s="74" t="str">
        <x:v>bronze or aluminum</x:v>
      </x:c>
      <x:c r="F125" s="74" t="str">
        <x:v>Boat propulsion if matched; fan or turbine experiment after balancing</x:v>
      </x:c>
      <x:c r="G125" s="74" t="str">
        <x:v>Blade metal; hub</x:v>
      </x:c>
      <x:c r="H125" s="74" t="str">
        <x:v>Remove locking device and nut; use puller</x:v>
      </x:c>
      <x:c r="I125" s="74" t="str">
        <x:v>Sharp heavy blades; imbalance</x:v>
      </x:c>
      <x:c r="J125" s="74" t="str">
        <x:v>H4</x:v>
      </x:c>
    </x:row>
    <x:row r="126" ht="40.5" customHeight="1">
      <x:c r="A126" s="74" t="str">
        <x:v>SV-122</x:v>
      </x:c>
      <x:c r="B126" s="74" t="str">
        <x:v>Hand bilge pump</x:v>
      </x:c>
      <x:c r="C126" s="74" t="str">
        <x:v>Boat machinery</x:v>
      </x:c>
      <x:c r="D126" s="74" t="str">
        <x:v>Post-storm pulse</x:v>
      </x:c>
      <x:c r="E126" s="74" t="str">
        <x:v>mixed</x:v>
      </x:c>
      <x:c r="F126" s="74" t="str">
        <x:v>Move water; drain pit; firefighting reserve</x:v>
      </x:c>
      <x:c r="G126" s="74" t="str">
        <x:v>Cylinder; piston; check valves; hose</x:v>
      </x:c>
      <x:c r="H126" s="74" t="str">
        <x:v>Flush; inspect seals; prime and test</x:v>
      </x:c>
      <x:c r="I126" s="74" t="str">
        <x:v>Contaminated fluids; failed check valve</x:v>
      </x:c>
      <x:c r="J126" s="74" t="str">
        <x:v>H2</x:v>
      </x:c>
    </x:row>
    <x:row r="127" ht="40.5" customHeight="1">
      <x:c r="A127" s="74" t="str">
        <x:v>SV-123</x:v>
      </x:c>
      <x:c r="B127" s="74" t="str">
        <x:v>Electric bilge pump</x:v>
      </x:c>
      <x:c r="C127" s="74" t="str">
        <x:v>Boat machinery</x:v>
      </x:c>
      <x:c r="D127" s="74" t="str">
        <x:v>Post-storm pulse</x:v>
      </x:c>
      <x:c r="E127" s="74" t="str">
        <x:v>motor + polymer</x:v>
      </x:c>
      <x:c r="F127" s="74" t="str">
        <x:v>Low-voltage water pumping if repaired</x:v>
      </x:c>
      <x:c r="G127" s="74" t="str">
        <x:v>DC motor; impeller; wire; housing</x:v>
      </x:c>
      <x:c r="H127" s="74" t="str">
        <x:v>Depower; rinse; continuity and wet test</x:v>
      </x:c>
      <x:c r="I127" s="74" t="str">
        <x:v>Short circuit; contaminated water</x:v>
      </x:c>
      <x:c r="J127" s="74" t="str">
        <x:v>H4</x:v>
      </x:c>
    </x:row>
    <x:row r="128" ht="40.5" customHeight="1">
      <x:c r="A128" s="74" t="str">
        <x:v>SV-124</x:v>
      </x:c>
      <x:c r="B128" s="74" t="str">
        <x:v>Pump impeller</x:v>
      </x:c>
      <x:c r="C128" s="74" t="str">
        <x:v>Boat machinery</x:v>
      </x:c>
      <x:c r="D128" s="74" t="str">
        <x:v>Wreck breakup</x:v>
      </x:c>
      <x:c r="E128" s="74" t="str">
        <x:v>metal or polymer</x:v>
      </x:c>
      <x:c r="F128" s="74" t="str">
        <x:v>Repair pump; small turbine experiment</x:v>
      </x:c>
      <x:c r="G128" s="74" t="str">
        <x:v>Hub; blades</x:v>
      </x:c>
      <x:c r="H128" s="74" t="str">
        <x:v>Remove retaining nut; note rotation</x:v>
      </x:c>
      <x:c r="I128" s="74" t="str">
        <x:v>Cracked blade; imbalance</x:v>
      </x:c>
      <x:c r="J128" s="74" t="str">
        <x:v>H3</x:v>
      </x:c>
    </x:row>
    <x:row r="129" ht="40.5" customHeight="1">
      <x:c r="A129" s="74" t="str">
        <x:v>SV-125</x:v>
      </x:c>
      <x:c r="B129" s="74" t="str">
        <x:v>Gate valve</x:v>
      </x:c>
      <x:c r="C129" s="74" t="str">
        <x:v>Boat plumbing</x:v>
      </x:c>
      <x:c r="D129" s="74" t="str">
        <x:v>Wreck breakup</x:v>
      </x:c>
      <x:c r="E129" s="74" t="str">
        <x:v>metal</x:v>
      </x:c>
      <x:c r="F129" s="74" t="str">
        <x:v>Isolate water or steam only after rating proof</x:v>
      </x:c>
      <x:c r="G129" s="74" t="str">
        <x:v>Body; stem; handwheel; packing</x:v>
      </x:c>
      <x:c r="H129" s="74" t="str">
        <x:v>Depressurize; unbolt; cycle and leak test</x:v>
      </x:c>
      <x:c r="I129" s="74" t="str">
        <x:v>Trapped pressure; corrosion</x:v>
      </x:c>
      <x:c r="J129" s="74" t="str">
        <x:v>H4</x:v>
      </x:c>
    </x:row>
    <x:row r="130" ht="40.5" customHeight="1">
      <x:c r="A130" s="74" t="str">
        <x:v>SV-126</x:v>
      </x:c>
      <x:c r="B130" s="74" t="str">
        <x:v>Ball valve</x:v>
      </x:c>
      <x:c r="C130" s="74" t="str">
        <x:v>Boat plumbing</x:v>
      </x:c>
      <x:c r="D130" s="74" t="str">
        <x:v>Wreck breakup</x:v>
      </x:c>
      <x:c r="E130" s="74" t="str">
        <x:v>metal or polymer</x:v>
      </x:c>
      <x:c r="F130" s="74" t="str">
        <x:v>Quick water isolation; fuel only if identified</x:v>
      </x:c>
      <x:c r="G130" s="74" t="str">
        <x:v>Body; ball; handle</x:v>
      </x:c>
      <x:c r="H130" s="74" t="str">
        <x:v>Depressurize; unthread; inspect seals</x:v>
      </x:c>
      <x:c r="I130" s="74" t="str">
        <x:v>Wrong fluid compatibility; trapped pressure</x:v>
      </x:c>
      <x:c r="J130" s="74" t="str">
        <x:v>H3</x:v>
      </x:c>
    </x:row>
    <x:row r="131" ht="40.5" customHeight="1">
      <x:c r="A131" s="74" t="str">
        <x:v>SV-127</x:v>
      </x:c>
      <x:c r="B131" s="74" t="str">
        <x:v>Check valve</x:v>
      </x:c>
      <x:c r="C131" s="74" t="str">
        <x:v>Boat plumbing</x:v>
      </x:c>
      <x:c r="D131" s="74" t="str">
        <x:v>Wreck breakup</x:v>
      </x:c>
      <x:c r="E131" s="74" t="str">
        <x:v>metal or polymer</x:v>
      </x:c>
      <x:c r="F131" s="74" t="str">
        <x:v>Prevent backflow in pump and boiler feed route</x:v>
      </x:c>
      <x:c r="G131" s="74" t="str">
        <x:v>Spring; poppet; body</x:v>
      </x:c>
      <x:c r="H131" s="74" t="str">
        <x:v>Mark flow arrow; clean; bench test</x:v>
      </x:c>
      <x:c r="I131" s="74" t="str">
        <x:v>Stuck shut or open; pressure hazard</x:v>
      </x:c>
      <x:c r="J131" s="74" t="str">
        <x:v>H4</x:v>
      </x:c>
    </x:row>
    <x:row r="132" ht="40.5" customHeight="1">
      <x:c r="A132" s="74" t="str">
        <x:v>SV-128</x:v>
      </x:c>
      <x:c r="B132" s="74" t="str">
        <x:v>Pressure-relief valve</x:v>
      </x:c>
      <x:c r="C132" s="74" t="str">
        <x:v>Boat plumbing</x:v>
      </x:c>
      <x:c r="D132" s="74" t="str">
        <x:v>Rare major wreck</x:v>
      </x:c>
      <x:c r="E132" s="74" t="str">
        <x:v>metal</x:v>
      </x:c>
      <x:c r="F132" s="74" t="str">
        <x:v>Safety component only after inspection and calibrated test</x:v>
      </x:c>
      <x:c r="G132" s="74" t="str">
        <x:v>Spring; valve body; fittings</x:v>
      </x:c>
      <x:c r="H132" s="74" t="str">
        <x:v>Do not dismantle before identification; test on controlled rig</x:v>
      </x:c>
      <x:c r="I132" s="74" t="str">
        <x:v>False calibration can cause explosion</x:v>
      </x:c>
      <x:c r="J132" s="74" t="str">
        <x:v>H6</x:v>
      </x:c>
    </x:row>
    <x:row r="133" ht="40.5" customHeight="1">
      <x:c r="A133" s="74" t="str">
        <x:v>SV-129</x:v>
      </x:c>
      <x:c r="B133" s="74" t="str">
        <x:v>Pressure gauge</x:v>
      </x:c>
      <x:c r="C133" s="74" t="str">
        <x:v>Boat plumbing</x:v>
      </x:c>
      <x:c r="D133" s="74" t="str">
        <x:v>Rare major wreck</x:v>
      </x:c>
      <x:c r="E133" s="74" t="str">
        <x:v>instrument</x:v>
      </x:c>
      <x:c r="F133" s="74" t="str">
        <x:v>Measure tank; pump; or boiler pressure after calibration</x:v>
      </x:c>
      <x:c r="G133" s="74" t="str">
        <x:v>Bourdon tube; dial; fitting</x:v>
      </x:c>
      <x:c r="H133" s="74" t="str">
        <x:v>Isolate; remove with wrench; compare to reference</x:v>
      </x:c>
      <x:c r="I133" s="74" t="str">
        <x:v>False reading; trapped pressure</x:v>
      </x:c>
      <x:c r="J133" s="74" t="str">
        <x:v>H5</x:v>
      </x:c>
    </x:row>
    <x:row r="134" ht="40.5" customHeight="1">
      <x:c r="A134" s="74" t="str">
        <x:v>SV-130</x:v>
      </x:c>
      <x:c r="B134" s="74" t="str">
        <x:v>Sight glass assembly</x:v>
      </x:c>
      <x:c r="C134" s="74" t="str">
        <x:v>Boat plumbing</x:v>
      </x:c>
      <x:c r="D134" s="74" t="str">
        <x:v>Rare major wreck</x:v>
      </x:c>
      <x:c r="E134" s="74" t="str">
        <x:v>glass + metal</x:v>
      </x:c>
      <x:c r="F134" s="74" t="str">
        <x:v>Show liquid level in tank or boiler</x:v>
      </x:c>
      <x:c r="G134" s="74" t="str">
        <x:v>Glass tube; guards; valves</x:v>
      </x:c>
      <x:c r="H134" s="74" t="str">
        <x:v>Drain; unbolt guards; inspect and pressure-test</x:v>
      </x:c>
      <x:c r="I134" s="74" t="str">
        <x:v>Fragile glass; hot fluid</x:v>
      </x:c>
      <x:c r="J134" s="74" t="str">
        <x:v>H5</x:v>
      </x:c>
    </x:row>
    <x:row r="135" ht="40.5" customHeight="1">
      <x:c r="A135" s="74" t="str">
        <x:v>SV-131</x:v>
      </x:c>
      <x:c r="B135" s="74" t="str">
        <x:v>Steel pipe section</x:v>
      </x:c>
      <x:c r="C135" s="74" t="str">
        <x:v>Boat plumbing</x:v>
      </x:c>
      <x:c r="D135" s="74" t="str">
        <x:v>Wreck breakup</x:v>
      </x:c>
      <x:c r="E135" s="74" t="str">
        <x:v>steel</x:v>
      </x:c>
      <x:c r="F135" s="74" t="str">
        <x:v>Frame; conduit; water or steam only if rated and clean</x:v>
      </x:c>
      <x:c r="G135" s="74" t="str">
        <x:v>Tube; fittings; threaded ends</x:v>
      </x:c>
      <x:c r="H135" s="74" t="str">
        <x:v>Identify service; drain; unthread or cut</x:v>
      </x:c>
      <x:c r="I135" s="74" t="str">
        <x:v>Residue; rust; trapped pressure</x:v>
      </x:c>
      <x:c r="J135" s="74" t="str">
        <x:v>H3</x:v>
      </x:c>
    </x:row>
    <x:row r="136" ht="40.5" customHeight="1">
      <x:c r="A136" s="74" t="str">
        <x:v>SV-132</x:v>
      </x:c>
      <x:c r="B136" s="74" t="str">
        <x:v>Copper tube</x:v>
      </x:c>
      <x:c r="C136" s="74" t="str">
        <x:v>Boat plumbing</x:v>
      </x:c>
      <x:c r="D136" s="74" t="str">
        <x:v>Wreck breakup</x:v>
      </x:c>
      <x:c r="E136" s="74" t="str">
        <x:v>copper</x:v>
      </x:c>
      <x:c r="F136" s="74" t="str">
        <x:v>Condenser coil; heat exchanger; potable line after proof; conductor</x:v>
      </x:c>
      <x:c r="G136" s="74" t="str">
        <x:v>Tube; sheet; wire experiments</x:v>
      </x:c>
      <x:c r="H136" s="74" t="str">
        <x:v>Identify service; drain; cut or unflare; flush</x:v>
      </x:c>
      <x:c r="I136" s="74" t="str">
        <x:v>Fuel or refrigerant residue; work hardening</x:v>
      </x:c>
      <x:c r="J136" s="74" t="str">
        <x:v>H3</x:v>
      </x:c>
    </x:row>
    <x:row r="137" ht="40.5" customHeight="1">
      <x:c r="A137" s="74" t="str">
        <x:v>SV-133</x:v>
      </x:c>
      <x:c r="B137" s="74" t="str">
        <x:v>Rubber hose</x:v>
      </x:c>
      <x:c r="C137" s="74" t="str">
        <x:v>Boat plumbing</x:v>
      </x:c>
      <x:c r="D137" s="74" t="str">
        <x:v>Daily wreck breakup</x:v>
      </x:c>
      <x:c r="E137" s="74" t="str">
        <x:v>rubber composite</x:v>
      </x:c>
      <x:c r="F137" s="74" t="str">
        <x:v>Water transfer or pump suction after service identification</x:v>
      </x:c>
      <x:c r="G137" s="74" t="str">
        <x:v>Short hose; gasket stock</x:v>
      </x:c>
      <x:c r="H137" s="74" t="str">
        <x:v>Drain; loosen clamp; pull without cutting</x:v>
      </x:c>
      <x:c r="I137" s="74" t="str">
        <x:v>Fuel or sewage contamination; burst</x:v>
      </x:c>
      <x:c r="J137" s="74" t="str">
        <x:v>H2</x:v>
      </x:c>
    </x:row>
    <x:row r="138" ht="40.5" customHeight="1">
      <x:c r="A138" s="74" t="str">
        <x:v>SV-134</x:v>
      </x:c>
      <x:c r="B138" s="74" t="str">
        <x:v>Braided hydraulic hose</x:v>
      </x:c>
      <x:c r="C138" s="74" t="str">
        <x:v>Boat plumbing</x:v>
      </x:c>
      <x:c r="D138" s="74" t="str">
        <x:v>Rare major wreck</x:v>
      </x:c>
      <x:c r="E138" s="74" t="str">
        <x:v>rubber + steel braid</x:v>
      </x:c>
      <x:c r="F138" s="74" t="str">
        <x:v>Matched hydraulic repair only; protective sleeve</x:v>
      </x:c>
      <x:c r="G138" s="74" t="str">
        <x:v>Fittings; braid; hose sections</x:v>
      </x:c>
      <x:c r="H138" s="74" t="str">
        <x:v>Depressurize; cap; unbolt</x:v>
      </x:c>
      <x:c r="I138" s="74" t="str">
        <x:v>Injection injury; trapped high pressure</x:v>
      </x:c>
      <x:c r="J138" s="74" t="str">
        <x:v>H5</x:v>
      </x:c>
    </x:row>
    <x:row r="139" ht="40.5" customHeight="1">
      <x:c r="A139" s="74" t="str">
        <x:v>SV-135</x:v>
      </x:c>
      <x:c r="B139" s="74" t="str">
        <x:v>Hose clamp</x:v>
      </x:c>
      <x:c r="C139" s="74" t="str">
        <x:v>Boat hardware</x:v>
      </x:c>
      <x:c r="D139" s="74" t="str">
        <x:v>Daily wreck breakup</x:v>
      </x:c>
      <x:c r="E139" s="74" t="str">
        <x:v>steel</x:v>
      </x:c>
      <x:c r="F139" s="74" t="str">
        <x:v>Secure hose; band clamp; small bracket</x:v>
      </x:c>
      <x:c r="G139" s="74" t="str">
        <x:v>Screw; metal band</x:v>
      </x:c>
      <x:c r="H139" s="74" t="str">
        <x:v>Correct screwdriver or nut driver; rinse</x:v>
      </x:c>
      <x:c r="I139" s="74" t="str">
        <x:v>Stripped screw; sharp band</x:v>
      </x:c>
      <x:c r="J139" s="74" t="str">
        <x:v>H1</x:v>
      </x:c>
    </x:row>
    <x:row r="140" ht="40.5" customHeight="1">
      <x:c r="A140" s="74" t="str">
        <x:v>SV-136</x:v>
      </x:c>
      <x:c r="B140" s="74" t="str">
        <x:v>Water tank</x:v>
      </x:c>
      <x:c r="C140" s="74" t="str">
        <x:v>Boat plumbing</x:v>
      </x:c>
      <x:c r="D140" s="74" t="str">
        <x:v>Rare wreck breakup</x:v>
      </x:c>
      <x:c r="E140" s="74" t="str">
        <x:v>metal or polymer</x:v>
      </x:c>
      <x:c r="F140" s="74" t="str">
        <x:v>Potable storage only after history and cleaning proof</x:v>
      </x:c>
      <x:c r="G140" s="74" t="str">
        <x:v>Sheet; fittings; inspection hatch</x:v>
      </x:c>
      <x:c r="H140" s="74" t="str">
        <x:v>Drain; vent; inspect; clean; leak test</x:v>
      </x:c>
      <x:c r="I140" s="74" t="str">
        <x:v>Unknown residue; confined-space fumes</x:v>
      </x:c>
      <x:c r="J140" s="74" t="str">
        <x:v>H4</x:v>
      </x:c>
    </x:row>
    <x:row r="141" ht="40.5" customHeight="1">
      <x:c r="A141" s="74" t="str">
        <x:v>SV-137</x:v>
      </x:c>
      <x:c r="B141" s="74" t="str">
        <x:v>Fuel tank</x:v>
      </x:c>
      <x:c r="C141" s="74" t="str">
        <x:v>Boat plumbing</x:v>
      </x:c>
      <x:c r="D141" s="74" t="str">
        <x:v>Rare wreck breakup</x:v>
      </x:c>
      <x:c r="E141" s="74" t="str">
        <x:v>metal or polymer</x:v>
      </x:c>
      <x:c r="F141" s="74" t="str">
        <x:v>Fuel storage only after safe recovery; never immediate cookware or boiler</x:v>
      </x:c>
      <x:c r="G141" s="74" t="str">
        <x:v>Sheet; fittings; baffles</x:v>
      </x:c>
      <x:c r="H141" s="74" t="str">
        <x:v>Vent; drain; gas-free certification before cutting</x:v>
      </x:c>
      <x:c r="I141" s="74" t="str">
        <x:v>Explosion; toxic residue</x:v>
      </x:c>
      <x:c r="J141" s="74" t="str">
        <x:v>H6</x:v>
      </x:c>
    </x:row>
    <x:row r="142" ht="40.5" customHeight="1">
      <x:c r="A142" s="74" t="str">
        <x:v>SV-138</x:v>
      </x:c>
      <x:c r="B142" s="74" t="str">
        <x:v>Jerry can</x:v>
      </x:c>
      <x:c r="C142" s="74" t="str">
        <x:v>Cargo drift</x:v>
      </x:c>
      <x:c r="D142" s="74" t="str">
        <x:v>Post-storm pulse</x:v>
      </x:c>
      <x:c r="E142" s="74" t="str">
        <x:v>metal or polymer</x:v>
      </x:c>
      <x:c r="F142" s="74" t="str">
        <x:v>Dedicated fuel or water can only if provenance proves it</x:v>
      </x:c>
      <x:c r="G142" s="74" t="str">
        <x:v>Sheet; cap; gasket</x:v>
      </x:c>
      <x:c r="H142" s="74" t="str">
        <x:v>Inspect markings; smell cautiously at distance; rinse if suitable</x:v>
      </x:c>
      <x:c r="I142" s="74" t="str">
        <x:v>Cross-contamination; vapors</x:v>
      </x:c>
      <x:c r="J142" s="74" t="str">
        <x:v>H3</x:v>
      </x:c>
    </x:row>
    <x:row r="143" ht="40.5" customHeight="1">
      <x:c r="A143" s="74" t="str">
        <x:v>SV-139</x:v>
      </x:c>
      <x:c r="B143" s="74" t="str">
        <x:v>Filter housing</x:v>
      </x:c>
      <x:c r="C143" s="74" t="str">
        <x:v>Boat machinery</x:v>
      </x:c>
      <x:c r="D143" s="74" t="str">
        <x:v>Wreck breakup</x:v>
      </x:c>
      <x:c r="E143" s="74" t="str">
        <x:v>metal or polymer</x:v>
      </x:c>
      <x:c r="F143" s="74" t="str">
        <x:v>Water; oil; or fuel filter system if identified</x:v>
      </x:c>
      <x:c r="G143" s="74" t="str">
        <x:v>Canister; threads; seals</x:v>
      </x:c>
      <x:c r="H143" s="74" t="str">
        <x:v>Depressurize; unscrew; label service</x:v>
      </x:c>
      <x:c r="I143" s="74" t="str">
        <x:v>Trapped pressure; hazardous residue</x:v>
      </x:c>
      <x:c r="J143" s="74" t="str">
        <x:v>H3</x:v>
      </x:c>
    </x:row>
    <x:row r="144" ht="40.5" customHeight="1">
      <x:c r="A144" s="74" t="str">
        <x:v>SV-140</x:v>
      </x:c>
      <x:c r="B144" s="74" t="str">
        <x:v>Spark plug</x:v>
      </x:c>
      <x:c r="C144" s="74" t="str">
        <x:v>Boat machinery</x:v>
      </x:c>
      <x:c r="D144" s="74" t="str">
        <x:v>Wreck breakup</x:v>
      </x:c>
      <x:c r="E144" s="74" t="str">
        <x:v>ceramic + steel</x:v>
      </x:c>
      <x:c r="F144" s="74" t="str">
        <x:v>Ignition repair; insulated feedthrough experiment</x:v>
      </x:c>
      <x:c r="G144" s="74" t="str">
        <x:v>Ceramic insulator; threaded shell</x:v>
      </x:c>
      <x:c r="H144" s="74" t="str">
        <x:v>Use plug socket; inspect gap and cracks</x:v>
      </x:c>
      <x:c r="I144" s="74" t="str">
        <x:v>Brittle ceramic; fuel residue</x:v>
      </x:c>
      <x:c r="J144" s="74" t="str">
        <x:v>H3</x:v>
      </x:c>
    </x:row>
    <x:row r="145" ht="40.5" customHeight="1">
      <x:c r="A145" s="74" t="str">
        <x:v>SV-141</x:v>
      </x:c>
      <x:c r="B145" s="74" t="str">
        <x:v>Carburetor</x:v>
      </x:c>
      <x:c r="C145" s="74" t="str">
        <x:v>Boat machinery</x:v>
      </x:c>
      <x:c r="D145" s="74" t="str">
        <x:v>Rare major wreck</x:v>
      </x:c>
      <x:c r="E145" s="74" t="str">
        <x:v>mixed metal</x:v>
      </x:c>
      <x:c r="F145" s="74" t="str">
        <x:v>Engine repair; throttle and float donor</x:v>
      </x:c>
      <x:c r="G145" s="74" t="str">
        <x:v>Jets; float; needle; body</x:v>
      </x:c>
      <x:c r="H145" s="74" t="str">
        <x:v>Drain; disassemble on clean mat; label jets</x:v>
      </x:c>
      <x:c r="I145" s="74" t="str">
        <x:v>Fuel vapor; tiny parts; lead deposit</x:v>
      </x:c>
      <x:c r="J145" s="74" t="str">
        <x:v>H4</x:v>
      </x:c>
    </x:row>
    <x:row r="146" ht="40.5" customHeight="1">
      <x:c r="A146" s="74" t="str">
        <x:v>SV-142</x:v>
      </x:c>
      <x:c r="B146" s="74" t="str">
        <x:v>Fuel injector</x:v>
      </x:c>
      <x:c r="C146" s="74" t="str">
        <x:v>Boat machinery</x:v>
      </x:c>
      <x:c r="D146" s="74" t="str">
        <x:v>Rare major wreck</x:v>
      </x:c>
      <x:c r="E146" s="74" t="str">
        <x:v>steel</x:v>
      </x:c>
      <x:c r="F146" s="74" t="str">
        <x:v>Matched engine repair only</x:v>
      </x:c>
      <x:c r="G146" s="74" t="str">
        <x:v>Nozzle steel; fittings</x:v>
      </x:c>
      <x:c r="H146" s="74" t="str">
        <x:v>Depressurize; cap; bench test</x:v>
      </x:c>
      <x:c r="I146" s="74" t="str">
        <x:v>Injection injury; fuel spray</x:v>
      </x:c>
      <x:c r="J146" s="74" t="str">
        <x:v>H5</x:v>
      </x:c>
    </x:row>
    <x:row r="147" ht="40.5" customHeight="1">
      <x:c r="A147" s="74" t="str">
        <x:v>SV-143</x:v>
      </x:c>
      <x:c r="B147" s="74" t="str">
        <x:v>Magneto</x:v>
      </x:c>
      <x:c r="C147" s="74" t="str">
        <x:v>Boat electrical</x:v>
      </x:c>
      <x:c r="D147" s="74" t="str">
        <x:v>Rare major wreck</x:v>
      </x:c>
      <x:c r="E147" s="74" t="str">
        <x:v>electromechanical</x:v>
      </x:c>
      <x:c r="F147" s="74" t="str">
        <x:v>Ignition source; small generator experiment</x:v>
      </x:c>
      <x:c r="G147" s="74" t="str">
        <x:v>Magnets; coil; bearings; gears</x:v>
      </x:c>
      <x:c r="H147" s="74" t="str">
        <x:v>Remove drive and leads; bench spark test safely</x:v>
      </x:c>
      <x:c r="I147" s="74" t="str">
        <x:v>High-voltage shock; magnets</x:v>
      </x:c>
      <x:c r="J147" s="74" t="str">
        <x:v>H4</x:v>
      </x:c>
    </x:row>
    <x:row r="148" ht="40.5" customHeight="1">
      <x:c r="A148" s="74" t="str">
        <x:v>SV-144</x:v>
      </x:c>
      <x:c r="B148" s="74" t="str">
        <x:v>Starter motor</x:v>
      </x:c>
      <x:c r="C148" s="74" t="str">
        <x:v>Boat electrical</x:v>
      </x:c>
      <x:c r="D148" s="74" t="str">
        <x:v>Rare major wreck</x:v>
      </x:c>
      <x:c r="E148" s="74" t="str">
        <x:v>electric motor</x:v>
      </x:c>
      <x:c r="F148" s="74" t="str">
        <x:v>Repair as motor; high-current winch drive; generator experiment</x:v>
      </x:c>
      <x:c r="G148" s="74" t="str">
        <x:v>Copper winding; bearings; solenoid; gear</x:v>
      </x:c>
      <x:c r="H148" s="74" t="str">
        <x:v>Disconnect battery; unbolt; bench current test</x:v>
      </x:c>
      <x:c r="I148" s="74" t="str">
        <x:v>Arc; crush torque; battery fire</x:v>
      </x:c>
      <x:c r="J148" s="74" t="str">
        <x:v>H4</x:v>
      </x:c>
    </x:row>
    <x:row r="149" ht="40.5" customHeight="1">
      <x:c r="A149" s="74" t="str">
        <x:v>SV-145</x:v>
      </x:c>
      <x:c r="B149" s="74" t="str">
        <x:v>Alternator</x:v>
      </x:c>
      <x:c r="C149" s="74" t="str">
        <x:v>Boat electrical</x:v>
      </x:c>
      <x:c r="D149" s="74" t="str">
        <x:v>Rare major wreck</x:v>
      </x:c>
      <x:c r="E149" s="74" t="str">
        <x:v>generator</x:v>
      </x:c>
      <x:c r="F149" s="74" t="str">
        <x:v>Generate electricity from engine; waterwheel; wind rotor</x:v>
      </x:c>
      <x:c r="G149" s="74" t="str">
        <x:v>Stator; rotor; rectifier; regulator; bearings</x:v>
      </x:c>
      <x:c r="H149" s="74" t="str">
        <x:v>Disconnect; mark wires; spin and bench test</x:v>
      </x:c>
      <x:c r="I149" s="74" t="str">
        <x:v>High current; rotating entanglement</x:v>
      </x:c>
      <x:c r="J149" s="74" t="str">
        <x:v>H4</x:v>
      </x:c>
    </x:row>
    <x:row r="150" ht="40.5" customHeight="1">
      <x:c r="A150" s="74" t="str">
        <x:v>SV-146</x:v>
      </x:c>
      <x:c r="B150" s="74" t="str">
        <x:v>Permanent-magnet generator</x:v>
      </x:c>
      <x:c r="C150" s="74" t="str">
        <x:v>Instrument or boat drift</x:v>
      </x:c>
      <x:c r="D150" s="74" t="str">
        <x:v>Rare current event</x:v>
      </x:c>
      <x:c r="E150" s="74" t="str">
        <x:v>generator</x:v>
      </x:c>
      <x:c r="F150" s="74" t="str">
        <x:v>Direct low-speed power source; charging system</x:v>
      </x:c>
      <x:c r="G150" s="74" t="str">
        <x:v>Magnets; coils; bearings</x:v>
      </x:c>
      <x:c r="H150" s="74" t="str">
        <x:v>Depower; spin test; measure output</x:v>
      </x:c>
      <x:c r="I150" s="74" t="str">
        <x:v>Overspeed; shock; magnet damage</x:v>
      </x:c>
      <x:c r="J150" s="74" t="str">
        <x:v>H4</x:v>
      </x:c>
    </x:row>
    <x:row r="151" ht="40.5" customHeight="1">
      <x:c r="A151" s="74" t="str">
        <x:v>SV-147</x:v>
      </x:c>
      <x:c r="B151" s="74" t="str">
        <x:v>Lead-acid battery</x:v>
      </x:c>
      <x:c r="C151" s="74" t="str">
        <x:v>Boat electrical</x:v>
      </x:c>
      <x:c r="D151" s="74" t="str">
        <x:v>Rare major wreck</x:v>
      </x:c>
      <x:c r="E151" s="74" t="str">
        <x:v>battery</x:v>
      </x:c>
      <x:c r="F151" s="74" t="str">
        <x:v>Electrical storage if intact and tested</x:v>
      </x:c>
      <x:c r="G151" s="74" t="str">
        <x:v>Lead; case; terminals only in controlled recycle route</x:v>
      </x:c>
      <x:c r="H151" s="74" t="str">
        <x:v>Isolate upright; inspect; voltage and load test</x:v>
      </x:c>
      <x:c r="I151" s="74" t="str">
        <x:v>Acid; hydrogen; lead; short circuit</x:v>
      </x:c>
      <x:c r="J151" s="74" t="str">
        <x:v>H5</x:v>
      </x:c>
    </x:row>
    <x:row r="152" ht="40.5" customHeight="1">
      <x:c r="A152" s="74" t="str">
        <x:v>SV-148</x:v>
      </x:c>
      <x:c r="B152" s="74" t="str">
        <x:v>Lithium battery pack</x:v>
      </x:c>
      <x:c r="C152" s="74" t="str">
        <x:v>Instrument drift</x:v>
      </x:c>
      <x:c r="D152" s="74" t="str">
        <x:v>Rare current event</x:v>
      </x:c>
      <x:c r="E152" s="74" t="str">
        <x:v>battery</x:v>
      </x:c>
      <x:c r="F152" s="74" t="str">
        <x:v>Electrical storage only if intact and managed</x:v>
      </x:c>
      <x:c r="G152" s="74" t="str">
        <x:v>Cells; BMS; nickel strips in specialist route</x:v>
      </x:c>
      <x:c r="H152" s="74" t="str">
        <x:v>Isolate; inspect swelling; measure through protection circuit</x:v>
      </x:c>
      <x:c r="I152" s="74" t="str">
        <x:v>Thermal runaway; toxic fire</x:v>
      </x:c>
      <x:c r="J152" s="74" t="str">
        <x:v>H6</x:v>
      </x:c>
    </x:row>
    <x:row r="153" ht="40.5" customHeight="1">
      <x:c r="A153" s="74" t="str">
        <x:v>SV-149</x:v>
      </x:c>
      <x:c r="B153" s="74" t="str">
        <x:v>Electrical switch</x:v>
      </x:c>
      <x:c r="C153" s="74" t="str">
        <x:v>Boat electrical</x:v>
      </x:c>
      <x:c r="D153" s="74" t="str">
        <x:v>Wreck breakup</x:v>
      </x:c>
      <x:c r="E153" s="74" t="str">
        <x:v>electrical hardware</x:v>
      </x:c>
      <x:c r="F153" s="74" t="str">
        <x:v>Control lights; pumps; test circuits</x:v>
      </x:c>
      <x:c r="G153" s="74" t="str">
        <x:v>Contacts; spring; enclosure</x:v>
      </x:c>
      <x:c r="H153" s="74" t="str">
        <x:v>Depower; unscrew; continuity test</x:v>
      </x:c>
      <x:c r="I153" s="74" t="str">
        <x:v>Corrosion; false isolation</x:v>
      </x:c>
      <x:c r="J153" s="74" t="str">
        <x:v>H2</x:v>
      </x:c>
    </x:row>
    <x:row r="154" ht="40.5" customHeight="1">
      <x:c r="A154" s="74" t="str">
        <x:v>SV-150</x:v>
      </x:c>
      <x:c r="B154" s="74" t="str">
        <x:v>Fuse assortment</x:v>
      </x:c>
      <x:c r="C154" s="74" t="str">
        <x:v>Boat electrical</x:v>
      </x:c>
      <x:c r="D154" s="74" t="str">
        <x:v>Wreck breakup</x:v>
      </x:c>
      <x:c r="E154" s="74" t="str">
        <x:v>electrical hardware</x:v>
      </x:c>
      <x:c r="F154" s="74" t="str">
        <x:v>Overcurrent protection when rating is legible</x:v>
      </x:c>
      <x:c r="G154" s="74" t="str">
        <x:v>Fuse wire only in controlled experiments</x:v>
      </x:c>
      <x:c r="H154" s="74" t="str">
        <x:v>Depower; pull; read rating; continuity test</x:v>
      </x:c>
      <x:c r="I154" s="74" t="str">
        <x:v>Wrong rating defeats protection</x:v>
      </x:c>
      <x:c r="J154" s="74" t="str">
        <x:v>H3</x:v>
      </x:c>
    </x:row>
    <x:row r="155" ht="40.5" customHeight="1">
      <x:c r="A155" s="74" t="str">
        <x:v>SV-151</x:v>
      </x:c>
      <x:c r="B155" s="74" t="str">
        <x:v>Circuit breaker</x:v>
      </x:c>
      <x:c r="C155" s="74" t="str">
        <x:v>Boat electrical</x:v>
      </x:c>
      <x:c r="D155" s="74" t="str">
        <x:v>Rare major wreck</x:v>
      </x:c>
      <x:c r="E155" s="74" t="str">
        <x:v>electrical hardware</x:v>
      </x:c>
      <x:c r="F155" s="74" t="str">
        <x:v>Resettable overcurrent protection after test</x:v>
      </x:c>
      <x:c r="G155" s="74" t="str">
        <x:v>Contacts; trip mechanism</x:v>
      </x:c>
      <x:c r="H155" s="74" t="str">
        <x:v>Depower; unclip; bench trip test</x:v>
      </x:c>
      <x:c r="I155" s="74" t="str">
        <x:v>May fail closed; arc</x:v>
      </x:c>
      <x:c r="J155" s="74" t="str">
        <x:v>H4</x:v>
      </x:c>
    </x:row>
    <x:row r="156" ht="40.5" customHeight="1">
      <x:c r="A156" s="74" t="str">
        <x:v>SV-152</x:v>
      </x:c>
      <x:c r="B156" s="74" t="str">
        <x:v>Wire harness</x:v>
      </x:c>
      <x:c r="C156" s="74" t="str">
        <x:v>Boat electrical</x:v>
      </x:c>
      <x:c r="D156" s="74" t="str">
        <x:v>Wreck breakup</x:v>
      </x:c>
      <x:c r="E156" s="74" t="str">
        <x:v>copper + insulation</x:v>
      </x:c>
      <x:c r="F156" s="74" t="str">
        <x:v>Reusable labelled circuits; low-voltage distribution</x:v>
      </x:c>
      <x:c r="G156" s="74" t="str">
        <x:v>Copper wire; connectors; loom; terminals</x:v>
      </x:c>
      <x:c r="H156" s="74" t="str">
        <x:v>Depower; label both ends; unplug before cutting</x:v>
      </x:c>
      <x:c r="I156" s="74" t="str">
        <x:v>Short; hidden battery; brittle insulation</x:v>
      </x:c>
      <x:c r="J156" s="74" t="str">
        <x:v>H3</x:v>
      </x:c>
    </x:row>
    <x:row r="157" ht="40.5" customHeight="1">
      <x:c r="A157" s="74" t="str">
        <x:v>SV-153</x:v>
      </x:c>
      <x:c r="B157" s="74" t="str">
        <x:v>Cable connector</x:v>
      </x:c>
      <x:c r="C157" s="74" t="str">
        <x:v>Boat electrical</x:v>
      </x:c>
      <x:c r="D157" s="74" t="str">
        <x:v>Wreck breakup</x:v>
      </x:c>
      <x:c r="E157" s="74" t="str">
        <x:v>electrical hardware</x:v>
      </x:c>
      <x:c r="F157" s="74" t="str">
        <x:v>Modular connection; waterproof pass-through</x:v>
      </x:c>
      <x:c r="G157" s="74" t="str">
        <x:v>Pins; shell; gasket</x:v>
      </x:c>
      <x:c r="H157" s="74" t="str">
        <x:v>Release latch or collar; map pins</x:v>
      </x:c>
      <x:c r="I157" s="74" t="str">
        <x:v>Corrosion; miswiring</x:v>
      </x:c>
      <x:c r="J157" s="74" t="str">
        <x:v>H3</x:v>
      </x:c>
    </x:row>
    <x:row r="158" ht="40.5" customHeight="1">
      <x:c r="A158" s="74" t="str">
        <x:v>SV-154</x:v>
      </x:c>
      <x:c r="B158" s="74" t="str">
        <x:v>Navigation lamp</x:v>
      </x:c>
      <x:c r="C158" s="74" t="str">
        <x:v>Boat electrical</x:v>
      </x:c>
      <x:c r="D158" s="74" t="str">
        <x:v>Post-storm pulse</x:v>
      </x:c>
      <x:c r="E158" s="74" t="str">
        <x:v>lamp assembly</x:v>
      </x:c>
      <x:c r="F158" s="74" t="str">
        <x:v>Shelter light; signal light; lens donor</x:v>
      </x:c>
      <x:c r="G158" s="74" t="str">
        <x:v>LED or bulb; lens; socket; reflector</x:v>
      </x:c>
      <x:c r="H158" s="74" t="str">
        <x:v>Depower; unscrew; bench test at rated voltage</x:v>
      </x:c>
      <x:c r="I158" s="74" t="str">
        <x:v>Wrong voltage; broken glass</x:v>
      </x:c>
      <x:c r="J158" s="74" t="str">
        <x:v>H2</x:v>
      </x:c>
    </x:row>
    <x:row r="159" ht="40.5" customHeight="1">
      <x:c r="A159" s="74" t="str">
        <x:v>SV-155</x:v>
      </x:c>
      <x:c r="B159" s="74" t="str">
        <x:v>DC motor</x:v>
      </x:c>
      <x:c r="C159" s="74" t="str">
        <x:v>Boat electrical</x:v>
      </x:c>
      <x:c r="D159" s="74" t="str">
        <x:v>Rare major wreck</x:v>
      </x:c>
      <x:c r="E159" s="74" t="str">
        <x:v>electric motor</x:v>
      </x:c>
      <x:c r="F159" s="74" t="str">
        <x:v>Fan; pump; lathe; generator experiment</x:v>
      </x:c>
      <x:c r="G159" s="74" t="str">
        <x:v>Copper; magnets; bearings; shaft</x:v>
      </x:c>
      <x:c r="H159" s="74" t="str">
        <x:v>Depower; remove coupling; bench test</x:v>
      </x:c>
      <x:c r="I159" s="74" t="str">
        <x:v>High current; overspeed</x:v>
      </x:c>
      <x:c r="J159" s="74" t="str">
        <x:v>H4</x:v>
      </x:c>
    </x:row>
    <x:row r="160" ht="40.5" customHeight="1">
      <x:c r="A160" s="74" t="str">
        <x:v>SV-156</x:v>
      </x:c>
      <x:c r="B160" s="74" t="str">
        <x:v>Stainless cooking pot</x:v>
      </x:c>
      <x:c r="C160" s="74" t="str">
        <x:v>Galley drift</x:v>
      </x:c>
      <x:c r="D160" s="74" t="str">
        <x:v>Wreck breakup</x:v>
      </x:c>
      <x:c r="E160" s="74" t="str">
        <x:v>stainless steel</x:v>
      </x:c>
      <x:c r="F160" s="74" t="str">
        <x:v>Boil; cook; sterilize; collect rain</x:v>
      </x:c>
      <x:c r="G160" s="74" t="str">
        <x:v>Sheet; handles; lid</x:v>
      </x:c>
      <x:c r="H160" s="74" t="str">
        <x:v>Wash; inspect pitting and residues</x:v>
      </x:c>
      <x:c r="I160" s="74" t="str">
        <x:v>Hot handles; unknown chemical use</x:v>
      </x:c>
      <x:c r="J160" s="74" t="str">
        <x:v>H1</x:v>
      </x:c>
    </x:row>
    <x:row r="161" ht="40.5" customHeight="1">
      <x:c r="A161" s="74" t="str">
        <x:v>SV-157</x:v>
      </x:c>
      <x:c r="B161" s="74" t="str">
        <x:v>Kettle</x:v>
      </x:c>
      <x:c r="C161" s="74" t="str">
        <x:v>Galley drift</x:v>
      </x:c>
      <x:c r="D161" s="74" t="str">
        <x:v>Wreck breakup</x:v>
      </x:c>
      <x:c r="E161" s="74" t="str">
        <x:v>metal</x:v>
      </x:c>
      <x:c r="F161" s="74" t="str">
        <x:v>Boil water; heat feedwater; pour safely</x:v>
      </x:c>
      <x:c r="G161" s="74" t="str">
        <x:v>Body; lid; spout; handle</x:v>
      </x:c>
      <x:c r="H161" s="74" t="str">
        <x:v>Wash; descale; leak test</x:v>
      </x:c>
      <x:c r="I161" s="74" t="str">
        <x:v>Steam burn; solder composition unknown</x:v>
      </x:c>
      <x:c r="J161" s="74" t="str">
        <x:v>H1</x:v>
      </x:c>
    </x:row>
    <x:row r="162" ht="40.5" customHeight="1">
      <x:c r="A162" s="74" t="str">
        <x:v>SV-158</x:v>
      </x:c>
      <x:c r="B162" s="74" t="str">
        <x:v>Frying pan</x:v>
      </x:c>
      <x:c r="C162" s="74" t="str">
        <x:v>Galley drift</x:v>
      </x:c>
      <x:c r="D162" s="74" t="str">
        <x:v>Wreck breakup</x:v>
      </x:c>
      <x:c r="E162" s="74" t="str">
        <x:v>metal</x:v>
      </x:c>
      <x:c r="F162" s="74" t="str">
        <x:v>Fry; roast; heat sand or salt for technical work</x:v>
      </x:c>
      <x:c r="G162" s="74" t="str">
        <x:v>Sheet; handle; lid substitute</x:v>
      </x:c>
      <x:c r="H162" s="74" t="str">
        <x:v>Wash; identify non-stick coating</x:v>
      </x:c>
      <x:c r="I162" s="74" t="str">
        <x:v>Damaged coatings; hot oil</x:v>
      </x:c>
      <x:c r="J162" s="74" t="str">
        <x:v>H1</x:v>
      </x:c>
    </x:row>
    <x:row r="163" ht="40.5" customHeight="1">
      <x:c r="A163" s="74" t="str">
        <x:v>SV-159</x:v>
      </x:c>
      <x:c r="B163" s="74" t="str">
        <x:v>Metal bowl</x:v>
      </x:c>
      <x:c r="C163" s="74" t="str">
        <x:v>Galley drift</x:v>
      </x:c>
      <x:c r="D163" s="74" t="str">
        <x:v>Daily strandline</x:v>
      </x:c>
      <x:c r="E163" s="74" t="str">
        <x:v>metal</x:v>
      </x:c>
      <x:c r="F163" s="74" t="str">
        <x:v>Mix; wash; collect; reflect light</x:v>
      </x:c>
      <x:c r="G163" s="74" t="str">
        <x:v>Sheet blank; scoop</x:v>
      </x:c>
      <x:c r="H163" s="74" t="str">
        <x:v>Wash; inspect edges</x:v>
      </x:c>
      <x:c r="I163" s="74" t="str">
        <x:v>Unknown residue</x:v>
      </x:c>
      <x:c r="J163" s="74" t="str">
        <x:v>H0</x:v>
      </x:c>
    </x:row>
    <x:row r="164" ht="40.5" customHeight="1">
      <x:c r="A164" s="74" t="str">
        <x:v>SV-160</x:v>
      </x:c>
      <x:c r="B164" s="74" t="str">
        <x:v>Food can</x:v>
      </x:c>
      <x:c r="C164" s="74" t="str">
        <x:v>Cargo drift</x:v>
      </x:c>
      <x:c r="D164" s="74" t="str">
        <x:v>Daily strandline</x:v>
      </x:c>
      <x:c r="E164" s="74" t="str">
        <x:v>tin-plated steel</x:v>
      </x:c>
      <x:c r="F164" s="74" t="str">
        <x:v>Cook or store only while coating intact and identified; cut template</x:v>
      </x:c>
      <x:c r="G164" s="74" t="str">
        <x:v>Sheet; wire rim; lid</x:v>
      </x:c>
      <x:c r="H164" s="74" t="str">
        <x:v>Open safely; wash; deburr</x:v>
      </x:c>
      <x:c r="I164" s="74" t="str">
        <x:v>Sharp edge; coating fumes; botulism if swollen</x:v>
      </x:c>
      <x:c r="J164" s="74" t="str">
        <x:v>H1</x:v>
      </x:c>
    </x:row>
    <x:row r="165" ht="40.5" customHeight="1">
      <x:c r="A165" s="74" t="str">
        <x:v>SV-161</x:v>
      </x:c>
      <x:c r="B165" s="74" t="str">
        <x:v>Glass jar</x:v>
      </x:c>
      <x:c r="C165" s="74" t="str">
        <x:v>Cargo drift</x:v>
      </x:c>
      <x:c r="D165" s="74" t="str">
        <x:v>Daily strandline</x:v>
      </x:c>
      <x:c r="E165" s="74" t="str">
        <x:v>glass</x:v>
      </x:c>
      <x:c r="F165" s="74" t="str">
        <x:v>Dry storage; fermentation; measurement; seed bank</x:v>
      </x:c>
      <x:c r="G165" s="74" t="str">
        <x:v>Glass fragments only as controlled cullet</x:v>
      </x:c>
      <x:c r="H165" s="74" t="str">
        <x:v>Inspect; wash; heat gradually</x:v>
      </x:c>
      <x:c r="I165" s="74" t="str">
        <x:v>Thermal shock; cuts</x:v>
      </x:c>
      <x:c r="J165" s="74" t="str">
        <x:v>H1</x:v>
      </x:c>
    </x:row>
    <x:row r="166" ht="40.5" customHeight="1">
      <x:c r="A166" s="74" t="str">
        <x:v>SV-162</x:v>
      </x:c>
      <x:c r="B166" s="74" t="str">
        <x:v>Glass bottle</x:v>
      </x:c>
      <x:c r="C166" s="74" t="str">
        <x:v>Cargo drift</x:v>
      </x:c>
      <x:c r="D166" s="74" t="str">
        <x:v>Daily strandline</x:v>
      </x:c>
      <x:c r="E166" s="74" t="str">
        <x:v>glass</x:v>
      </x:c>
      <x:c r="F166" s="74" t="str">
        <x:v>Water storage after cleaning; lamp; float marker</x:v>
      </x:c>
      <x:c r="G166" s="74" t="str">
        <x:v>Cullet; neck as funnel after controlled cut</x:v>
      </x:c>
      <x:c r="H166" s="74" t="str">
        <x:v>Inspect; wash; protect in basket</x:v>
      </x:c>
      <x:c r="I166" s="74" t="str">
        <x:v>Breakage; unknown chemicals</x:v>
      </x:c>
      <x:c r="J166" s="74" t="str">
        <x:v>H1</x:v>
      </x:c>
    </x:row>
    <x:row r="167" ht="40.5" customHeight="1">
      <x:c r="A167" s="74" t="str">
        <x:v>SV-163</x:v>
      </x:c>
      <x:c r="B167" s="74" t="str">
        <x:v>Plastic bucket</x:v>
      </x:c>
      <x:c r="C167" s="74" t="str">
        <x:v>Cargo drift</x:v>
      </x:c>
      <x:c r="D167" s="74" t="str">
        <x:v>Daily strandline</x:v>
      </x:c>
      <x:c r="E167" s="74" t="str">
        <x:v>polymer</x:v>
      </x:c>
      <x:c r="F167" s="74" t="str">
        <x:v>Non-potable carrier; wash basin; trap; storage</x:v>
      </x:c>
      <x:c r="G167" s="74" t="str">
        <x:v>Plastic sheet; handle</x:v>
      </x:c>
      <x:c r="H167" s="74" t="str">
        <x:v>Identify markings; wash; leak test</x:v>
      </x:c>
      <x:c r="I167" s="74" t="str">
        <x:v>Unknown chemicals; UV cracks</x:v>
      </x:c>
      <x:c r="J167" s="74" t="str">
        <x:v>H1</x:v>
      </x:c>
    </x:row>
    <x:row r="168" ht="40.5" customHeight="1">
      <x:c r="A168" s="74" t="str">
        <x:v>SV-164</x:v>
      </x:c>
      <x:c r="B168" s="74" t="str">
        <x:v>Food-grade barrel</x:v>
      </x:c>
      <x:c r="C168" s="74" t="str">
        <x:v>Cargo drift</x:v>
      </x:c>
      <x:c r="D168" s="74" t="str">
        <x:v>Post-storm pulse</x:v>
      </x:c>
      <x:c r="E168" s="74" t="str">
        <x:v>polymer or steel</x:v>
      </x:c>
      <x:c r="F168" s="74" t="str">
        <x:v>Water catch; dry storage; fermenter after proof</x:v>
      </x:c>
      <x:c r="G168" s="74" t="str">
        <x:v>Lid; hoops; sheet; fittings</x:v>
      </x:c>
      <x:c r="H168" s="74" t="str">
        <x:v>Read markings; vent; clean; leak test</x:v>
      </x:c>
      <x:c r="I168" s="74" t="str">
        <x:v>Unknown contents; confined vapors</x:v>
      </x:c>
      <x:c r="J168" s="74" t="str">
        <x:v>H3</x:v>
      </x:c>
    </x:row>
    <x:row r="169" ht="40.5" customHeight="1">
      <x:c r="A169" s="74" t="str">
        <x:v>SV-165</x:v>
      </x:c>
      <x:c r="B169" s="74" t="str">
        <x:v>Cutlery set</x:v>
      </x:c>
      <x:c r="C169" s="74" t="str">
        <x:v>Galley drift</x:v>
      </x:c>
      <x:c r="D169" s="74" t="str">
        <x:v>Daily strandline</x:v>
      </x:c>
      <x:c r="E169" s="74" t="str">
        <x:v>stainless steel</x:v>
      </x:c>
      <x:c r="F169" s="74" t="str">
        <x:v>Eat; stir; carve; measure</x:v>
      </x:c>
      <x:c r="G169" s="74" t="str">
        <x:v>Small tool blanks; hooks; scrapers</x:v>
      </x:c>
      <x:c r="H169" s="74" t="str">
        <x:v>Wash; straighten cautiously</x:v>
      </x:c>
      <x:c r="I169" s="74" t="str">
        <x:v>Sharp edges; hygiene</x:v>
      </x:c>
      <x:c r="J169" s="74" t="str">
        <x:v>H0</x:v>
      </x:c>
    </x:row>
    <x:row r="170" ht="40.5" customHeight="1">
      <x:c r="A170" s="74" t="str">
        <x:v>SV-166</x:v>
      </x:c>
      <x:c r="B170" s="74" t="str">
        <x:v>Can opener</x:v>
      </x:c>
      <x:c r="C170" s="74" t="str">
        <x:v>Galley drift</x:v>
      </x:c>
      <x:c r="D170" s="74" t="str">
        <x:v>Daily strandline</x:v>
      </x:c>
      <x:c r="E170" s="74" t="str">
        <x:v>steel</x:v>
      </x:c>
      <x:c r="F170" s="74" t="str">
        <x:v>Open cans cleanly; cut thin lids</x:v>
      </x:c>
      <x:c r="G170" s="74" t="str">
        <x:v>Gear; cutter wheel; handles</x:v>
      </x:c>
      <x:c r="H170" s="74" t="str">
        <x:v>Wash; lubricate; test on scrap can</x:v>
      </x:c>
      <x:c r="I170" s="74" t="str">
        <x:v>Cuts; contaminated mechanism</x:v>
      </x:c>
      <x:c r="J170" s="74" t="str">
        <x:v>H1</x:v>
      </x:c>
    </x:row>
    <x:row r="171" ht="40.5" customHeight="1">
      <x:c r="A171" s="74" t="str">
        <x:v>SV-167</x:v>
      </x:c>
      <x:c r="B171" s="74" t="str">
        <x:v>Thermos flask</x:v>
      </x:c>
      <x:c r="C171" s="74" t="str">
        <x:v>Cargo drift</x:v>
      </x:c>
      <x:c r="D171" s="74" t="str">
        <x:v>Rare current event</x:v>
      </x:c>
      <x:c r="E171" s="74" t="str">
        <x:v>metal + glass or foam</x:v>
      </x:c>
      <x:c r="F171" s="74" t="str">
        <x:v>Retain hot or cold liquid if intact</x:v>
      </x:c>
      <x:c r="G171" s="74" t="str">
        <x:v>Outer shell; cup; insulation</x:v>
      </x:c>
      <x:c r="H171" s="74" t="str">
        <x:v>Inspect liner; wash; leak and temperature test</x:v>
      </x:c>
      <x:c r="I171" s="74" t="str">
        <x:v>Hidden broken glass; pressure from fermentation</x:v>
      </x:c>
      <x:c r="J171" s="74" t="str">
        <x:v>H2</x:v>
      </x:c>
    </x:row>
    <x:row r="172" ht="40.5" customHeight="1">
      <x:c r="A172" s="74" t="str">
        <x:v>SV-168</x:v>
      </x:c>
      <x:c r="B172" s="74" t="str">
        <x:v>Fabric clothing</x:v>
      </x:c>
      <x:c r="C172" s="74" t="str">
        <x:v>Personal effects</x:v>
      </x:c>
      <x:c r="D172" s="74" t="str">
        <x:v>Daily strandline</x:v>
      </x:c>
      <x:c r="E172" s="74" t="str">
        <x:v>textile</x:v>
      </x:c>
      <x:c r="F172" s="74" t="str">
        <x:v>Wear; patch; shade; padding</x:v>
      </x:c>
      <x:c r="G172" s="74" t="str">
        <x:v>Cloth panels; thread; buttons; zippers</x:v>
      </x:c>
      <x:c r="H172" s="74" t="str">
        <x:v>Wash; disinfect; dry; unpick seams</x:v>
      </x:c>
      <x:c r="I172" s="74" t="str">
        <x:v>Biohazard; mildew; synthetic melt</x:v>
      </x:c>
      <x:c r="J172" s="74" t="str">
        <x:v>H1</x:v>
      </x:c>
    </x:row>
    <x:row r="173" ht="40.5" customHeight="1">
      <x:c r="A173" s="74" t="str">
        <x:v>SV-169</x:v>
      </x:c>
      <x:c r="B173" s="74" t="str">
        <x:v>Canvas bag</x:v>
      </x:c>
      <x:c r="C173" s="74" t="str">
        <x:v>Personal effects</x:v>
      </x:c>
      <x:c r="D173" s="74" t="str">
        <x:v>Daily strandline</x:v>
      </x:c>
      <x:c r="E173" s="74" t="str">
        <x:v>canvas</x:v>
      </x:c>
      <x:c r="F173" s="74" t="str">
        <x:v>Carry; filter support; storage; sandbag</x:v>
      </x:c>
      <x:c r="G173" s="74" t="str">
        <x:v>Panels; straps; buckles; thread</x:v>
      </x:c>
      <x:c r="H173" s="74" t="str">
        <x:v>Empty carefully; wash; repair</x:v>
      </x:c>
      <x:c r="I173" s="74" t="str">
        <x:v>Unknown contents; mold</x:v>
      </x:c>
      <x:c r="J173" s="74" t="str">
        <x:v>H1</x:v>
      </x:c>
    </x:row>
    <x:row r="174" ht="40.5" customHeight="1">
      <x:c r="A174" s="74" t="str">
        <x:v>SV-170</x:v>
      </x:c>
      <x:c r="B174" s="74" t="str">
        <x:v>Leather boot</x:v>
      </x:c>
      <x:c r="C174" s="74" t="str">
        <x:v>Personal effects</x:v>
      </x:c>
      <x:c r="D174" s="74" t="str">
        <x:v>Daily strandline</x:v>
      </x:c>
      <x:c r="E174" s="74" t="str">
        <x:v>leather + rubber</x:v>
      </x:c>
      <x:c r="F174" s="74" t="str">
        <x:v>Footwear if fit and clean; tool holster</x:v>
      </x:c>
      <x:c r="G174" s="74" t="str">
        <x:v>Leather panels; sole; laces; eyelets</x:v>
      </x:c>
      <x:c r="H174" s="74" t="str">
        <x:v>Wash exterior; dry slowly; unpick or cut seams</x:v>
      </x:c>
      <x:c r="I174" s="74" t="str">
        <x:v>Fungus; salt damage; hidden sharp object</x:v>
      </x:c>
      <x:c r="J174" s="74" t="str">
        <x:v>H1</x:v>
      </x:c>
    </x:row>
    <x:row r="175" ht="40.5" customHeight="1">
      <x:c r="A175" s="74" t="str">
        <x:v>SV-171</x:v>
      </x:c>
      <x:c r="B175" s="74" t="str">
        <x:v>Belt</x:v>
      </x:c>
      <x:c r="C175" s="74" t="str">
        <x:v>Personal effects</x:v>
      </x:c>
      <x:c r="D175" s="74" t="str">
        <x:v>Daily strandline</x:v>
      </x:c>
      <x:c r="E175" s="74" t="str">
        <x:v>leather or webbing</x:v>
      </x:c>
      <x:c r="F175" s="74" t="str">
        <x:v>Belt; strap; tourniquet only in emergency knowledge route</x:v>
      </x:c>
      <x:c r="G175" s="74" t="str">
        <x:v>Strip; buckle; keeper; holes</x:v>
      </x:c>
      <x:c r="H175" s="74" t="str">
        <x:v>Wash; inspect; unbuckle</x:v>
      </x:c>
      <x:c r="I175" s="74" t="str">
        <x:v>Weak under critical load</x:v>
      </x:c>
      <x:c r="J175" s="74" t="str">
        <x:v>H1</x:v>
      </x:c>
    </x:row>
    <x:row r="176" ht="40.5" customHeight="1">
      <x:c r="A176" s="74" t="str">
        <x:v>SV-172</x:v>
      </x:c>
      <x:c r="B176" s="74" t="str">
        <x:v>Rain jacket</x:v>
      </x:c>
      <x:c r="C176" s="74" t="str">
        <x:v>Personal effects</x:v>
      </x:c>
      <x:c r="D176" s="74" t="str">
        <x:v>Post-storm pulse</x:v>
      </x:c>
      <x:c r="E176" s="74" t="str">
        <x:v>coated textile</x:v>
      </x:c>
      <x:c r="F176" s="74" t="str">
        <x:v>Weather protection; water-shedding panel</x:v>
      </x:c>
      <x:c r="G176" s="74" t="str">
        <x:v>Patches; zipper; drawcord</x:v>
      </x:c>
      <x:c r="H176" s="74" t="str">
        <x:v>Wash; dry; inspect coating</x:v>
      </x:c>
      <x:c r="I176" s="74" t="str">
        <x:v>Heat-sensitive coating; not breathable</x:v>
      </x:c>
      <x:c r="J176" s="74" t="str">
        <x:v>H1</x:v>
      </x:c>
    </x:row>
    <x:row r="177" ht="40.5" customHeight="1">
      <x:c r="A177" s="74" t="str">
        <x:v>SV-173</x:v>
      </x:c>
      <x:c r="B177" s="74" t="str">
        <x:v>Wool blanket</x:v>
      </x:c>
      <x:c r="C177" s="74" t="str">
        <x:v>Personal effects</x:v>
      </x:c>
      <x:c r="D177" s="74" t="str">
        <x:v>Rare current event</x:v>
      </x:c>
      <x:c r="E177" s="74" t="str">
        <x:v>wool textile</x:v>
      </x:c>
      <x:c r="F177" s="74" t="str">
        <x:v>Warmth; insulation; bedding; smoke filter prelayer</x:v>
      </x:c>
      <x:c r="G177" s="74" t="str">
        <x:v>Felt; patches; yarn</x:v>
      </x:c>
      <x:c r="H177" s="74" t="str">
        <x:v>Wash gently; dry; inspect pests</x:v>
      </x:c>
      <x:c r="I177" s="74" t="str">
        <x:v>Mold; shrinkage; fire</x:v>
      </x:c>
      <x:c r="J177" s="74" t="str">
        <x:v>H1</x:v>
      </x:c>
    </x:row>
    <x:row r="178" ht="40.5" customHeight="1">
      <x:c r="A178" s="74" t="str">
        <x:v>SV-174</x:v>
      </x:c>
      <x:c r="B178" s="74" t="str">
        <x:v>Towel</x:v>
      </x:c>
      <x:c r="C178" s="74" t="str">
        <x:v>Personal effects</x:v>
      </x:c>
      <x:c r="D178" s="74" t="str">
        <x:v>Daily strandline</x:v>
      </x:c>
      <x:c r="E178" s="74" t="str">
        <x:v>textile</x:v>
      </x:c>
      <x:c r="F178" s="74" t="str">
        <x:v>Drying; cleaning; padding</x:v>
      </x:c>
      <x:c r="G178" s="74" t="str">
        <x:v>Rags; wick if natural fiber and clean</x:v>
      </x:c>
      <x:c r="H178" s="74" t="str">
        <x:v>Boil or disinfect when material permits; dry</x:v>
      </x:c>
      <x:c r="I178" s="74" t="str">
        <x:v>Biohazard; synthetic heat damage</x:v>
      </x:c>
      <x:c r="J178" s="74" t="str">
        <x:v>H1</x:v>
      </x:c>
    </x:row>
    <x:row r="179" ht="40.5" customHeight="1">
      <x:c r="A179" s="74" t="str">
        <x:v>SV-175</x:v>
      </x:c>
      <x:c r="B179" s="74" t="str">
        <x:v>Mosquito net</x:v>
      </x:c>
      <x:c r="C179" s="74" t="str">
        <x:v>Personal effects</x:v>
      </x:c>
      <x:c r="D179" s="74" t="str">
        <x:v>Rare current event</x:v>
      </x:c>
      <x:c r="E179" s="74" t="str">
        <x:v>fine mesh</x:v>
      </x:c>
      <x:c r="F179" s="74" t="str">
        <x:v>Insect barrier; food drying guard; seed sieve</x:v>
      </x:c>
      <x:c r="G179" s="74" t="str">
        <x:v>Mesh patches; fine cord</x:v>
      </x:c>
      <x:c r="H179" s="74" t="str">
        <x:v>Wash; mend; suspend</x:v>
      </x:c>
      <x:c r="I179" s="74" t="str">
        <x:v>Tears; entanglement; not fishing net</x:v>
      </x:c>
      <x:c r="J179" s="74" t="str">
        <x:v>H1</x:v>
      </x:c>
    </x:row>
    <x:row r="180" ht="40.5" customHeight="1">
      <x:c r="A180" s="74" t="str">
        <x:v>SV-176</x:v>
      </x:c>
      <x:c r="B180" s="74" t="str">
        <x:v>Sewing kit</x:v>
      </x:c>
      <x:c r="C180" s="74" t="str">
        <x:v>Personal effects</x:v>
      </x:c>
      <x:c r="D180" s="74" t="str">
        <x:v>Rare current event</x:v>
      </x:c>
      <x:c r="E180" s="74" t="str">
        <x:v>mixed tools</x:v>
      </x:c>
      <x:c r="F180" s="74" t="str">
        <x:v>Repair cloth; leather; sails; packs</x:v>
      </x:c>
      <x:c r="G180" s="74" t="str">
        <x:v>Needles; pins; scissors; thread; thimble</x:v>
      </x:c>
      <x:c r="H180" s="74" t="str">
        <x:v>Inventory on work mat; derust</x:v>
      </x:c>
      <x:c r="I180" s="74" t="str">
        <x:v>Puncture; tiny parts</x:v>
      </x:c>
      <x:c r="J180" s="74" t="str">
        <x:v>H1</x:v>
      </x:c>
    </x:row>
    <x:row r="181" ht="40.5" customHeight="1">
      <x:c r="A181" s="74" t="str">
        <x:v>SV-177</x:v>
      </x:c>
      <x:c r="B181" s="74" t="str">
        <x:v>First-aid kit</x:v>
      </x:c>
      <x:c r="C181" s="74" t="str">
        <x:v>Emergency gear</x:v>
      </x:c>
      <x:c r="D181" s="74" t="str">
        <x:v>Rare current event</x:v>
      </x:c>
      <x:c r="E181" s="74" t="str">
        <x:v>medical supplies</x:v>
      </x:c>
      <x:c r="F181" s="74" t="str">
        <x:v>Treat injury according to training and expiry</x:v>
      </x:c>
      <x:c r="G181" s="74" t="str">
        <x:v>Bandages; tape; scissors; containers</x:v>
      </x:c>
      <x:c r="H181" s="74" t="str">
        <x:v>Inventory; quarantine wet or expired contents</x:v>
      </x:c>
      <x:c r="I181" s="74" t="str">
        <x:v>Expired medicine; sterility loss</x:v>
      </x:c>
      <x:c r="J181" s="74" t="str">
        <x:v>H2</x:v>
      </x:c>
    </x:row>
    <x:row r="182" ht="40.5" customHeight="1">
      <x:c r="A182" s="74" t="str">
        <x:v>SV-178</x:v>
      </x:c>
      <x:c r="B182" s="74" t="str">
        <x:v>Bandage roll</x:v>
      </x:c>
      <x:c r="C182" s="74" t="str">
        <x:v>Emergency gear</x:v>
      </x:c>
      <x:c r="D182" s="74" t="str">
        <x:v>Rare current event</x:v>
      </x:c>
      <x:c r="E182" s="74" t="str">
        <x:v>medical textile</x:v>
      </x:c>
      <x:c r="F182" s="74" t="str">
        <x:v>Wound dressing if sealed and dry</x:v>
      </x:c>
      <x:c r="G182" s="74" t="str">
        <x:v>Clean cloth; padding</x:v>
      </x:c>
      <x:c r="H182" s="74" t="str">
        <x:v>Check seal and expiry</x:v>
      </x:c>
      <x:c r="I182" s="74" t="str">
        <x:v>Not sterile once wet or opened</x:v>
      </x:c>
      <x:c r="J182" s="74" t="str">
        <x:v>H2</x:v>
      </x:c>
    </x:row>
    <x:row r="183" ht="40.5" customHeight="1">
      <x:c r="A183" s="74" t="str">
        <x:v>SV-179</x:v>
      </x:c>
      <x:c r="B183" s="74" t="str">
        <x:v>Medical scissors</x:v>
      </x:c>
      <x:c r="C183" s="74" t="str">
        <x:v>Emergency gear</x:v>
      </x:c>
      <x:c r="D183" s="74" t="str">
        <x:v>Rare current event</x:v>
      </x:c>
      <x:c r="E183" s="74" t="str">
        <x:v>stainless steel</x:v>
      </x:c>
      <x:c r="F183" s="74" t="str">
        <x:v>Cut dressings and cloth; blunt-tip seam work</x:v>
      </x:c>
      <x:c r="G183" s="74" t="str">
        <x:v>Steel blades; pivot screw</x:v>
      </x:c>
      <x:c r="H183" s="74" t="str">
        <x:v>Wash; disinfect; sharpen</x:v>
      </x:c>
      <x:c r="I183" s="74" t="str">
        <x:v>Cross-contamination</x:v>
      </x:c>
      <x:c r="J183" s="74" t="str">
        <x:v>H2</x:v>
      </x:c>
    </x:row>
    <x:row r="184" ht="40.5" customHeight="1">
      <x:c r="A184" s="74" t="str">
        <x:v>SV-180</x:v>
      </x:c>
      <x:c r="B184" s="74" t="str">
        <x:v>Signal mirror</x:v>
      </x:c>
      <x:c r="C184" s="74" t="str">
        <x:v>Emergency gear</x:v>
      </x:c>
      <x:c r="D184" s="74" t="str">
        <x:v>Rare current event</x:v>
      </x:c>
      <x:c r="E184" s="74" t="str">
        <x:v>glass or polished metal</x:v>
      </x:c>
      <x:c r="F184" s="74" t="str">
        <x:v>Day signal; inspect blind spaces; align beam</x:v>
      </x:c>
      <x:c r="G184" s="74" t="str">
        <x:v>Mirror; backing; hole</x:v>
      </x:c>
      <x:c r="H184" s="74" t="str">
        <x:v>Wash; protect edges</x:v>
      </x:c>
      <x:c r="I184" s="74" t="str">
        <x:v>Glare; broken glass</x:v>
      </x:c>
      <x:c r="J184" s="74" t="str">
        <x:v>H1</x:v>
      </x:c>
    </x:row>
    <x:row r="185" ht="40.5" customHeight="1">
      <x:c r="A185" s="74" t="str">
        <x:v>SV-181</x:v>
      </x:c>
      <x:c r="B185" s="74" t="str">
        <x:v>Compass</x:v>
      </x:c>
      <x:c r="C185" s="74" t="str">
        <x:v>Emergency gear</x:v>
      </x:c>
      <x:c r="D185" s="74" t="str">
        <x:v>Rare current event</x:v>
      </x:c>
      <x:c r="E185" s="74" t="str">
        <x:v>instrument</x:v>
      </x:c>
      <x:c r="F185" s="74" t="str">
        <x:v>Navigation and mapping if checked</x:v>
      </x:c>
      <x:c r="G185" s="74" t="str">
        <x:v>Magnet; case; lens</x:v>
      </x:c>
      <x:c r="H185" s="74" t="str">
        <x:v>Keep away from iron; compare headings</x:v>
      </x:c>
      <x:c r="I185" s="74" t="str">
        <x:v>Magnetic deviation; bubble or fluid leak</x:v>
      </x:c>
      <x:c r="J185" s="74" t="str">
        <x:v>H2</x:v>
      </x:c>
    </x:row>
    <x:row r="186" ht="40.5" customHeight="1">
      <x:c r="A186" s="74" t="str">
        <x:v>SV-182</x:v>
      </x:c>
      <x:c r="B186" s="74" t="str">
        <x:v>Whistle</x:v>
      </x:c>
      <x:c r="C186" s="74" t="str">
        <x:v>Emergency gear</x:v>
      </x:c>
      <x:c r="D186" s="74" t="str">
        <x:v>Daily strandline</x:v>
      </x:c>
      <x:c r="E186" s="74" t="str">
        <x:v>plastic or metal</x:v>
      </x:c>
      <x:c r="F186" s="74" t="str">
        <x:v>Signal; team coordination; alarm</x:v>
      </x:c>
      <x:c r="G186" s="74" t="str">
        <x:v>Small tube; lanyard</x:v>
      </x:c>
      <x:c r="H186" s="74" t="str">
        <x:v>Wash; test</x:v>
      </x:c>
      <x:c r="I186" s="74" t="str">
        <x:v>Hygiene; hearing damage close-up</x:v>
      </x:c>
      <x:c r="J186" s="74" t="str">
        <x:v>H0</x:v>
      </x:c>
    </x:row>
    <x:row r="187" ht="40.5" customHeight="1">
      <x:c r="A187" s="74" t="str">
        <x:v>SV-183</x:v>
      </x:c>
      <x:c r="B187" s="74" t="str">
        <x:v>Signal flare</x:v>
      </x:c>
      <x:c r="C187" s="74" t="str">
        <x:v>Emergency gear</x:v>
      </x:c>
      <x:c r="D187" s="74" t="str">
        <x:v>Rare current event</x:v>
      </x:c>
      <x:c r="E187" s="74" t="str">
        <x:v>pyrotechnic</x:v>
      </x:c>
      <x:c r="F187" s="74" t="str">
        <x:v>Emergency signaling only</x:v>
      </x:c>
      <x:c r="G187" s="74" t="str">
        <x:v>No routine dismantling</x:v>
      </x:c>
      <x:c r="H187" s="74" t="str">
        <x:v>Read instructions; isolate dry; use only for rescue</x:v>
      </x:c>
      <x:c r="I187" s="74" t="str">
        <x:v>Fire; toxic smoke; explosive propellant</x:v>
      </x:c>
      <x:c r="J187" s="74" t="str">
        <x:v>H5</x:v>
      </x:c>
    </x:row>
    <x:row r="188" ht="40.5" customHeight="1">
      <x:c r="A188" s="74" t="str">
        <x:v>SV-184</x:v>
      </x:c>
      <x:c r="B188" s="74" t="str">
        <x:v>Flashlight</x:v>
      </x:c>
      <x:c r="C188" s="74" t="str">
        <x:v>Emergency gear</x:v>
      </x:c>
      <x:c r="D188" s="74" t="str">
        <x:v>Rare current event</x:v>
      </x:c>
      <x:c r="E188" s="74" t="str">
        <x:v>electrical</x:v>
      </x:c>
      <x:c r="F188" s="74" t="str">
        <x:v>Portable light; signal</x:v>
      </x:c>
      <x:c r="G188" s="74" t="str">
        <x:v>LED or bulb; switch; reflector; cells</x:v>
      </x:c>
      <x:c r="H188" s="74" t="str">
        <x:v>Remove cells; dry; inspect; bench test</x:v>
      </x:c>
      <x:c r="I188" s="74" t="str">
        <x:v>Leaking battery; short</x:v>
      </x:c>
      <x:c r="J188" s="74" t="str">
        <x:v>H2</x:v>
      </x:c>
    </x:row>
    <x:row r="189" ht="40.5" customHeight="1">
      <x:c r="A189" s="74" t="str">
        <x:v>SV-185</x:v>
      </x:c>
      <x:c r="B189" s="74" t="str">
        <x:v>Portable radio</x:v>
      </x:c>
      <x:c r="C189" s="74" t="str">
        <x:v>Emergency gear</x:v>
      </x:c>
      <x:c r="D189" s="74" t="str">
        <x:v>Rare current event</x:v>
      </x:c>
      <x:c r="E189" s="74" t="str">
        <x:v>electronics</x:v>
      </x:c>
      <x:c r="F189" s="74" t="str">
        <x:v>Receive information; repair beacon; donor components</x:v>
      </x:c>
      <x:c r="G189" s="74" t="str">
        <x:v>Speaker; wire; capacitors; antenna; case</x:v>
      </x:c>
      <x:c r="H189" s="74" t="str">
        <x:v>Remove battery; dry; inspect; test at rated voltage</x:v>
      </x:c>
      <x:c r="I189" s="74" t="str">
        <x:v>Charged capacitor; corrosion</x:v>
      </x:c>
      <x:c r="J189" s="74" t="str">
        <x:v>H3</x:v>
      </x:c>
    </x:row>
    <x:row r="190" ht="40.5" customHeight="1">
      <x:c r="A190" s="74" t="str">
        <x:v>SV-186</x:v>
      </x:c>
      <x:c r="B190" s="74" t="str">
        <x:v>Small solar panel</x:v>
      </x:c>
      <x:c r="C190" s="74" t="str">
        <x:v>Instrument or yacht drift</x:v>
      </x:c>
      <x:c r="D190" s="74" t="str">
        <x:v>Rare current event</x:v>
      </x:c>
      <x:c r="E190" s="74" t="str">
        <x:v>photovoltaic</x:v>
      </x:c>
      <x:c r="F190" s="74" t="str">
        <x:v>Generate low-voltage electricity; charge battery through controller</x:v>
      </x:c>
      <x:c r="G190" s="74" t="str">
        <x:v>Cells; glass; frame; cable</x:v>
      </x:c>
      <x:c r="H190" s="74" t="str">
        <x:v>Inspect cracks; measure open-circuit and loaded output</x:v>
      </x:c>
      <x:c r="I190" s="74" t="str">
        <x:v>Sharp glass; reverse polarity; weather leaks</x:v>
      </x:c>
      <x:c r="J190" s="74" t="str">
        <x:v>H4</x:v>
      </x:c>
    </x:row>
    <x:row r="191" ht="40.5" customHeight="1">
      <x:c r="A191" s="74" t="str">
        <x:v>SV-187</x:v>
      </x:c>
      <x:c r="B191" s="74" t="str">
        <x:v>Aluminum aircraft skin</x:v>
      </x:c>
      <x:c r="C191" s="74" t="str">
        <x:v>Aircraft wreck</x:v>
      </x:c>
      <x:c r="D191" s="74" t="str">
        <x:v>Major site</x:v>
      </x:c>
      <x:c r="E191" s="74" t="str">
        <x:v>aircraft aluminum</x:v>
      </x:c>
      <x:c r="F191" s="74" t="str">
        <x:v>Roof; reflector; fairing; non-pressure tank patch</x:v>
      </x:c>
      <x:c r="G191" s="74" t="str">
        <x:v>Sheet coupons; rivets; paint flakes</x:v>
      </x:c>
      <x:c r="H191" s="74" t="str">
        <x:v>Map fasteners; drill rivets; deburr; inspect cracks</x:v>
      </x:c>
      <x:c r="I191" s="74" t="str">
        <x:v>Sharp edge; fatigue; primers and paint</x:v>
      </x:c>
      <x:c r="J191" s="74" t="str">
        <x:v>H3</x:v>
      </x:c>
    </x:row>
    <x:row r="192" ht="40.5" customHeight="1">
      <x:c r="A192" s="74" t="str">
        <x:v>SV-188</x:v>
      </x:c>
      <x:c r="B192" s="74" t="str">
        <x:v>Aircraft frame rib</x:v>
      </x:c>
      <x:c r="C192" s="74" t="str">
        <x:v>Aircraft wreck</x:v>
      </x:c>
      <x:c r="D192" s="74" t="str">
        <x:v>Major site</x:v>
      </x:c>
      <x:c r="E192" s="74" t="str">
        <x:v>aircraft aluminum</x:v>
      </x:c>
      <x:c r="F192" s="74" t="str">
        <x:v>Light structural frame; template; machine stand</x:v>
      </x:c>
      <x:c r="G192" s="74" t="str">
        <x:v>Angles; clips; rivets</x:v>
      </x:c>
      <x:c r="H192" s="74" t="str">
        <x:v>Support; drill rivets; preserve shape</x:v>
      </x:c>
      <x:c r="I192" s="74" t="str">
        <x:v>Fatigue cracks; sharp flanges</x:v>
      </x:c>
      <x:c r="J192" s="74" t="str">
        <x:v>H3</x:v>
      </x:c>
    </x:row>
    <x:row r="193" ht="40.5" customHeight="1">
      <x:c r="A193" s="74" t="str">
        <x:v>SV-189</x:v>
      </x:c>
      <x:c r="B193" s="74" t="str">
        <x:v>Aircraft stringer</x:v>
      </x:c>
      <x:c r="C193" s="74" t="str">
        <x:v>Aircraft wreck</x:v>
      </x:c>
      <x:c r="D193" s="74" t="str">
        <x:v>Major site</x:v>
      </x:c>
      <x:c r="E193" s="74" t="str">
        <x:v>aircraft aluminum</x:v>
      </x:c>
      <x:c r="F193" s="74" t="str">
        <x:v>Long stiffener; rail; rack; solar frame</x:v>
      </x:c>
      <x:c r="G193" s="74" t="str">
        <x:v>Extrusion; brackets; rivets</x:v>
      </x:c>
      <x:c r="H193" s="74" t="str">
        <x:v>Drill rivets; inspect bends</x:v>
      </x:c>
      <x:c r="I193" s="74" t="str">
        <x:v>Work hardening; paint chemicals</x:v>
      </x:c>
      <x:c r="J193" s="74" t="str">
        <x:v>H3</x:v>
      </x:c>
    </x:row>
    <x:row r="194" ht="40.5" customHeight="1">
      <x:c r="A194" s="74" t="str">
        <x:v>SV-190</x:v>
      </x:c>
      <x:c r="B194" s="74" t="str">
        <x:v>Honeycomb sandwich panel</x:v>
      </x:c>
      <x:c r="C194" s="74" t="str">
        <x:v>Aircraft wreck</x:v>
      </x:c>
      <x:c r="D194" s="74" t="str">
        <x:v>Major site</x:v>
      </x:c>
      <x:c r="E194" s="74" t="str">
        <x:v>composite sandwich</x:v>
      </x:c>
      <x:c r="F194" s="74" t="str">
        <x:v>Light door; table; insulation panel</x:v>
      </x:c>
      <x:c r="G194" s="74" t="str">
        <x:v>Skins and core only if cleanly separable</x:v>
      </x:c>
      <x:c r="H194" s="74" t="str">
        <x:v>Unscrew perimeter; avoid crushing; seal edges</x:v>
      </x:c>
      <x:c r="I194" s="74" t="str">
        <x:v>Hidden moisture; resin dust; weak edge fasteners</x:v>
      </x:c>
      <x:c r="J194" s="74" t="str">
        <x:v>H3</x:v>
      </x:c>
    </x:row>
    <x:row r="195" ht="40.5" customHeight="1">
      <x:c r="A195" s="74" t="str">
        <x:v>SV-191</x:v>
      </x:c>
      <x:c r="B195" s="74" t="str">
        <x:v>Steel aircraft fitting</x:v>
      </x:c>
      <x:c r="C195" s="74" t="str">
        <x:v>Aircraft wreck</x:v>
      </x:c>
      <x:c r="D195" s="74" t="str">
        <x:v>Major site</x:v>
      </x:c>
      <x:c r="E195" s="74" t="str">
        <x:v>high-strength steel</x:v>
      </x:c>
      <x:c r="F195" s="74" t="str">
        <x:v>Bracket; hinge; repair only after identification</x:v>
      </x:c>
      <x:c r="G195" s="74" t="str">
        <x:v>Bolts; bushing; forged stock</x:v>
      </x:c>
      <x:c r="H195" s="74" t="str">
        <x:v>Unbolt with correct socket; inspect for cracks</x:v>
      </x:c>
      <x:c r="I195" s="74" t="str">
        <x:v>Unknown heat treatment; false strength</x:v>
      </x:c>
      <x:c r="J195" s="74" t="str">
        <x:v>H4</x:v>
      </x:c>
    </x:row>
    <x:row r="196" ht="40.5" customHeight="1">
      <x:c r="A196" s="74" t="str">
        <x:v>SV-192</x:v>
      </x:c>
      <x:c r="B196" s="74" t="str">
        <x:v>Magnesium casting</x:v>
      </x:c>
      <x:c r="C196" s="74" t="str">
        <x:v>Aircraft wreck</x:v>
      </x:c>
      <x:c r="D196" s="74" t="str">
        <x:v>Major site</x:v>
      </x:c>
      <x:c r="E196" s="74" t="str">
        <x:v>magnesium alloy</x:v>
      </x:c>
      <x:c r="F196" s="74" t="str">
        <x:v>Specialist machine part if intact; lightweight donor</x:v>
      </x:c>
      <x:c r="G196" s="74" t="str">
        <x:v>Metal stock only in expert route</x:v>
      </x:c>
      <x:c r="H196" s="74" t="str">
        <x:v>Identify by markings; keep separate; do not grind near flame</x:v>
      </x:c>
      <x:c r="I196" s="74" t="str">
        <x:v>Intense metal fire; corrosion</x:v>
      </x:c>
      <x:c r="J196" s="74" t="str">
        <x:v>H6</x:v>
      </x:c>
    </x:row>
    <x:row r="197" ht="40.5" customHeight="1">
      <x:c r="A197" s="74" t="str">
        <x:v>SV-193</x:v>
      </x:c>
      <x:c r="B197" s="74" t="str">
        <x:v>Stainless firewall panel</x:v>
      </x:c>
      <x:c r="C197" s="74" t="str">
        <x:v>Aircraft wreck</x:v>
      </x:c>
      <x:c r="D197" s="74" t="str">
        <x:v>Major site</x:v>
      </x:c>
      <x:c r="E197" s="74" t="str">
        <x:v>stainless steel</x:v>
      </x:c>
      <x:c r="F197" s="74" t="str">
        <x:v>Heat shield; stove baffle; fireproof work surface</x:v>
      </x:c>
      <x:c r="G197" s="74" t="str">
        <x:v>Sheet; fasteners</x:v>
      </x:c>
      <x:c r="H197" s="74" t="str">
        <x:v>Unscrew or drill rivets; wash</x:v>
      </x:c>
      <x:c r="I197" s="74" t="str">
        <x:v>Sharp edge; asbestos-adjacent insulation possible</x:v>
      </x:c>
      <x:c r="J197" s="74" t="str">
        <x:v>H4</x:v>
      </x:c>
    </x:row>
    <x:row r="198" ht="40.5" customHeight="1">
      <x:c r="A198" s="74" t="str">
        <x:v>SV-194</x:v>
      </x:c>
      <x:c r="B198" s="74" t="str">
        <x:v>Aircraft acrylic window</x:v>
      </x:c>
      <x:c r="C198" s="74" t="str">
        <x:v>Aircraft wreck</x:v>
      </x:c>
      <x:c r="D198" s="74" t="str">
        <x:v>Major site</x:v>
      </x:c>
      <x:c r="E198" s="74" t="str">
        <x:v>acrylic</x:v>
      </x:c>
      <x:c r="F198" s="74" t="str">
        <x:v>Glazing; splash guard; light diffuser; template</x:v>
      </x:c>
      <x:c r="G198" s="74" t="str">
        <x:v>Clear panels</x:v>
      </x:c>
      <x:c r="H198" s="74" t="str">
        <x:v>Unscrew frame; cut slowly</x:v>
      </x:c>
      <x:c r="I198" s="74" t="str">
        <x:v>Cracking; scratches; fumes if burned</x:v>
      </x:c>
      <x:c r="J198" s="74" t="str">
        <x:v>H2</x:v>
      </x:c>
    </x:row>
    <x:row r="199" ht="40.5" customHeight="1">
      <x:c r="A199" s="74" t="str">
        <x:v>SV-195</x:v>
      </x:c>
      <x:c r="B199" s="74" t="str">
        <x:v>Aircraft seat frame</x:v>
      </x:c>
      <x:c r="C199" s="74" t="str">
        <x:v>Aircraft wreck</x:v>
      </x:c>
      <x:c r="D199" s="74" t="str">
        <x:v>Major site</x:v>
      </x:c>
      <x:c r="E199" s="74" t="str">
        <x:v>aluminum or steel</x:v>
      </x:c>
      <x:c r="F199" s="74" t="str">
        <x:v>Chair; pack frame; rack; cart frame</x:v>
      </x:c>
      <x:c r="G199" s="74" t="str">
        <x:v>Tube; brackets; fasteners</x:v>
      </x:c>
      <x:c r="H199" s="74" t="str">
        <x:v>Unbolt floor fittings; inspect bends</x:v>
      </x:c>
      <x:c r="I199" s="74" t="str">
        <x:v>Crash deformation; sharp edges</x:v>
      </x:c>
      <x:c r="J199" s="74" t="str">
        <x:v>H2</x:v>
      </x:c>
    </x:row>
    <x:row r="200" ht="40.5" customHeight="1">
      <x:c r="A200" s="74" t="str">
        <x:v>SV-196</x:v>
      </x:c>
      <x:c r="B200" s="74" t="str">
        <x:v>Aircraft seat fabric</x:v>
      </x:c>
      <x:c r="C200" s="74" t="str">
        <x:v>Aircraft wreck</x:v>
      </x:c>
      <x:c r="D200" s="74" t="str">
        <x:v>Major site</x:v>
      </x:c>
      <x:c r="E200" s="74" t="str">
        <x:v>flame-retardant textile</x:v>
      </x:c>
      <x:c r="F200" s="74" t="str">
        <x:v>Pack; sling seat; shade; patches</x:v>
      </x:c>
      <x:c r="G200" s="74" t="str">
        <x:v>Panels; thread; zipper</x:v>
      </x:c>
      <x:c r="H200" s="74" t="str">
        <x:v>Unpick seams; wash; dry</x:v>
      </x:c>
      <x:c r="I200" s="74" t="str">
        <x:v>Smoke toxicity if burned; contamination</x:v>
      </x:c>
      <x:c r="J200" s="74" t="str">
        <x:v>H2</x:v>
      </x:c>
    </x:row>
    <x:row r="201" ht="40.5" customHeight="1">
      <x:c r="A201" s="74" t="str">
        <x:v>SV-197</x:v>
      </x:c>
      <x:c r="B201" s="74" t="str">
        <x:v>Aircraft restraint webbing</x:v>
      </x:c>
      <x:c r="C201" s="74" t="str">
        <x:v>Aircraft wreck</x:v>
      </x:c>
      <x:c r="D201" s="74" t="str">
        <x:v>Major site</x:v>
      </x:c>
      <x:c r="E201" s="74" t="str">
        <x:v>high-strength webbing</x:v>
      </x:c>
      <x:c r="F201" s="74" t="str">
        <x:v>Tie-down; harness prototype; rescue drag after inspection</x:v>
      </x:c>
      <x:c r="G201" s="74" t="str">
        <x:v>Straps; stitching; fittings</x:v>
      </x:c>
      <x:c r="H201" s="74" t="str">
        <x:v>Unbolt fitting; do not cut; inspect crash load</x:v>
      </x:c>
      <x:c r="I201" s="74" t="str">
        <x:v>Crash-loaded webbing; hidden damage</x:v>
      </x:c>
      <x:c r="J201" s="74" t="str">
        <x:v>H3</x:v>
      </x:c>
    </x:row>
    <x:row r="202" ht="40.5" customHeight="1">
      <x:c r="A202" s="74" t="str">
        <x:v>SV-198</x:v>
      </x:c>
      <x:c r="B202" s="74" t="str">
        <x:v>Aircraft buckle</x:v>
      </x:c>
      <x:c r="C202" s="74" t="str">
        <x:v>Aircraft wreck</x:v>
      </x:c>
      <x:c r="D202" s="74" t="str">
        <x:v>Major site</x:v>
      </x:c>
      <x:c r="E202" s="74" t="str">
        <x:v>metal hardware</x:v>
      </x:c>
      <x:c r="F202" s="74" t="str">
        <x:v>Quick-release strap; pack; stretcher</x:v>
      </x:c>
      <x:c r="G202" s="74" t="str">
        <x:v>Lever; spring; plate</x:v>
      </x:c>
      <x:c r="H202" s="74" t="str">
        <x:v>Unthread; clean; functional test</x:v>
      </x:c>
      <x:c r="I202" s="74" t="str">
        <x:v>May release under wrong load direction</x:v>
      </x:c>
      <x:c r="J202" s="74" t="str">
        <x:v>H3</x:v>
      </x:c>
    </x:row>
    <x:row r="203" ht="40.5" customHeight="1">
      <x:c r="A203" s="74" t="str">
        <x:v>SV-199</x:v>
      </x:c>
      <x:c r="B203" s="74" t="str">
        <x:v>Aircraft insulation blanket</x:v>
      </x:c>
      <x:c r="C203" s="74" t="str">
        <x:v>Aircraft wreck</x:v>
      </x:c>
      <x:c r="D203" s="74" t="str">
        <x:v>Major site</x:v>
      </x:c>
      <x:c r="E203" s="74" t="str">
        <x:v>fiber or foam composite</x:v>
      </x:c>
      <x:c r="F203" s="74" t="str">
        <x:v>Thermal insulation only if safely identified and sealed</x:v>
      </x:c>
      <x:c r="G203" s="74" t="str">
        <x:v>Foil facing; clean blanket panels</x:v>
      </x:c>
      <x:c r="H203" s="74" t="str">
        <x:v>Wear protection; bag before moving; identify</x:v>
      </x:c>
      <x:c r="I203" s="74" t="str">
        <x:v>Irritant fibers; smoke; contamination</x:v>
      </x:c>
      <x:c r="J203" s="74" t="str">
        <x:v>H5</x:v>
      </x:c>
    </x:row>
    <x:row r="204" ht="40.5" customHeight="1">
      <x:c r="A204" s="74" t="str">
        <x:v>SV-200</x:v>
      </x:c>
      <x:c r="B204" s="74" t="str">
        <x:v>Shielded aircraft cable</x:v>
      </x:c>
      <x:c r="C204" s="74" t="str">
        <x:v>Aircraft wreck</x:v>
      </x:c>
      <x:c r="D204" s="74" t="str">
        <x:v>Major site</x:v>
      </x:c>
      <x:c r="E204" s="74" t="str">
        <x:v>copper + shield</x:v>
      </x:c>
      <x:c r="F204" s="74" t="str">
        <x:v>Signal wire; antenna feed; low-noise sensor connection</x:v>
      </x:c>
      <x:c r="G204" s="74" t="str">
        <x:v>Copper conductor; braid; connector</x:v>
      </x:c>
      <x:c r="H204" s="74" t="str">
        <x:v>Depower; label; unplug; strip with correct tool</x:v>
      </x:c>
      <x:c r="I204" s="74" t="str">
        <x:v>Short; brittle insulation; sharp braid</x:v>
      </x:c>
      <x:c r="J204" s="74" t="str">
        <x:v>H3</x:v>
      </x:c>
    </x:row>
    <x:row r="205" ht="40.5" customHeight="1">
      <x:c r="A205" s="74" t="str">
        <x:v>SV-201</x:v>
      </x:c>
      <x:c r="B205" s="74" t="str">
        <x:v>Aircraft connector plug</x:v>
      </x:c>
      <x:c r="C205" s="74" t="str">
        <x:v>Aircraft wreck</x:v>
      </x:c>
      <x:c r="D205" s="74" t="str">
        <x:v>Major site</x:v>
      </x:c>
      <x:c r="E205" s="74" t="str">
        <x:v>electrical hardware</x:v>
      </x:c>
      <x:c r="F205" s="74" t="str">
        <x:v>Modular electrical connection; test harness</x:v>
      </x:c>
      <x:c r="G205" s="74" t="str">
        <x:v>Pins; shell; backshell; gasket</x:v>
      </x:c>
      <x:c r="H205" s="74" t="str">
        <x:v>Release lock; label pinout; continuity map</x:v>
      </x:c>
      <x:c r="I205" s="74" t="str">
        <x:v>Miswiring; corrosion</x:v>
      </x:c>
      <x:c r="J205" s="74" t="str">
        <x:v>H3</x:v>
      </x:c>
    </x:row>
    <x:row r="206" ht="40.5" customHeight="1">
      <x:c r="A206" s="74" t="str">
        <x:v>SV-202</x:v>
      </x:c>
      <x:c r="B206" s="74" t="str">
        <x:v>Aircraft relay</x:v>
      </x:c>
      <x:c r="C206" s="74" t="str">
        <x:v>Aircraft wreck</x:v>
      </x:c>
      <x:c r="D206" s="74" t="str">
        <x:v>Major site</x:v>
      </x:c>
      <x:c r="E206" s="74" t="str">
        <x:v>electrical hardware</x:v>
      </x:c>
      <x:c r="F206" s="74" t="str">
        <x:v>Switch high current with low control current</x:v>
      </x:c>
      <x:c r="G206" s="74" t="str">
        <x:v>Coil; contacts; case</x:v>
      </x:c>
      <x:c r="H206" s="74" t="str">
        <x:v>Depower; unscrew; measure coil and contacts</x:v>
      </x:c>
      <x:c r="I206" s="74" t="str">
        <x:v>Stuck contacts; wrong coil voltage</x:v>
      </x:c>
      <x:c r="J206" s="74" t="str">
        <x:v>H4</x:v>
      </x:c>
    </x:row>
    <x:row r="207" ht="40.5" customHeight="1">
      <x:c r="A207" s="74" t="str">
        <x:v>SV-203</x:v>
      </x:c>
      <x:c r="B207" s="74" t="str">
        <x:v>Aircraft circuit breaker</x:v>
      </x:c>
      <x:c r="C207" s="74" t="str">
        <x:v>Aircraft wreck</x:v>
      </x:c>
      <x:c r="D207" s="74" t="str">
        <x:v>Major site</x:v>
      </x:c>
      <x:c r="E207" s="74" t="str">
        <x:v>electrical hardware</x:v>
      </x:c>
      <x:c r="F207" s="74" t="str">
        <x:v>Protect circuit after rated trip test</x:v>
      </x:c>
      <x:c r="G207" s="74" t="str">
        <x:v>Contacts; trip mechanism</x:v>
      </x:c>
      <x:c r="H207" s="74" t="str">
        <x:v>Depower; unclip; record rating</x:v>
      </x:c>
      <x:c r="I207" s="74" t="str">
        <x:v>May not trip after crash or saltwater</x:v>
      </x:c>
      <x:c r="J207" s="74" t="str">
        <x:v>H4</x:v>
      </x:c>
    </x:row>
    <x:row r="208" ht="40.5" customHeight="1">
      <x:c r="A208" s="74" t="str">
        <x:v>SV-204</x:v>
      </x:c>
      <x:c r="B208" s="74" t="str">
        <x:v>Instrument gauge</x:v>
      </x:c>
      <x:c r="C208" s="74" t="str">
        <x:v>Aircraft wreck</x:v>
      </x:c>
      <x:c r="D208" s="74" t="str">
        <x:v>Major site</x:v>
      </x:c>
      <x:c r="E208" s="74" t="str">
        <x:v>instrument</x:v>
      </x:c>
      <x:c r="F208" s="74" t="str">
        <x:v>Measure pressure; temperature; speed only after identifying and calibrating</x:v>
      </x:c>
      <x:c r="G208" s="74" t="str">
        <x:v>Dial; movement; case; fittings</x:v>
      </x:c>
      <x:c r="H208" s="74" t="str">
        <x:v>Depower or depressurize; label ports</x:v>
      </x:c>
      <x:c r="I208" s="74" t="str">
        <x:v>False reading; radioactive luminous paint in old gauges</x:v>
      </x:c>
      <x:c r="J208" s="74" t="str">
        <x:v>H5</x:v>
      </x:c>
    </x:row>
    <x:row r="209" ht="40.5" customHeight="1">
      <x:c r="A209" s="74" t="str">
        <x:v>SV-205</x:v>
      </x:c>
      <x:c r="B209" s="74" t="str">
        <x:v>Pitot tube</x:v>
      </x:c>
      <x:c r="C209" s="74" t="str">
        <x:v>Aircraft wreck</x:v>
      </x:c>
      <x:c r="D209" s="74" t="str">
        <x:v>Major site</x:v>
      </x:c>
      <x:c r="E209" s="74" t="str">
        <x:v>metal tube</x:v>
      </x:c>
      <x:c r="F209" s="74" t="str">
        <x:v>Airflow experiment; small nozzle; calibrated tube donor</x:v>
      </x:c>
      <x:c r="G209" s="74" t="str">
        <x:v>Tube; heater wire; fittings</x:v>
      </x:c>
      <x:c r="H209" s="74" t="str">
        <x:v>Depower heater; unbolt; clear carefully</x:v>
      </x:c>
      <x:c r="I209" s="74" t="str">
        <x:v>Blocked contamination; hot heater</x:v>
      </x:c>
      <x:c r="J209" s="74" t="str">
        <x:v>H3</x:v>
      </x:c>
    </x:row>
    <x:row r="210" ht="40.5" customHeight="1">
      <x:c r="A210" s="74" t="str">
        <x:v>SV-206</x:v>
      </x:c>
      <x:c r="B210" s="74" t="str">
        <x:v>Aircraft hydraulic tube</x:v>
      </x:c>
      <x:c r="C210" s="74" t="str">
        <x:v>Aircraft wreck</x:v>
      </x:c>
      <x:c r="D210" s="74" t="str">
        <x:v>Major site</x:v>
      </x:c>
      <x:c r="E210" s="74" t="str">
        <x:v>aluminum or steel tube</x:v>
      </x:c>
      <x:c r="F210" s="74" t="str">
        <x:v>Matched hydraulic repair; high-pressure line only after proof</x:v>
      </x:c>
      <x:c r="G210" s="74" t="str">
        <x:v>Tube; flare nuts; fittings</x:v>
      </x:c>
      <x:c r="H210" s="74" t="str">
        <x:v>Depressurize; unflare with line wrench; cap</x:v>
      </x:c>
      <x:c r="I210" s="74" t="str">
        <x:v>Injection hazard; residue</x:v>
      </x:c>
      <x:c r="J210" s="74" t="str">
        <x:v>H5</x:v>
      </x:c>
    </x:row>
    <x:row r="211" ht="40.5" customHeight="1">
      <x:c r="A211" s="74" t="str">
        <x:v>SV-207</x:v>
      </x:c>
      <x:c r="B211" s="74" t="str">
        <x:v>Aircraft control cable</x:v>
      </x:c>
      <x:c r="C211" s="74" t="str">
        <x:v>Aircraft wreck</x:v>
      </x:c>
      <x:c r="D211" s="74" t="str">
        <x:v>Major site</x:v>
      </x:c>
      <x:c r="E211" s="74" t="str">
        <x:v>steel cable</x:v>
      </x:c>
      <x:c r="F211" s="74" t="str">
        <x:v>Remote control linkage; guy; winch only after inspection</x:v>
      </x:c>
      <x:c r="G211" s="74" t="str">
        <x:v>Cable; swaged ends; turnbuckle</x:v>
      </x:c>
      <x:c r="H211" s="74" t="str">
        <x:v>Release all tension; unpin; coil</x:v>
      </x:c>
      <x:c r="I211" s="74" t="str">
        <x:v>Stored energy; broken wires; crash load</x:v>
      </x:c>
      <x:c r="J211" s="74" t="str">
        <x:v>H4</x:v>
      </x:c>
    </x:row>
    <x:row r="212" ht="40.5" customHeight="1">
      <x:c r="A212" s="74" t="str">
        <x:v>SV-208</x:v>
      </x:c>
      <x:c r="B212" s="74" t="str">
        <x:v>Cable pulley</x:v>
      </x:c>
      <x:c r="C212" s="74" t="str">
        <x:v>Aircraft wreck</x:v>
      </x:c>
      <x:c r="D212" s="74" t="str">
        <x:v>Major site</x:v>
      </x:c>
      <x:c r="E212" s="74" t="str">
        <x:v>metal or polymer</x:v>
      </x:c>
      <x:c r="F212" s="74" t="str">
        <x:v>Low-friction cable direction change; rigging</x:v>
      </x:c>
      <x:c r="G212" s="74" t="str">
        <x:v>Sheave; bearing; axle</x:v>
      </x:c>
      <x:c r="H212" s="74" t="str">
        <x:v>Remove guard and bolt; inspect groove</x:v>
      </x:c>
      <x:c r="I212" s="74" t="str">
        <x:v>Crack; seized bearing; pinch</x:v>
      </x:c>
      <x:c r="J212" s="74" t="str">
        <x:v>H3</x:v>
      </x:c>
    </x:row>
    <x:row r="213" ht="40.5" customHeight="1">
      <x:c r="A213" s="74" t="str">
        <x:v>SV-209</x:v>
      </x:c>
      <x:c r="B213" s="74" t="str">
        <x:v>Rod-end bearing</x:v>
      </x:c>
      <x:c r="C213" s="74" t="str">
        <x:v>Aircraft wreck</x:v>
      </x:c>
      <x:c r="D213" s="74" t="str">
        <x:v>Major site</x:v>
      </x:c>
      <x:c r="E213" s="74" t="str">
        <x:v>steel bearing</x:v>
      </x:c>
      <x:c r="F213" s="74" t="str">
        <x:v>Articulated linkage; steering; machine joint</x:v>
      </x:c>
      <x:c r="G213" s="74" t="str">
        <x:v>Bearing; threaded shank</x:v>
      </x:c>
      <x:c r="H213" s="74" t="str">
        <x:v>Remove locking device; unthread; inspect play</x:v>
      </x:c>
      <x:c r="I213" s="74" t="str">
        <x:v>Fatigue; thread-direction confusion</x:v>
      </x:c>
      <x:c r="J213" s="74" t="str">
        <x:v>H4</x:v>
      </x:c>
    </x:row>
    <x:row r="214" ht="40.5" customHeight="1">
      <x:c r="A214" s="74" t="str">
        <x:v>SV-210</x:v>
      </x:c>
      <x:c r="B214" s="74" t="str">
        <x:v>Aircraft wheel and tire</x:v>
      </x:c>
      <x:c r="C214" s="74" t="str">
        <x:v>Aircraft wreck</x:v>
      </x:c>
      <x:c r="D214" s="74" t="str">
        <x:v>Major site</x:v>
      </x:c>
      <x:c r="E214" s="74" t="str">
        <x:v>rubber + metal</x:v>
      </x:c>
      <x:c r="F214" s="74" t="str">
        <x:v>Cart wheel; dock roller; air reservoir only as designed</x:v>
      </x:c>
      <x:c r="G214" s="74" t="str">
        <x:v>Tire; hub; bearings; bolts</x:v>
      </x:c>
      <x:c r="H214" s="74" t="str">
        <x:v>Deflate; split rim only per design; unbolt</x:v>
      </x:c>
      <x:c r="I214" s="74" t="str">
        <x:v>Stored pressure; heavy; damaged cords</x:v>
      </x:c>
      <x:c r="J214" s="74" t="str">
        <x:v>H5</x:v>
      </x:c>
    </x:row>
    <x:row r="215" ht="40.5" customHeight="1">
      <x:c r="A215" s="74" t="str">
        <x:v>SV-211</x:v>
      </x:c>
      <x:c r="B215" s="74" t="str">
        <x:v>Brake disc</x:v>
      </x:c>
      <x:c r="C215" s="74" t="str">
        <x:v>Aircraft wreck</x:v>
      </x:c>
      <x:c r="D215" s="74" t="str">
        <x:v>Major site</x:v>
      </x:c>
      <x:c r="E215" s="74" t="str">
        <x:v>steel</x:v>
      </x:c>
      <x:c r="F215" s="74" t="str">
        <x:v>Flywheel or friction surface after crack inspection</x:v>
      </x:c>
      <x:c r="G215" s="74" t="str">
        <x:v>Steel plate; hub</x:v>
      </x:c>
      <x:c r="H215" s="74" t="str">
        <x:v>Depressurize brake; unbolt</x:v>
      </x:c>
      <x:c r="I215" s="74" t="str">
        <x:v>Asbestos dust on older brakes; cracks</x:v>
      </x:c>
      <x:c r="J215" s="74" t="str">
        <x:v>H5</x:v>
      </x:c>
    </x:row>
    <x:row r="216" ht="40.5" customHeight="1">
      <x:c r="A216" s="74" t="str">
        <x:v>SV-212</x:v>
      </x:c>
      <x:c r="B216" s="74" t="str">
        <x:v>Brake caliper</x:v>
      </x:c>
      <x:c r="C216" s="74" t="str">
        <x:v>Aircraft wreck</x:v>
      </x:c>
      <x:c r="D216" s="74" t="str">
        <x:v>Major site</x:v>
      </x:c>
      <x:c r="E216" s="74" t="str">
        <x:v>metal hydraulic part</x:v>
      </x:c>
      <x:c r="F216" s="74" t="str">
        <x:v>Clamp or brake after overhaul; piston donor</x:v>
      </x:c>
      <x:c r="G216" s="74" t="str">
        <x:v>Pistons; seals; bolts; body</x:v>
      </x:c>
      <x:c r="H216" s="74" t="str">
        <x:v>Depressurize; unbolt; disassemble cleanly</x:v>
      </x:c>
      <x:c r="I216" s="74" t="str">
        <x:v>Hydraulic fluid; dust; seized piston</x:v>
      </x:c>
      <x:c r="J216" s="74" t="str">
        <x:v>H5</x:v>
      </x:c>
    </x:row>
    <x:row r="217" ht="40.5" customHeight="1">
      <x:c r="A217" s="74" t="str">
        <x:v>SV-213</x:v>
      </x:c>
      <x:c r="B217" s="74" t="str">
        <x:v>Oleo strut</x:v>
      </x:c>
      <x:c r="C217" s="74" t="str">
        <x:v>Aircraft wreck</x:v>
      </x:c>
      <x:c r="D217" s="74" t="str">
        <x:v>Major site</x:v>
      </x:c>
      <x:c r="E217" s="74" t="str">
        <x:v>steel + hydraulic gas</x:v>
      </x:c>
      <x:c r="F217" s="74" t="str">
        <x:v>Structural tube only after expert depressurization; suspension donor</x:v>
      </x:c>
      <x:c r="G217" s="74" t="str">
        <x:v>Tube; seals; fittings</x:v>
      </x:c>
      <x:c r="H217" s="74" t="str">
        <x:v>Treat as pressurized until safely discharged</x:v>
      </x:c>
      <x:c r="I217" s="74" t="str">
        <x:v>High stored pressure; sudden extension</x:v>
      </x:c>
      <x:c r="J217" s="74" t="str">
        <x:v>H6</x:v>
      </x:c>
    </x:row>
    <x:row r="218" ht="40.5" customHeight="1">
      <x:c r="A218" s="74" t="str">
        <x:v>SV-214</x:v>
      </x:c>
      <x:c r="B218" s="74" t="str">
        <x:v>Propeller blade</x:v>
      </x:c>
      <x:c r="C218" s="74" t="str">
        <x:v>Aircraft wreck</x:v>
      </x:c>
      <x:c r="D218" s="74" t="str">
        <x:v>Major site</x:v>
      </x:c>
      <x:c r="E218" s="74" t="str">
        <x:v>aluminum or composite</x:v>
      </x:c>
      <x:c r="F218" s="74" t="str">
        <x:v>Display clue; wind rotor experiment only after engineering and balance proof</x:v>
      </x:c>
      <x:c r="G218" s="74" t="str">
        <x:v>Metal or composite stock</x:v>
      </x:c>
      <x:c r="H218" s="74" t="str">
        <x:v>Lock rotation; unbolt hub; inspect</x:v>
      </x:c>
      <x:c r="I218" s="74" t="str">
        <x:v>Sharp heavy blade; hidden delamination; imbalance</x:v>
      </x:c>
      <x:c r="J218" s="74" t="str">
        <x:v>H5</x:v>
      </x:c>
    </x:row>
    <x:row r="219" ht="40.5" customHeight="1">
      <x:c r="A219" s="74" t="str">
        <x:v>SV-215</x:v>
      </x:c>
      <x:c r="B219" s="74" t="str">
        <x:v>Aircraft engine cylinder</x:v>
      </x:c>
      <x:c r="C219" s="74" t="str">
        <x:v>Aircraft wreck</x:v>
      </x:c>
      <x:c r="D219" s="74" t="str">
        <x:v>Major site</x:v>
      </x:c>
      <x:c r="E219" s="74" t="str">
        <x:v>aluminum + steel</x:v>
      </x:c>
      <x:c r="F219" s="74" t="str">
        <x:v>Engine repair; air compressor cylinder; finned heat sink</x:v>
      </x:c>
      <x:c r="G219" s="74" t="str">
        <x:v>Valves; springs; barrel; fins</x:v>
      </x:c>
      <x:c r="H219" s="74" t="str">
        <x:v>Remove rocker gear; unbolt; inspect</x:v>
      </x:c>
      <x:c r="I219" s="74" t="str">
        <x:v>Oil; lead deposits; spring force</x:v>
      </x:c>
      <x:c r="J219" s="74" t="str">
        <x:v>H5</x:v>
      </x:c>
    </x:row>
    <x:row r="220" ht="40.5" customHeight="1">
      <x:c r="A220" s="74" t="str">
        <x:v>SV-216</x:v>
      </x:c>
      <x:c r="B220" s="74" t="str">
        <x:v>Aircraft magneto</x:v>
      </x:c>
      <x:c r="C220" s="74" t="str">
        <x:v>Aircraft wreck</x:v>
      </x:c>
      <x:c r="D220" s="74" t="str">
        <x:v>Major site</x:v>
      </x:c>
      <x:c r="E220" s="74" t="str">
        <x:v>electromechanical</x:v>
      </x:c>
      <x:c r="F220" s="74" t="str">
        <x:v>Ignition; spark generation; donor magnets and coils</x:v>
      </x:c>
      <x:c r="G220" s="74" t="str">
        <x:v>Magnets; coil; breaker points; gears</x:v>
      </x:c>
      <x:c r="H220" s="74" t="str">
        <x:v>Remove leads and drive; bench test</x:v>
      </x:c>
      <x:c r="I220" s="74" t="str">
        <x:v>High voltage; strong magnets</x:v>
      </x:c>
      <x:c r="J220" s="74" t="str">
        <x:v>H4</x:v>
      </x:c>
    </x:row>
    <x:row r="221" ht="40.5" customHeight="1">
      <x:c r="A221" s="74" t="str">
        <x:v>SV-217</x:v>
      </x:c>
      <x:c r="B221" s="74" t="str">
        <x:v>Aircraft spark plug</x:v>
      </x:c>
      <x:c r="C221" s="74" t="str">
        <x:v>Aircraft wreck</x:v>
      </x:c>
      <x:c r="D221" s="74" t="str">
        <x:v>Major site</x:v>
      </x:c>
      <x:c r="E221" s="74" t="str">
        <x:v>ceramic + steel</x:v>
      </x:c>
      <x:c r="F221" s="74" t="str">
        <x:v>Matched ignition repair; insulated feedthrough</x:v>
      </x:c>
      <x:c r="G221" s="74" t="str">
        <x:v>Ceramic; shell; electrode</x:v>
      </x:c>
      <x:c r="H221" s="74" t="str">
        <x:v>Use correct deep socket; inspect</x:v>
      </x:c>
      <x:c r="I221" s="74" t="str">
        <x:v>Lead deposits; brittle ceramic</x:v>
      </x:c>
      <x:c r="J221" s="74" t="str">
        <x:v>H3</x:v>
      </x:c>
    </x:row>
    <x:row r="222" ht="40.5" customHeight="1">
      <x:c r="A222" s="74" t="str">
        <x:v>SV-218</x:v>
      </x:c>
      <x:c r="B222" s="74" t="str">
        <x:v>Aircraft alternator-generator</x:v>
      </x:c>
      <x:c r="C222" s="74" t="str">
        <x:v>Aircraft wreck</x:v>
      </x:c>
      <x:c r="D222" s="74" t="str">
        <x:v>Major site</x:v>
      </x:c>
      <x:c r="E222" s="74" t="str">
        <x:v>generator</x:v>
      </x:c>
      <x:c r="F222" s="74" t="str">
        <x:v>Electricity generation after repair and regulation</x:v>
      </x:c>
      <x:c r="G222" s="74" t="str">
        <x:v>Copper; rotor; rectifier; bearings</x:v>
      </x:c>
      <x:c r="H222" s="74" t="str">
        <x:v>Depower; label; remove belt or gear; bench test</x:v>
      </x:c>
      <x:c r="I222" s="74" t="str">
        <x:v>High current; overspeed; wrong regulation</x:v>
      </x:c>
      <x:c r="J222" s="74" t="str">
        <x:v>H5</x:v>
      </x:c>
    </x:row>
    <x:row r="223" ht="40.5" customHeight="1">
      <x:c r="A223" s="74" t="str">
        <x:v>SV-219</x:v>
      </x:c>
      <x:c r="B223" s="74" t="str">
        <x:v>Aircraft starter motor</x:v>
      </x:c>
      <x:c r="C223" s="74" t="str">
        <x:v>Aircraft wreck</x:v>
      </x:c>
      <x:c r="D223" s="74" t="str">
        <x:v>Major site</x:v>
      </x:c>
      <x:c r="E223" s="74" t="str">
        <x:v>electric motor</x:v>
      </x:c>
      <x:c r="F223" s="74" t="str">
        <x:v>High-power motor; generator experiment; winch drive</x:v>
      </x:c>
      <x:c r="G223" s="74" t="str">
        <x:v>Copper; magnets or field coils; bearings; gear</x:v>
      </x:c>
      <x:c r="H223" s="74" t="str">
        <x:v>Disconnect battery; unbolt; bench test</x:v>
      </x:c>
      <x:c r="I223" s="74" t="str">
        <x:v>Arc; crush torque; high current</x:v>
      </x:c>
      <x:c r="J223" s="74" t="str">
        <x:v>H5</x:v>
      </x:c>
    </x:row>
    <x:row r="224" ht="40.5" customHeight="1">
      <x:c r="A224" s="74" t="str">
        <x:v>SV-220</x:v>
      </x:c>
      <x:c r="B224" s="74" t="str">
        <x:v>Aircraft battery</x:v>
      </x:c>
      <x:c r="C224" s="74" t="str">
        <x:v>Aircraft wreck</x:v>
      </x:c>
      <x:c r="D224" s="74" t="str">
        <x:v>Major site</x:v>
      </x:c>
      <x:c r="E224" s="74" t="str">
        <x:v>battery</x:v>
      </x:c>
      <x:c r="F224" s="74" t="str">
        <x:v>Storage only after chemistry-specific inspection and test</x:v>
      </x:c>
      <x:c r="G224" s="74" t="str">
        <x:v>Specialist cells and case route</x:v>
      </x:c>
      <x:c r="H224" s="74" t="str">
        <x:v>Isolate; identify chemistry; inspect; test through protection</x:v>
      </x:c>
      <x:c r="I224" s="74" t="str">
        <x:v>Acid or thermal runaway; crash damage</x:v>
      </x:c>
      <x:c r="J224" s="74" t="str">
        <x:v>H6</x:v>
      </x:c>
    </x:row>
    <x:row r="225" ht="40.5" customHeight="1">
      <x:c r="A225" s="74" t="str">
        <x:v>SV-221</x:v>
      </x:c>
      <x:c r="B225" s="74" t="str">
        <x:v>Fire extinguisher</x:v>
      </x:c>
      <x:c r="C225" s="74" t="str">
        <x:v>Aircraft wreck</x:v>
      </x:c>
      <x:c r="D225" s="74" t="str">
        <x:v>Major site</x:v>
      </x:c>
      <x:c r="E225" s="74" t="str">
        <x:v>pressurized cylinder</x:v>
      </x:c>
      <x:c r="F225" s="74" t="str">
        <x:v>Fire protection if gauge and agent are valid</x:v>
      </x:c>
      <x:c r="G225" s="74" t="str">
        <x:v>Cylinder and valve only after safe discharge and certification</x:v>
      </x:c>
      <x:c r="H225" s="74" t="str">
        <x:v>Do not puncture; inspect gauge; identify agent</x:v>
      </x:c>
      <x:c r="I225" s="74" t="str">
        <x:v>Pressure; toxic agent; Halon on older systems</x:v>
      </x:c>
      <x:c r="J225" s="74" t="str">
        <x:v>H6</x:v>
      </x:c>
    </x:row>
    <x:row r="226" ht="40.5" customHeight="1">
      <x:c r="A226" s="74" t="str">
        <x:v>SV-222</x:v>
      </x:c>
      <x:c r="B226" s="74" t="str">
        <x:v>Oxygen cylinder</x:v>
      </x:c>
      <x:c r="C226" s="74" t="str">
        <x:v>Aircraft wreck</x:v>
      </x:c>
      <x:c r="D226" s="74" t="str">
        <x:v>Major site</x:v>
      </x:c>
      <x:c r="E226" s="74" t="str">
        <x:v>pressurized cylinder</x:v>
      </x:c>
      <x:c r="F226" s="74" t="str">
        <x:v>Medical or combustion support only under expert control</x:v>
      </x:c>
      <x:c r="G226" s="74" t="str">
        <x:v>Cylinder metal only after certified depressurization</x:v>
      </x:c>
      <x:c r="H226" s="74" t="str">
        <x:v>Secure upright; keep oil away; identify; inspect</x:v>
      </x:c>
      <x:c r="I226" s="74" t="str">
        <x:v>High pressure; oxygen fire</x:v>
      </x:c>
      <x:c r="J226" s="74" t="str">
        <x:v>H7</x:v>
      </x:c>
    </x:row>
    <x:row r="227" ht="40.5" customHeight="1">
      <x:c r="A227" s="74" t="str">
        <x:v>SV-223</x:v>
      </x:c>
      <x:c r="B227" s="74" t="str">
        <x:v>Emergency locator transmitter</x:v>
      </x:c>
      <x:c r="C227" s="74" t="str">
        <x:v>Aircraft wreck</x:v>
      </x:c>
      <x:c r="D227" s="74" t="str">
        <x:v>Major site</x:v>
      </x:c>
      <x:c r="E227" s="74" t="str">
        <x:v>radio + battery</x:v>
      </x:c>
      <x:c r="F227" s="74" t="str">
        <x:v>Transmit rescue signal if legal and functional; beacon donor</x:v>
      </x:c>
      <x:c r="G227" s="74" t="str">
        <x:v>Radio; antenna; switch; battery</x:v>
      </x:c>
      <x:c r="H227" s="74" t="str">
        <x:v>Preserve first; inspect; activate per markings</x:v>
      </x:c>
      <x:c r="I227" s="74" t="str">
        <x:v>False distress; lithium battery; high-value narrative evidence</x:v>
      </x:c>
      <x:c r="J227" s="74" t="str">
        <x:v>H4</x:v>
      </x:c>
    </x:row>
    <x:row r="228" ht="40.5" customHeight="1">
      <x:c r="A228" s="74" t="str">
        <x:v>SV-224</x:v>
      </x:c>
      <x:c r="B228" s="74" t="str">
        <x:v>Aircraft radio</x:v>
      </x:c>
      <x:c r="C228" s="74" t="str">
        <x:v>Aircraft wreck</x:v>
      </x:c>
      <x:c r="D228" s="74" t="str">
        <x:v>Major site</x:v>
      </x:c>
      <x:c r="E228" s="74" t="str">
        <x:v>electronics</x:v>
      </x:c>
      <x:c r="F228" s="74" t="str">
        <x:v>Receive or transmit rescue; donor oscillator; amplifier; connectors</x:v>
      </x:c>
      <x:c r="G228" s="74" t="str">
        <x:v>Speaker; coils; capacitors; heat sinks; case</x:v>
      </x:c>
      <x:c r="H228" s="74" t="str">
        <x:v>Depower; dry; map connectors; test incrementally</x:v>
      </x:c>
      <x:c r="I228" s="74" t="str">
        <x:v>Capacitors; wrong frequency; battery</x:v>
      </x:c>
      <x:c r="J228" s="74" t="str">
        <x:v>H5</x:v>
      </x:c>
    </x:row>
    <x:row r="229" ht="40.5" customHeight="1">
      <x:c r="A229" s="74" t="str">
        <x:v>SV-225</x:v>
      </x:c>
      <x:c r="B229" s="74" t="str">
        <x:v>Composite fairing panel</x:v>
      </x:c>
      <x:c r="C229" s="74" t="str">
        <x:v>Aircraft wreck</x:v>
      </x:c>
      <x:c r="D229" s="74" t="str">
        <x:v>Major site</x:v>
      </x:c>
      <x:c r="E229" s="74" t="str">
        <x:v>fiber composite</x:v>
      </x:c>
      <x:c r="F229" s="74" t="str">
        <x:v>Weather shell; aerodynamic cover; light roof panel</x:v>
      </x:c>
      <x:c r="G229" s="74" t="str">
        <x:v>Coupons; fasteners; inserts</x:v>
      </x:c>
      <x:c r="H229" s="74" t="str">
        <x:v>Unscrew; wet-cut if necessary; seal edges</x:v>
      </x:c>
      <x:c r="I229" s="74" t="str">
        <x:v>Carbon or glass dust; hidden delamination</x:v>
      </x:c>
      <x:c r="J229" s="74" t="str">
        <x:v>H4</x:v>
      </x:c>
    </x:row>
    <x:row r="230" ht="40.5" customHeight="1">
      <x:c r="A230" s="75" t="str">
        <x:v>SV-226</x:v>
      </x:c>
      <x:c r="B230" s="75" t="str">
        <x:v>Cargo tie-down fitting</x:v>
      </x:c>
      <x:c r="C230" s="75" t="str">
        <x:v>Aircraft wreck</x:v>
      </x:c>
      <x:c r="D230" s="75" t="str">
        <x:v>Major site</x:v>
      </x:c>
      <x:c r="E230" s="75" t="str">
        <x:v>steel or aluminum</x:v>
      </x:c>
      <x:c r="F230" s="75" t="str">
        <x:v>Floor anchor; bench tie point; lifting only after proof</x:v>
      </x:c>
      <x:c r="G230" s="75" t="str">
        <x:v>Fitting; bolts; backing plate</x:v>
      </x:c>
      <x:c r="H230" s="75" t="str">
        <x:v>Unbolt backing; inspect crash deformation</x:v>
      </x:c>
      <x:c r="I230" s="75" t="str">
        <x:v>False load rating after crash</x:v>
      </x:c>
      <x:c r="J230" s="75" t="str">
        <x:v>H3</x:v>
      </x:c>
    </x:row>
  </x:sheetData>
  <x:mergeCells>
    <x:mergeCell ref="A1:J1"/>
    <x:mergeCell ref="A2:J2"/>
  </x:mergeCells>
  <x:conditionalFormatting sqref="I5:I230">
    <x:cfRule type="containsText" dxfId="5" priority="1" operator="containsText" text="Critical"/>
  </x:conditionalFormatting>
  <x:pageMargins left="0.7" right="0.7" top="0.75" bottom="0.75" header="0.3" footer="0.3"/>
  <x:tableParts count="1">
    <x:tablePart xmlns:r="http://schemas.openxmlformats.org/officeDocument/2006/relationships" r:id="R246483dfdebf42a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8.889999389648438" hidden="0" customWidth="1"/>
    <x:col min="3" max="3" width="31.110000610351562" hidden="0" customWidth="1"/>
    <x:col min="4" max="4" width="23.329999923706055" hidden="0" customWidth="1"/>
    <x:col min="5" max="5" width="24.440000534057617" hidden="0" customWidth="1"/>
    <x:col min="6" max="6" width="23.329999923706055" hidden="0" customWidth="1"/>
    <x:col min="7" max="7" width="24.440000534057617" hidden="0" customWidth="1"/>
    <x:col min="8" max="8" width="27.219999313354492" hidden="0" customWidth="1"/>
    <x:col min="9" max="9" width="6.440000057220459" hidden="0" customWidth="1"/>
  </x:cols>
  <x:sheetData>
    <x:row r="1" ht="27" customHeight="1">
      <x:c r="A1" s="56" t="str">
        <x:v>Disassembly Grammar — Joints Become Gameplay</x:v>
      </x:c>
      <x:c r="B1" s="56"/>
      <x:c r="C1" s="56"/>
      <x:c r="D1" s="56"/>
      <x:c r="E1" s="56"/>
      <x:c r="F1" s="56"/>
      <x:c r="G1" s="56"/>
      <x:c r="H1" s="56"/>
      <x:c r="I1" s="56"/>
    </x:row>
    <x:row r="2" ht="31.5" customHeight="1">
      <x:c r="A2" s="60" t="str">
        <x:v>Correct tools preserve value. Improvised or destructive methods remain possible, but they trade time, noise, injury risk and intact yields for access.</x:v>
      </x:c>
      <x:c r="B2" s="60"/>
      <x:c r="C2" s="60"/>
      <x:c r="D2" s="60"/>
      <x:c r="E2" s="60"/>
      <x:c r="F2" s="60"/>
      <x:c r="G2" s="60"/>
      <x:c r="H2" s="60"/>
      <x:c r="I2" s="60"/>
    </x:row>
    <x:row r="4" ht="25.5" customHeight="1">
      <x:c r="A4" s="65" t="str">
        <x:v>ID</x:v>
      </x:c>
      <x:c r="B4" s="65" t="str">
        <x:v>Joint / closure</x:v>
      </x:c>
      <x:c r="C4" s="65" t="str">
        <x:v>Non-destructive action</x:v>
      </x:c>
      <x:c r="D4" s="65" t="str">
        <x:v>Required tool</x:v>
      </x:c>
      <x:c r="E4" s="65" t="str">
        <x:v>Intact outputs</x:v>
      </x:c>
      <x:c r="F4" s="65" t="str">
        <x:v>Destructive fallback</x:v>
      </x:c>
      <x:c r="G4" s="65" t="str">
        <x:v>Common failure</x:v>
      </x:c>
      <x:c r="H4" s="65" t="str">
        <x:v>Knowledge evidence</x:v>
      </x:c>
      <x:c r="I4" s="65" t="str">
        <x:v>Tier</x:v>
      </x:c>
    </x:row>
    <x:row r="5" ht="40.5" customHeight="1">
      <x:c r="A5" s="73" t="str">
        <x:v>DA-001</x:v>
      </x:c>
      <x:c r="B5" s="73" t="str">
        <x:v>Loose knot or lashing</x:v>
      </x:c>
      <x:c r="C5" s="73" t="str">
        <x:v>Untie and preserve the full line</x:v>
      </x:c>
      <x:c r="D5" s="73" t="str">
        <x:v>Marlinspike; bodkin; fingers</x:v>
      </x:c>
      <x:c r="E5" s="73" t="str">
        <x:v>Long rope; knot knowledge; attached object</x:v>
      </x:c>
      <x:c r="F5" s="73" t="str">
        <x:v>Cut at knot for two short lengths</x:v>
      </x:c>
      <x:c r="G5" s="73" t="str">
        <x:v>Tightens the knot; damages fibers</x:v>
      </x:c>
      <x:c r="H5" s="73" t="str">
        <x:v>Recognize knot path and loaded end</x:v>
      </x:c>
      <x:c r="I5" s="73" t="str">
        <x:v>H1</x:v>
      </x:c>
    </x:row>
    <x:row r="6" ht="40.5" customHeight="1">
      <x:c r="A6" s="74" t="str">
        <x:v>DA-002</x:v>
      </x:c>
      <x:c r="B6" s="74" t="str">
        <x:v>Snap clip or carabiner</x:v>
      </x:c>
      <x:c r="C6" s="74" t="str">
        <x:v>Unload; open gate; remove intact</x:v>
      </x:c>
      <x:c r="D6" s="74" t="str">
        <x:v>Hands; pliers if corroded</x:v>
      </x:c>
      <x:c r="E6" s="74" t="str">
        <x:v>Clip; full rope or webbing</x:v>
      </x:c>
      <x:c r="F6" s="74" t="str">
        <x:v>Cut attached line</x:v>
      </x:c>
      <x:c r="G6" s="74" t="str">
        <x:v>Gate spring breaks; line is shortened</x:v>
      </x:c>
      <x:c r="H6" s="74" t="str">
        <x:v>Confirm it is not life-safety rated after damage</x:v>
      </x:c>
      <x:c r="I6" s="74" t="str">
        <x:v>H1</x:v>
      </x:c>
    </x:row>
    <x:row r="7" ht="40.5" customHeight="1">
      <x:c r="A7" s="74" t="str">
        <x:v>DA-003</x:v>
      </x:c>
      <x:c r="B7" s="74" t="str">
        <x:v>Shackle pin</x:v>
      </x:c>
      <x:c r="C7" s="74" t="str">
        <x:v>Unload; back out pin; clean threads</x:v>
      </x:c>
      <x:c r="D7" s="74" t="str">
        <x:v>Shackle key; adjustable wrench</x:v>
      </x:c>
      <x:c r="E7" s="74" t="str">
        <x:v>Shackle; pin; connected eyes intact</x:v>
      </x:c>
      <x:c r="F7" s="74" t="str">
        <x:v>Cut pin or connected line</x:v>
      </x:c>
      <x:c r="G7" s="74" t="str">
        <x:v>Rounds flats; seizes thread</x:v>
      </x:c>
      <x:c r="H7" s="74" t="str">
        <x:v>Know screw-pin versus bolt-type shackle</x:v>
      </x:c>
      <x:c r="I7" s="74" t="str">
        <x:v>H2</x:v>
      </x:c>
    </x:row>
    <x:row r="8" ht="40.5" customHeight="1">
      <x:c r="A8" s="74" t="str">
        <x:v>DA-004</x:v>
      </x:c>
      <x:c r="B8" s="74" t="str">
        <x:v>Slotted screw</x:v>
      </x:c>
      <x:c r="C8" s="74" t="str">
        <x:v>Clean slot; penetrant; steady axial pressure; turn correct direction</x:v>
      </x:c>
      <x:c r="D8" s="74" t="str">
        <x:v>Matched slotted screwdriver</x:v>
      </x:c>
      <x:c r="E8" s="74" t="str">
        <x:v>Panel; screw; washer; bracket</x:v>
      </x:c>
      <x:c r="F8" s="74" t="str">
        <x:v>Cut or drill screw head</x:v>
      </x:c>
      <x:c r="G8" s="74" t="str">
        <x:v>Cams out; scars panel; breaks screw</x:v>
      </x:c>
      <x:c r="H8" s="74" t="str">
        <x:v>Match blade width and thickness</x:v>
      </x:c>
      <x:c r="I8" s="74" t="str">
        <x:v>H2</x:v>
      </x:c>
    </x:row>
    <x:row r="9" ht="40.5" customHeight="1">
      <x:c r="A9" s="74" t="str">
        <x:v>DA-005</x:v>
      </x:c>
      <x:c r="B9" s="74" t="str">
        <x:v>Phillips screw</x:v>
      </x:c>
      <x:c r="C9" s="74" t="str">
        <x:v>Clean recess; seat matched driver; turn with axial pressure</x:v>
      </x:c>
      <x:c r="D9" s="74" t="str">
        <x:v>Matched Phillips screwdriver</x:v>
      </x:c>
      <x:c r="E9" s="74" t="str">
        <x:v>Panel; screw; washer; bracket</x:v>
      </x:c>
      <x:c r="F9" s="74" t="str">
        <x:v>Drill head; cut surrounding material</x:v>
      </x:c>
      <x:c r="G9" s="74" t="str">
        <x:v>Cam-out strips cross recess</x:v>
      </x:c>
      <x:c r="H9" s="74" t="str">
        <x:v>Distinguish Phillips from similar cross-head forms</x:v>
      </x:c>
      <x:c r="I9" s="74" t="str">
        <x:v>H2</x:v>
      </x:c>
    </x:row>
    <x:row r="10" ht="40.5" customHeight="1">
      <x:c r="A10" s="74" t="str">
        <x:v>DA-006</x:v>
      </x:c>
      <x:c r="B10" s="74" t="str">
        <x:v>Pozidriv or JIS screw</x:v>
      </x:c>
      <x:c r="C10" s="74" t="str">
        <x:v>Identify markings; use correct matched bit</x:v>
      </x:c>
      <x:c r="D10" s="74" t="str">
        <x:v>Matched driver bit</x:v>
      </x:c>
      <x:c r="E10" s="74" t="str">
        <x:v>Fastener and attached parts intact</x:v>
      </x:c>
      <x:c r="F10" s="74" t="str">
        <x:v>Drill head</x:v>
      </x:c>
      <x:c r="G10" s="74" t="str">
        <x:v>Wrong cross-head driver strips quickly</x:v>
      </x:c>
      <x:c r="H10" s="74" t="str">
        <x:v>Recognize head standard before force</x:v>
      </x:c>
      <x:c r="I10" s="74" t="str">
        <x:v>H3</x:v>
      </x:c>
    </x:row>
    <x:row r="11" ht="40.5" customHeight="1">
      <x:c r="A11" s="74" t="str">
        <x:v>DA-007</x:v>
      </x:c>
      <x:c r="B11" s="74" t="str">
        <x:v>Torx screw</x:v>
      </x:c>
      <x:c r="C11" s="74" t="str">
        <x:v>Clean recess; use fully seated correct-size bit</x:v>
      </x:c>
      <x:c r="D11" s="74" t="str">
        <x:v>Torx bit and handle</x:v>
      </x:c>
      <x:c r="E11" s="74" t="str">
        <x:v>Fastener and assembly intact</x:v>
      </x:c>
      <x:c r="F11" s="74" t="str">
        <x:v>Drill head</x:v>
      </x:c>
      <x:c r="G11" s="74" t="str">
        <x:v>Wrong size rounds lobes</x:v>
      </x:c>
      <x:c r="H11" s="74" t="str">
        <x:v>Identify tamper-resistant center pin</x:v>
      </x:c>
      <x:c r="I11" s="74" t="str">
        <x:v>H3</x:v>
      </x:c>
    </x:row>
    <x:row r="12" ht="40.5" customHeight="1">
      <x:c r="A12" s="74" t="str">
        <x:v>DA-008</x:v>
      </x:c>
      <x:c r="B12" s="74" t="str">
        <x:v>Hex-socket screw</x:v>
      </x:c>
      <x:c r="C12" s="74" t="str">
        <x:v>Clean socket; seat correct key fully</x:v>
      </x:c>
      <x:c r="D12" s="74" t="str">
        <x:v>Hex key or bit</x:v>
      </x:c>
      <x:c r="E12" s="74" t="str">
        <x:v>Fastener and assembly intact</x:v>
      </x:c>
      <x:c r="F12" s="74" t="str">
        <x:v>Drill head or cut slot</x:v>
      </x:c>
      <x:c r="G12" s="74" t="str">
        <x:v>Ball-end key twists; socket rounds</x:v>
      </x:c>
      <x:c r="H12" s="74" t="str">
        <x:v>Metric and inch sizes are not interchangeable</x:v>
      </x:c>
      <x:c r="I12" s="74" t="str">
        <x:v>H3</x:v>
      </x:c>
    </x:row>
    <x:row r="13" ht="40.5" customHeight="1">
      <x:c r="A13" s="74" t="str">
        <x:v>DA-009</x:v>
      </x:c>
      <x:c r="B13" s="74" t="str">
        <x:v>Bolt and nut</x:v>
      </x:c>
      <x:c r="C13" s="74" t="str">
        <x:v>Support both sides; penetrant; counterhold; loosen</x:v>
      </x:c>
      <x:c r="D13" s="74" t="str">
        <x:v>Two matched wrenches or wrench and socket</x:v>
      </x:c>
      <x:c r="E13" s="74" t="str">
        <x:v>Bolt; nut; washers; joined parts</x:v>
      </x:c>
      <x:c r="F13" s="74" t="str">
        <x:v>Cut shank or split nut</x:v>
      </x:c>
      <x:c r="G13" s="74" t="str">
        <x:v>Rounds flats; twists bolt; crushes part</x:v>
      </x:c>
      <x:c r="H13" s="74" t="str">
        <x:v>Record grade; thread; washers; locking method</x:v>
      </x:c>
      <x:c r="I13" s="74" t="str">
        <x:v>H2</x:v>
      </x:c>
    </x:row>
    <x:row r="14" ht="40.5" customHeight="1">
      <x:c r="A14" s="74" t="str">
        <x:v>DA-010</x:v>
      </x:c>
      <x:c r="B14" s="74" t="str">
        <x:v>Castellated nut and cotter pin</x:v>
      </x:c>
      <x:c r="C14" s="74" t="str">
        <x:v>Straighten and pull pin; then unbolt nut</x:v>
      </x:c>
      <x:c r="D14" s="74" t="str">
        <x:v>Needle-nose pliers; wrench</x:v>
      </x:c>
      <x:c r="E14" s="74" t="str">
        <x:v>Nut; bolt; washer; joint; pin as sample</x:v>
      </x:c>
      <x:c r="F14" s="74" t="str">
        <x:v>Cut pin; then unbolt</x:v>
      </x:c>
      <x:c r="G14" s="74" t="str">
        <x:v>Reusing fatigued pin; damaging thread</x:v>
      </x:c>
      <x:c r="H14" s="74" t="str">
        <x:v>Locking device is separate from correct torque</x:v>
      </x:c>
      <x:c r="I14" s="74" t="str">
        <x:v>H3</x:v>
      </x:c>
    </x:row>
    <x:row r="15" ht="40.5" customHeight="1">
      <x:c r="A15" s="74" t="str">
        <x:v>DA-011</x:v>
      </x:c>
      <x:c r="B15" s="74" t="str">
        <x:v>Locknut or tab washer</x:v>
      </x:c>
      <x:c r="C15" s="74" t="str">
        <x:v>Identify lock; release tab or sacrificial insert; unbolt</x:v>
      </x:c>
      <x:c r="D15" s="74" t="str">
        <x:v>Pliers; punch; wrench</x:v>
      </x:c>
      <x:c r="E15" s="74" t="str">
        <x:v>Fastener; tab pattern; joined parts</x:v>
      </x:c>
      <x:c r="F15" s="74" t="str">
        <x:v>Cut nut</x:v>
      </x:c>
      <x:c r="G15" s="74" t="str">
        <x:v>Assumes normal nut and tears thread</x:v>
      </x:c>
      <x:c r="H15" s="74" t="str">
        <x:v>Treat locking parts as replaceable consumables</x:v>
      </x:c>
      <x:c r="I15" s="74" t="str">
        <x:v>H3</x:v>
      </x:c>
    </x:row>
    <x:row r="16" ht="40.5" customHeight="1">
      <x:c r="A16" s="74" t="str">
        <x:v>DA-012</x:v>
      </x:c>
      <x:c r="B16" s="74" t="str">
        <x:v>Blind rivet</x:v>
      </x:c>
      <x:c r="C16" s="74" t="str">
        <x:v>Support panel; drill only the head; push body through</x:v>
      </x:c>
      <x:c r="D16" s="74" t="str">
        <x:v>Center punch; drill; matched bit</x:v>
      </x:c>
      <x:c r="E16" s="74" t="str">
        <x:v>Clean panel holes; rivet fragments; bracket</x:v>
      </x:c>
      <x:c r="F16" s="74" t="str">
        <x:v>Chisel head or tear panel</x:v>
      </x:c>
      <x:c r="G16" s="74" t="str">
        <x:v>Oversize hole; spinning rivet; bent sheet</x:v>
      </x:c>
      <x:c r="H16" s="74" t="str">
        <x:v>Choose bit near shank diameter</x:v>
      </x:c>
      <x:c r="I16" s="74" t="str">
        <x:v>H3</x:v>
      </x:c>
    </x:row>
    <x:row r="17" ht="40.5" customHeight="1">
      <x:c r="A17" s="74" t="str">
        <x:v>DA-013</x:v>
      </x:c>
      <x:c r="B17" s="74" t="str">
        <x:v>Solid rivet</x:v>
      </x:c>
      <x:c r="C17" s="74" t="str">
        <x:v>Identify shop head; center; drill or punch under support</x:v>
      </x:c>
      <x:c r="D17" s="74" t="str">
        <x:v>Center punch; drill; rivet punch; bucking support</x:v>
      </x:c>
      <x:c r="E17" s="74" t="str">
        <x:v>Panels with controlled holes; rivet sample</x:v>
      </x:c>
      <x:c r="F17" s="74" t="str">
        <x:v>Chisel; peel sheet</x:v>
      </x:c>
      <x:c r="G17" s="74" t="str">
        <x:v>Elongates hole; cracks fatigue-sensitive sheet</x:v>
      </x:c>
      <x:c r="H17" s="74" t="str">
        <x:v>Understand manufactured and shop heads</x:v>
      </x:c>
      <x:c r="I17" s="74" t="str">
        <x:v>H4</x:v>
      </x:c>
    </x:row>
    <x:row r="18" ht="40.5" customHeight="1">
      <x:c r="A18" s="74" t="str">
        <x:v>DA-014</x:v>
      </x:c>
      <x:c r="B18" s="74" t="str">
        <x:v>Nail</x:v>
      </x:c>
      <x:c r="C18" s="74" t="str">
        <x:v>Expose head; lever against sacrificial block</x:v>
      </x:c>
      <x:c r="D18" s="74" t="str">
        <x:v>Claw hammer; pincers; pry bar</x:v>
      </x:c>
      <x:c r="E18" s="74" t="str">
        <x:v>Nail; board with small hole</x:v>
      </x:c>
      <x:c r="F18" s="74" t="str">
        <x:v>Split board or cut nail</x:v>
      </x:c>
      <x:c r="G18" s="74" t="str">
        <x:v>Dents surface; bends nail; hidden point injury</x:v>
      </x:c>
      <x:c r="H18" s="74" t="str">
        <x:v>Pry in small increments along grain</x:v>
      </x:c>
      <x:c r="I18" s="74" t="str">
        <x:v>H1</x:v>
      </x:c>
    </x:row>
    <x:row r="19" ht="40.5" customHeight="1">
      <x:c r="A19" s="74" t="str">
        <x:v>DA-015</x:v>
      </x:c>
      <x:c r="B19" s="74" t="str">
        <x:v>Staple</x:v>
      </x:c>
      <x:c r="C19" s="74" t="str">
        <x:v>Lift crown; pull both legs evenly</x:v>
      </x:c>
      <x:c r="D19" s="74" t="str">
        <x:v>Awl; small pry tool; pincers</x:v>
      </x:c>
      <x:c r="E19" s="74" t="str">
        <x:v>Staple; cloth; panel</x:v>
      </x:c>
      <x:c r="F19" s="74" t="str">
        <x:v>Cut cloth around staple</x:v>
      </x:c>
      <x:c r="G19" s="74" t="str">
        <x:v>Tears fabric; leaves sharp leg</x:v>
      </x:c>
      <x:c r="H19" s="74" t="str">
        <x:v>Locate both legs and backer</x:v>
      </x:c>
      <x:c r="I19" s="74" t="str">
        <x:v>H1</x:v>
      </x:c>
    </x:row>
    <x:row r="20" ht="40.5" customHeight="1">
      <x:c r="A20" s="74" t="str">
        <x:v>DA-016</x:v>
      </x:c>
      <x:c r="B20" s="74" t="str">
        <x:v>Hinge pin</x:v>
      </x:c>
      <x:c r="C20" s="74" t="str">
        <x:v>Support moving leaf; remove retainer; drive pin in designed direction</x:v>
      </x:c>
      <x:c r="D20" s="74" t="str">
        <x:v>Punch; hammer; pliers</x:v>
      </x:c>
      <x:c r="E20" s="74" t="str">
        <x:v>Hinge leaves; pin; door or lid</x:v>
      </x:c>
      <x:c r="F20" s="74" t="str">
        <x:v>Cut knuckle</x:v>
      </x:c>
      <x:c r="G20" s="74" t="str">
        <x:v>Bends pin; drops door</x:v>
      </x:c>
      <x:c r="H20" s="74" t="str">
        <x:v>Identify peened or captive pin</x:v>
      </x:c>
      <x:c r="I20" s="74" t="str">
        <x:v>H2</x:v>
      </x:c>
    </x:row>
    <x:row r="21" ht="40.5" customHeight="1">
      <x:c r="A21" s="74" t="str">
        <x:v>DA-017</x:v>
      </x:c>
      <x:c r="B21" s="74" t="str">
        <x:v>Sewn seam</x:v>
      </x:c>
      <x:c r="C21" s="74" t="str">
        <x:v>Expose thread; cut selected stitches; pull thread path</x:v>
      </x:c>
      <x:c r="D21" s="74" t="str">
        <x:v>Seam ripper; small scissors; needle</x:v>
      </x:c>
      <x:c r="E21" s="74" t="str">
        <x:v>Large cloth panels; thread; zipper; binding</x:v>
      </x:c>
      <x:c r="F21" s="74" t="str">
        <x:v>Slash panel</x:v>
      </x:c>
      <x:c r="G21" s="74" t="str">
        <x:v>Runs into fabric; loses pattern</x:v>
      </x:c>
      <x:c r="H21" s="74" t="str">
        <x:v>Read seam construction before opening</x:v>
      </x:c>
      <x:c r="I21" s="74" t="str">
        <x:v>H1</x:v>
      </x:c>
    </x:row>
    <x:row r="22" ht="40.5" customHeight="1">
      <x:c r="A22" s="74" t="str">
        <x:v>DA-018</x:v>
      </x:c>
      <x:c r="B22" s="74" t="str">
        <x:v>Webbing buckle</x:v>
      </x:c>
      <x:c r="C22" s="74" t="str">
        <x:v>Unload; trace threading path; photograph; unthread</x:v>
      </x:c>
      <x:c r="D22" s="74" t="str">
        <x:v>Hands; bodkin</x:v>
      </x:c>
      <x:c r="E22" s="74" t="str">
        <x:v>Full strap; buckle; keeper</x:v>
      </x:c>
      <x:c r="F22" s="74" t="str">
        <x:v>Cut webbing</x:v>
      </x:c>
      <x:c r="G22" s="74" t="str">
        <x:v>Loses routing; frays load-bearing webbing</x:v>
      </x:c>
      <x:c r="H22" s="74" t="str">
        <x:v>Preserve crash-loaded and ordinary webbing separately</x:v>
      </x:c>
      <x:c r="I22" s="74" t="str">
        <x:v>H1</x:v>
      </x:c>
    </x:row>
    <x:row r="23" ht="40.5" customHeight="1">
      <x:c r="A23" s="74" t="str">
        <x:v>DA-019</x:v>
      </x:c>
      <x:c r="B23" s="74" t="str">
        <x:v>Hose clamp</x:v>
      </x:c>
      <x:c r="C23" s="74" t="str">
        <x:v>Depressurize; clean screw; loosen fully; twist hose free</x:v>
      </x:c>
      <x:c r="D23" s="74" t="str">
        <x:v>Screwdriver or nut driver; hose pick</x:v>
      </x:c>
      <x:c r="E23" s="74" t="str">
        <x:v>Clamp; hose; fitting</x:v>
      </x:c>
      <x:c r="F23" s="74" t="str">
        <x:v>Cut hose; cut clamp band</x:v>
      </x:c>
      <x:c r="G23" s="74" t="str">
        <x:v>Strips screw; scores fitting</x:v>
      </x:c>
      <x:c r="H23" s="74" t="str">
        <x:v>Identify service fluid before opening</x:v>
      </x:c>
      <x:c r="I23" s="74" t="str">
        <x:v>H2</x:v>
      </x:c>
    </x:row>
    <x:row r="24" ht="40.5" customHeight="1">
      <x:c r="A24" s="74" t="str">
        <x:v>DA-020</x:v>
      </x:c>
      <x:c r="B24" s="74" t="str">
        <x:v>Flared tube union</x:v>
      </x:c>
      <x:c r="C24" s="74" t="str">
        <x:v>Depressurize; counterhold fitting; turn flare nut</x:v>
      </x:c>
      <x:c r="D24" s="74" t="str">
        <x:v>Two line wrenches</x:v>
      </x:c>
      <x:c r="E24" s="74" t="str">
        <x:v>Tube with flare; nut; fitting</x:v>
      </x:c>
      <x:c r="F24" s="74" t="str">
        <x:v>Cut tube behind nut</x:v>
      </x:c>
      <x:c r="G24" s="74" t="str">
        <x:v>Rounds soft nut; twists tube</x:v>
      </x:c>
      <x:c r="H24" s="74" t="str">
        <x:v>Know flare type and material work-hardening</x:v>
      </x:c>
      <x:c r="I24" s="74" t="str">
        <x:v>H4</x:v>
      </x:c>
    </x:row>
    <x:row r="25" ht="40.5" customHeight="1">
      <x:c r="A25" s="74" t="str">
        <x:v>DA-021</x:v>
      </x:c>
      <x:c r="B25" s="74" t="str">
        <x:v>Threaded pipe union</x:v>
      </x:c>
      <x:c r="C25" s="74" t="str">
        <x:v>Drain and vent; use opposing wrenches; break union</x:v>
      </x:c>
      <x:c r="D25" s="74" t="str">
        <x:v>Pipe wrenches or open spanners</x:v>
      </x:c>
      <x:c r="E25" s="74" t="str">
        <x:v>Pipe; union; fittings</x:v>
      </x:c>
      <x:c r="F25" s="74" t="str">
        <x:v>Cut pipe</x:v>
      </x:c>
      <x:c r="G25" s="74" t="str">
        <x:v>Crushes pipe; trapped fluid release</x:v>
      </x:c>
      <x:c r="H25" s="74" t="str">
        <x:v>Service identification and pressure state first</x:v>
      </x:c>
      <x:c r="I25" s="74" t="str">
        <x:v>H3</x:v>
      </x:c>
    </x:row>
    <x:row r="26" ht="40.5" customHeight="1">
      <x:c r="A26" s="74" t="str">
        <x:v>DA-022</x:v>
      </x:c>
      <x:c r="B26" s="74" t="str">
        <x:v>Electrical plug</x:v>
      </x:c>
      <x:c r="C26" s="74" t="str">
        <x:v>Depower; release latch or collar; pull shell not wires</x:v>
      </x:c>
      <x:c r="D26" s="74" t="str">
        <x:v>Hands; small screwdriver</x:v>
      </x:c>
      <x:c r="E26" s="74" t="str">
        <x:v>Connector pair; full wire length; gasket</x:v>
      </x:c>
      <x:c r="F26" s="74" t="str">
        <x:v>Cut wires with labels</x:v>
      </x:c>
      <x:c r="G26" s="74" t="str">
        <x:v>Pulls pins out; loses pinout</x:v>
      </x:c>
      <x:c r="H26" s="74" t="str">
        <x:v>Label both halves and orientation</x:v>
      </x:c>
      <x:c r="I26" s="74" t="str">
        <x:v>H2</x:v>
      </x:c>
    </x:row>
    <x:row r="27" ht="40.5" customHeight="1">
      <x:c r="A27" s="74" t="str">
        <x:v>DA-023</x:v>
      </x:c>
      <x:c r="B27" s="74" t="str">
        <x:v>Crimp terminal</x:v>
      </x:c>
      <x:c r="C27" s="74" t="str">
        <x:v>Depower; unlock terminal from housing or cut beyond crimp</x:v>
      </x:c>
      <x:c r="D27" s="74" t="str">
        <x:v>Terminal release tool; side cutters</x:v>
      </x:c>
      <x:c r="E27" s="74" t="str">
        <x:v>Connector housing and terminal; or long wire</x:v>
      </x:c>
      <x:c r="F27" s="74" t="str">
        <x:v>Cut flush and lose length</x:v>
      </x:c>
      <x:c r="G27" s="74" t="str">
        <x:v>Damages locking tang; shorts adjacent pin</x:v>
      </x:c>
      <x:c r="H27" s="74" t="str">
        <x:v>Identify terminal retention method</x:v>
      </x:c>
      <x:c r="I27" s="74" t="str">
        <x:v>H3</x:v>
      </x:c>
    </x:row>
    <x:row r="28" ht="40.5" customHeight="1">
      <x:c r="A28" s="74" t="str">
        <x:v>DA-024</x:v>
      </x:c>
      <x:c r="B28" s="74" t="str">
        <x:v>Wire insulation</x:v>
      </x:c>
      <x:c r="C28" s="74" t="str">
        <x:v>Depower; select gauge; score insulation only</x:v>
      </x:c>
      <x:c r="D28" s="74" t="str">
        <x:v>Wire stripper; careful knife fallback</x:v>
      </x:c>
      <x:c r="E28" s="74" t="str">
        <x:v>Full copper strands; insulation sleeve</x:v>
      </x:c>
      <x:c r="F28" s="74" t="str">
        <x:v>Burn insulation or nick strands</x:v>
      </x:c>
      <x:c r="G28" s="74" t="str">
        <x:v>Reduces conductor area; creates hidden break</x:v>
      </x:c>
      <x:c r="H28" s="74" t="str">
        <x:v>Match stripper notch to wire gauge</x:v>
      </x:c>
      <x:c r="I28" s="74" t="str">
        <x:v>H2</x:v>
      </x:c>
    </x:row>
    <x:row r="29" ht="40.5" customHeight="1">
      <x:c r="A29" s="74" t="str">
        <x:v>DA-025</x:v>
      </x:c>
      <x:c r="B29" s="74" t="str">
        <x:v>Soldered joint</x:v>
      </x:c>
      <x:c r="C29" s="74" t="str">
        <x:v>Depower; support part; heat joint; wick or pull once molten</x:v>
      </x:c>
      <x:c r="D29" s="74" t="str">
        <x:v>Soldering iron; wick; pliers</x:v>
      </x:c>
      <x:c r="E29" s="74" t="str">
        <x:v>Component; pad; solder sample</x:v>
      </x:c>
      <x:c r="F29" s="74" t="str">
        <x:v>Cut leads or overheat board</x:v>
      </x:c>
      <x:c r="G29" s="74" t="str">
        <x:v>Lifts pad; cracks component; fumes</x:v>
      </x:c>
      <x:c r="H29" s="74" t="str">
        <x:v>Know heat-sensitive parts and polarity</x:v>
      </x:c>
      <x:c r="I29" s="74" t="str">
        <x:v>H4</x:v>
      </x:c>
    </x:row>
    <x:row r="30" ht="40.5" customHeight="1">
      <x:c r="A30" s="74" t="str">
        <x:v>DA-026</x:v>
      </x:c>
      <x:c r="B30" s="74" t="str">
        <x:v>Adhesive-bonded panel</x:v>
      </x:c>
      <x:c r="C30" s="74" t="str">
        <x:v>Identify adhesive; use wedges; controlled heat or compatible solvent</x:v>
      </x:c>
      <x:c r="D30" s="74" t="str">
        <x:v>Scraper; wedges; controlled heat; solvent if known</x:v>
      </x:c>
      <x:c r="E30" s="74" t="str">
        <x:v>Large panel; gasket; trim</x:v>
      </x:c>
      <x:c r="F30" s="74" t="str">
        <x:v>Break; saw; delaminate</x:v>
      </x:c>
      <x:c r="G30" s="74" t="str">
        <x:v>Toxic fumes; warped sheet; hidden fasteners</x:v>
      </x:c>
      <x:c r="H30" s="74" t="str">
        <x:v>Test a corner before full separation</x:v>
      </x:c>
      <x:c r="I30" s="74" t="str">
        <x:v>H4</x:v>
      </x:c>
    </x:row>
    <x:row r="31" ht="40.5" customHeight="1">
      <x:c r="A31" s="74" t="str">
        <x:v>DA-027</x:v>
      </x:c>
      <x:c r="B31" s="74" t="str">
        <x:v>Press-fit bearing</x:v>
      </x:c>
      <x:c r="C31" s="74" t="str">
        <x:v>Remove retainer; support housing; pull on correct race</x:v>
      </x:c>
      <x:c r="D31" s="74" t="str">
        <x:v>Bearing puller; press; drifts</x:v>
      </x:c>
      <x:c r="E31" s="74" t="str">
        <x:v>Bearing; shaft; housing bore</x:v>
      </x:c>
      <x:c r="F31" s="74" t="str">
        <x:v>Hammer out or cut race</x:v>
      </x:c>
      <x:c r="G31" s="74" t="str">
        <x:v>Brinells bearing; cracks housing</x:v>
      </x:c>
      <x:c r="H31" s="74" t="str">
        <x:v>Force must pass through fitted race</x:v>
      </x:c>
      <x:c r="I31" s="74" t="str">
        <x:v>H4</x:v>
      </x:c>
    </x:row>
    <x:row r="32" ht="40.5" customHeight="1">
      <x:c r="A32" s="74" t="str">
        <x:v>DA-028</x:v>
      </x:c>
      <x:c r="B32" s="74" t="str">
        <x:v>Keyed shaft hub</x:v>
      </x:c>
      <x:c r="C32" s="74" t="str">
        <x:v>Remove retainer and set screw; mark alignment; use puller</x:v>
      </x:c>
      <x:c r="D32" s="74" t="str">
        <x:v>Hex key; puller; penetrant</x:v>
      </x:c>
      <x:c r="E32" s="74" t="str">
        <x:v>Hub; key; shaft</x:v>
      </x:c>
      <x:c r="F32" s="74" t="str">
        <x:v>Heat or cut hub</x:v>
      </x:c>
      <x:c r="G32" s="74" t="str">
        <x:v>Mushrooms shaft; loses key</x:v>
      </x:c>
      <x:c r="H32" s="74" t="str">
        <x:v>Recognize taper; straight; or woodruff key</x:v>
      </x:c>
      <x:c r="I32" s="74" t="str">
        <x:v>H4</x:v>
      </x:c>
    </x:row>
    <x:row r="33" ht="40.5" customHeight="1">
      <x:c r="A33" s="74" t="str">
        <x:v>DA-029</x:v>
      </x:c>
      <x:c r="B33" s="74" t="str">
        <x:v>Spring-loaded assembly</x:v>
      </x:c>
      <x:c r="C33" s="74" t="str">
        <x:v>Restrain spring; document order; release incrementally</x:v>
      </x:c>
      <x:c r="D33" s="74" t="str">
        <x:v>Clamp; correct driver; eye protection</x:v>
      </x:c>
      <x:c r="E33" s="74" t="str">
        <x:v>Spring; washers; mechanism</x:v>
      </x:c>
      <x:c r="F33" s="74" t="str">
        <x:v>Cut housing at distance</x:v>
      </x:c>
      <x:c r="G33" s="74" t="str">
        <x:v>Projectile parts; wrong reassembly</x:v>
      </x:c>
      <x:c r="H33" s="74" t="str">
        <x:v>Stored energy remains with no external load</x:v>
      </x:c>
      <x:c r="I33" s="74" t="str">
        <x:v>H4</x:v>
      </x:c>
    </x:row>
    <x:row r="34" ht="40.5" customHeight="1">
      <x:c r="A34" s="74" t="str">
        <x:v>DA-030</x:v>
      </x:c>
      <x:c r="B34" s="74" t="str">
        <x:v>Pressurized tank or strut</x:v>
      </x:c>
      <x:c r="C34" s="74" t="str">
        <x:v>Secure; identify; depressurize only through designed valve and expert procedure</x:v>
      </x:c>
      <x:c r="D34" s="74" t="str">
        <x:v>Service tools and gauge</x:v>
      </x:c>
      <x:c r="E34" s="74" t="str">
        <x:v>Whole rated vessel or certified-empty shell</x:v>
      </x:c>
      <x:c r="F34" s="74" t="str">
        <x:v>No field cutting before gas-free proof</x:v>
      </x:c>
      <x:c r="G34" s="74" t="str">
        <x:v>Explosion; injection; toxic release</x:v>
      </x:c>
      <x:c r="H34" s="74" t="str">
        <x:v>Treat unknown vessel as pressurized</x:v>
      </x:c>
      <x:c r="I34" s="74" t="str">
        <x:v>H6</x:v>
      </x:c>
    </x:row>
    <x:row r="35" ht="40.5" customHeight="1">
      <x:c r="A35" s="74" t="str">
        <x:v>DA-031</x:v>
      </x:c>
      <x:c r="B35" s="74" t="str">
        <x:v>Fuel-system assembly</x:v>
      </x:c>
      <x:c r="C35" s="74" t="str">
        <x:v>Isolate ignition; vent; drain to approved container; cap lines</x:v>
      </x:c>
      <x:c r="D35" s="74" t="str">
        <x:v>Line wrench; plugs; absorbent; PPE</x:v>
      </x:c>
      <x:c r="E35" s="74" t="str">
        <x:v>Clean component; recoverable fuel; fittings</x:v>
      </x:c>
      <x:c r="F35" s="74" t="str">
        <x:v>No sparks; no cutting until gas-free</x:v>
      </x:c>
      <x:c r="G35" s="74" t="str">
        <x:v>Fire; toxic exposure; contaminated site</x:v>
      </x:c>
      <x:c r="H35" s="74" t="str">
        <x:v>Inventory fluid and ignition sources first</x:v>
      </x:c>
      <x:c r="I35" s="74" t="str">
        <x:v>H5</x:v>
      </x:c>
    </x:row>
    <x:row r="36" ht="40.5" customHeight="1">
      <x:c r="A36" s="74" t="str">
        <x:v>DA-032</x:v>
      </x:c>
      <x:c r="B36" s="74" t="str">
        <x:v>Battery connection</x:v>
      </x:c>
      <x:c r="C36" s="74" t="str">
        <x:v>Remove loads and chargers; insulate tool; disconnect grounded side first where system design confirms</x:v>
      </x:c>
      <x:c r="D36" s="74" t="str">
        <x:v>Insulated wrench; terminal brush; meter</x:v>
      </x:c>
      <x:c r="E36" s="74" t="str">
        <x:v>Battery; cables; terminals</x:v>
      </x:c>
      <x:c r="F36" s="74" t="str">
        <x:v>Cut one cable only when safe and isolated</x:v>
      </x:c>
      <x:c r="G36" s="74" t="str">
        <x:v>Arc; short; acid or thermal runaway</x:v>
      </x:c>
      <x:c r="H36" s="74" t="str">
        <x:v>Identify chemistry and system polarity</x:v>
      </x:c>
      <x:c r="I36" s="74" t="str">
        <x:v>H5</x:v>
      </x:c>
    </x:row>
    <x:row r="37" ht="40.5" customHeight="1">
      <x:c r="A37" s="74" t="str">
        <x:v>DA-033</x:v>
      </x:c>
      <x:c r="B37" s="74" t="str">
        <x:v>Glass in gasket</x:v>
      </x:c>
      <x:c r="C37" s="74" t="str">
        <x:v>Support pane; remove locking strip; peel gasket gradually</x:v>
      </x:c>
      <x:c r="D37" s="74" t="str">
        <x:v>Plastic pick; suction grips; gloves</x:v>
      </x:c>
      <x:c r="E37" s="74" t="str">
        <x:v>Intact pane; reusable gasket; frame</x:v>
      </x:c>
      <x:c r="F37" s="74" t="str">
        <x:v>Break glass under controlled containment</x:v>
      </x:c>
      <x:c r="G37" s="74" t="str">
        <x:v>Sudden shatter; cuts</x:v>
      </x:c>
      <x:c r="H37" s="74" t="str">
        <x:v>Tempered; laminated; acrylic; and ordinary glass differ</x:v>
      </x:c>
      <x:c r="I37" s="74" t="str">
        <x:v>H3</x:v>
      </x:c>
    </x:row>
    <x:row r="38" ht="40.5" customHeight="1">
      <x:c r="A38" s="74" t="str">
        <x:v>DA-034</x:v>
      </x:c>
      <x:c r="B38" s="74" t="str">
        <x:v>Sheet-metal folded seam</x:v>
      </x:c>
      <x:c r="C38" s="74" t="str">
        <x:v>Map seam; unfold progressively with backing</x:v>
      </x:c>
      <x:c r="D38" s="74" t="str">
        <x:v>Seam tool; pliers; mallet</x:v>
      </x:c>
      <x:c r="E38" s="74" t="str">
        <x:v>Large flat sheet; clips</x:v>
      </x:c>
      <x:c r="F38" s="74" t="str">
        <x:v>Cut seam with snips</x:v>
      </x:c>
      <x:c r="G38" s="74" t="str">
        <x:v>Cracks work-hardened edge; sharp burrs</x:v>
      </x:c>
      <x:c r="H38" s="74" t="str">
        <x:v>Track grain; temper; and corrosion</x:v>
      </x:c>
      <x:c r="I38" s="74" t="str">
        <x:v>H3</x:v>
      </x:c>
    </x:row>
    <x:row r="39" ht="40.5" customHeight="1">
      <x:c r="A39" s="74" t="str">
        <x:v>DA-035</x:v>
      </x:c>
      <x:c r="B39" s="74" t="str">
        <x:v>Painted or insulated enclosure</x:v>
      </x:c>
      <x:c r="C39" s="74" t="str">
        <x:v>Inventory coatings and insulation before opening; wet-control dust</x:v>
      </x:c>
      <x:c r="D39" s="74" t="str">
        <x:v>Correct driver; scraper; PPE; bags</x:v>
      </x:c>
      <x:c r="E39" s="74" t="str">
        <x:v>Enclosure; hardware; safely segregated insulation</x:v>
      </x:c>
      <x:c r="F39" s="74" t="str">
        <x:v>Destructive opening only after hazard classification</x:v>
      </x:c>
      <x:c r="G39" s="74" t="str">
        <x:v>Lead; cadmium; asbestos; PCBs; fibers</x:v>
      </x:c>
      <x:c r="H39" s="74" t="str">
        <x:v>Hazard inventory precedes material yield</x:v>
      </x:c>
      <x:c r="I39" s="74" t="str">
        <x:v>H5</x:v>
      </x:c>
    </x:row>
    <x:row r="40" ht="40.5" customHeight="1">
      <x:c r="A40" s="75" t="str">
        <x:v>DA-036</x:v>
      </x:c>
      <x:c r="B40" s="75" t="str">
        <x:v>Unknown electronic enclosure</x:v>
      </x:c>
      <x:c r="C40" s="75" t="str">
        <x:v>Depower; wait; verify zero energy; photograph; unscrew</x:v>
      </x:c>
      <x:c r="D40" s="75" t="str">
        <x:v>Meter; correct driver; insulated tools</x:v>
      </x:c>
      <x:c r="E40" s="75" t="str">
        <x:v>Case; board; connectors; heat sinks</x:v>
      </x:c>
      <x:c r="F40" s="75" t="str">
        <x:v>Cut case only after battery and capacitors located</x:v>
      </x:c>
      <x:c r="G40" s="75" t="str">
        <x:v>Shock; short; toxic smoke</x:v>
      </x:c>
      <x:c r="H40" s="75" t="str">
        <x:v>Zero-energy verification and polarity map</x:v>
      </x:c>
      <x:c r="I40" s="75" t="str">
        <x:v>H4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1e83046e54546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9.440000534057617" hidden="0" customWidth="1"/>
    <x:col min="3" max="3" width="18.889999389648438" hidden="0" customWidth="1"/>
    <x:col min="4" max="4" width="26.110000610351562" hidden="0" customWidth="1"/>
    <x:col min="5" max="5" width="26.110000610351562" hidden="0" customWidth="1"/>
    <x:col min="6" max="6" width="27.780000686645508" hidden="0" customWidth="1"/>
    <x:col min="7" max="7" width="20" hidden="0" customWidth="1"/>
    <x:col min="8" max="8" width="28.889999389648438" hidden="0" customWidth="1"/>
    <x:col min="9" max="9" width="6.440000057220459" hidden="0" customWidth="1"/>
  </x:cols>
  <x:sheetData>
    <x:row r="1" ht="27" customHeight="1">
      <x:c r="A1" s="56" t="str">
        <x:v>Cross-Material Routes — Reuse Before Recycling</x:v>
      </x:c>
      <x:c r="B1" s="56"/>
      <x:c r="C1" s="56"/>
      <x:c r="D1" s="56"/>
      <x:c r="E1" s="56"/>
      <x:c r="F1" s="56"/>
      <x:c r="G1" s="56"/>
      <x:c r="H1" s="56"/>
      <x:c r="I1" s="56"/>
    </x:row>
    <x:row r="2" ht="31.5" customHeight="1">
      <x:c r="A2" s="60" t="str">
        <x:v>Every material should support an intact reuse, at least one processed form, a terminal route, and an explicit constraint. Food-contact, life-safety, pressure and electrical uses require proof.</x:v>
      </x:c>
      <x:c r="B2" s="60"/>
      <x:c r="C2" s="60"/>
      <x:c r="D2" s="60"/>
      <x:c r="E2" s="60"/>
      <x:c r="F2" s="60"/>
      <x:c r="G2" s="60"/>
      <x:c r="H2" s="60"/>
      <x:c r="I2" s="60"/>
    </x:row>
    <x:row r="4" ht="25.5" customHeight="1">
      <x:c r="A4" s="65" t="str">
        <x:v>ID</x:v>
      </x:c>
      <x:c r="B4" s="65" t="str">
        <x:v>Source material</x:v>
      </x:c>
      <x:c r="C4" s="65" t="str">
        <x:v>Recovered form</x:v>
      </x:c>
      <x:c r="D4" s="65" t="str">
        <x:v>First use</x:v>
      </x:c>
      <x:c r="E4" s="65" t="str">
        <x:v>Second use</x:v>
      </x:c>
      <x:c r="F4" s="65" t="str">
        <x:v>Processing</x:v>
      </x:c>
      <x:c r="G4" s="65" t="str">
        <x:v>Terminal route</x:v>
      </x:c>
      <x:c r="H4" s="65" t="str">
        <x:v>Constraint</x:v>
      </x:c>
      <x:c r="I4" s="65" t="str">
        <x:v>Tier</x:v>
      </x:c>
    </x:row>
    <x:row r="5" ht="40.5" customHeight="1">
      <x:c r="A5" s="73" t="str">
        <x:v>MR-001</x:v>
      </x:c>
      <x:c r="B5" s="73" t="str">
        <x:v>Coconut flesh</x:v>
      </x:c>
      <x:c r="C5" s="73" t="str">
        <x:v>fresh food</x:v>
      </x:c>
      <x:c r="D5" s="73" t="str">
        <x:v>Eat; cook; press for milk</x:v>
      </x:c>
      <x:c r="E5" s="73" t="str">
        <x:v>Dry as ration; bait</x:v>
      </x:c>
      <x:c r="F5" s="73" t="str">
        <x:v>Slice; grate; press; dry</x:v>
      </x:c>
      <x:c r="G5" s="73" t="str">
        <x:v>Compost spoiled residue</x:v>
      </x:c>
      <x:c r="H5" s="73" t="str">
        <x:v>Spoils rapidly after opening</x:v>
      </x:c>
      <x:c r="I5" s="73" t="str">
        <x:v>H0</x:v>
      </x:c>
    </x:row>
    <x:row r="6" ht="40.5" customHeight="1">
      <x:c r="A6" s="74" t="str">
        <x:v>MR-002</x:v>
      </x:c>
      <x:c r="B6" s="74" t="str">
        <x:v>Coconut water</x:v>
      </x:c>
      <x:c r="C6" s="74" t="str">
        <x:v>fresh liquid</x:v>
      </x:c>
      <x:c r="D6" s="74" t="str">
        <x:v>Drink only from sound unopened nut</x:v>
      </x:c>
      <x:c r="E6" s="74" t="str">
        <x:v>Starter liquid for cooking</x:v>
      </x:c>
      <x:c r="F6" s="74" t="str">
        <x:v>Open cleanly; inspect smell and color</x:v>
      </x:c>
      <x:c r="G6" s="74" t="str">
        <x:v>Compost spoiled liquid</x:v>
      </x:c>
      <x:c r="H6" s="74" t="str">
        <x:v>Not equivalent to sterile long-term water</x:v>
      </x:c>
      <x:c r="I6" s="74" t="str">
        <x:v>H0</x:v>
      </x:c>
    </x:row>
    <x:row r="7" ht="40.5" customHeight="1">
      <x:c r="A7" s="74" t="str">
        <x:v>MR-003</x:v>
      </x:c>
      <x:c r="B7" s="74" t="str">
        <x:v>Coconut shell</x:v>
      </x:c>
      <x:c r="C7" s="74" t="str">
        <x:v>hard shell</x:v>
      </x:c>
      <x:c r="D7" s="74" t="str">
        <x:v>Cup; scoop; measure; rain collector</x:v>
      </x:c>
      <x:c r="E7" s="74" t="str">
        <x:v>Ladle; lamp; canteen; charcoal; buttons</x:v>
      </x:c>
      <x:c r="F7" s="74" t="str">
        <x:v>Scrape; wash; dry; drill; abrade</x:v>
      </x:c>
      <x:c r="G7" s="74" t="str">
        <x:v>Charcoal or aggregate</x:v>
      </x:c>
      <x:c r="H7" s="74" t="str">
        <x:v>Thermal shock and cracks limit direct heating</x:v>
      </x:c>
      <x:c r="I7" s="74" t="str">
        <x:v>H0</x:v>
      </x:c>
    </x:row>
    <x:row r="8" ht="40.5" customHeight="1">
      <x:c r="A8" s="74" t="str">
        <x:v>MR-004</x:v>
      </x:c>
      <x:c r="B8" s="74" t="str">
        <x:v>Coconut husk</x:v>
      </x:c>
      <x:c r="C8" s="74" t="str">
        <x:v>coir feedstock</x:v>
      </x:c>
      <x:c r="D8" s="74" t="str">
        <x:v>Fuel; scrubber; mulch</x:v>
      </x:c>
      <x:c r="E8" s="74" t="str">
        <x:v>Fiber; pith; rope; mats</x:v>
      </x:c>
      <x:c r="F8" s="74" t="str">
        <x:v>Ret or soak; beat; separate; wash; dry</x:v>
      </x:c>
      <x:c r="G8" s="74" t="str">
        <x:v>Compost pith; ash</x:v>
      </x:c>
      <x:c r="H8" s="74" t="str">
        <x:v>Retting is slow; wet husk molds</x:v>
      </x:c>
      <x:c r="I8" s="74" t="str">
        <x:v>H1</x:v>
      </x:c>
    </x:row>
    <x:row r="9" ht="40.5" customHeight="1">
      <x:c r="A9" s="74" t="str">
        <x:v>MR-005</x:v>
      </x:c>
      <x:c r="B9" s="74" t="str">
        <x:v>Coir fiber</x:v>
      </x:c>
      <x:c r="C9" s="74" t="str">
        <x:v>coarse plant fiber</x:v>
      </x:c>
      <x:c r="D9" s="74" t="str">
        <x:v>Cord; rope; brush; mat</x:v>
      </x:c>
      <x:c r="E9" s="74" t="str">
        <x:v>Net; bag; mattress fill; erosion mesh</x:v>
      </x:c>
      <x:c r="F9" s="74" t="str">
        <x:v>Comb; spin; ply; weave</x:v>
      </x:c>
      <x:c r="G9" s="74" t="str">
        <x:v>Compost when clean</x:v>
      </x:c>
      <x:c r="H9" s="74" t="str">
        <x:v>Coarse; variable strength; proof critical loads</x:v>
      </x:c>
      <x:c r="I9" s="74" t="str">
        <x:v>H1</x:v>
      </x:c>
    </x:row>
    <x:row r="10" ht="40.5" customHeight="1">
      <x:c r="A10" s="74" t="str">
        <x:v>MR-006</x:v>
      </x:c>
      <x:c r="B10" s="74" t="str">
        <x:v>Coir pith</x:v>
      </x:c>
      <x:c r="C10" s="74" t="str">
        <x:v>fine plant residue</x:v>
      </x:c>
      <x:c r="D10" s="74" t="str">
        <x:v>Mulch; moisture-retaining bed</x:v>
      </x:c>
      <x:c r="E10" s="74" t="str">
        <x:v>Compost; seed starter after salt washing</x:v>
      </x:c>
      <x:c r="F10" s="74" t="str">
        <x:v>Wash salts; dry or compost</x:v>
      </x:c>
      <x:c r="G10" s="74" t="str">
        <x:v>Soil amendment</x:v>
      </x:c>
      <x:c r="H10" s="74" t="str">
        <x:v>Can be salty and waterlogged</x:v>
      </x:c>
      <x:c r="I10" s="74" t="str">
        <x:v>H1</x:v>
      </x:c>
    </x:row>
    <x:row r="11" ht="40.5" customHeight="1">
      <x:c r="A11" s="74" t="str">
        <x:v>MR-007</x:v>
      </x:c>
      <x:c r="B11" s="74" t="str">
        <x:v>Bark fiber</x:v>
      </x:c>
      <x:c r="C11" s="74" t="str">
        <x:v>plant fiber</x:v>
      </x:c>
      <x:c r="D11" s="74" t="str">
        <x:v>Cordage; mat; basket</x:v>
      </x:c>
      <x:c r="E11" s="74" t="str">
        <x:v>Bark cloth; paper pulp</x:v>
      </x:c>
      <x:c r="F11" s="74" t="str">
        <x:v>Strip; ret; beat; dry</x:v>
      </x:c>
      <x:c r="G11" s="74" t="str">
        <x:v>Tinder or compost</x:v>
      </x:c>
      <x:c r="H11" s="74" t="str">
        <x:v>Harvest must not ring-bark living trees</x:v>
      </x:c>
      <x:c r="I11" s="74" t="str">
        <x:v>H1</x:v>
      </x:c>
    </x:row>
    <x:row r="12" ht="40.5" customHeight="1">
      <x:c r="A12" s="74" t="str">
        <x:v>MR-008</x:v>
      </x:c>
      <x:c r="B12" s="74" t="str">
        <x:v>Tannin-rich bark</x:v>
      </x:c>
      <x:c r="C12" s="74" t="str">
        <x:v>plant chemical feedstock</x:v>
      </x:c>
      <x:c r="D12" s="74" t="str">
        <x:v>Hide tanning bath</x:v>
      </x:c>
      <x:c r="E12" s="74" t="str">
        <x:v>Dye; preservative experiment</x:v>
      </x:c>
      <x:c r="F12" s="74" t="str">
        <x:v>Chip; steep; concentrate; test</x:v>
      </x:c>
      <x:c r="G12" s="74" t="str">
        <x:v>Compost exhausted bark</x:v>
      </x:c>
      <x:c r="H12" s="74" t="str">
        <x:v>Species chemistry varies; skin irritant</x:v>
      </x:c>
      <x:c r="I12" s="74" t="str">
        <x:v>H2</x:v>
      </x:c>
    </x:row>
    <x:row r="13" ht="40.5" customHeight="1">
      <x:c r="A13" s="74" t="str">
        <x:v>MR-009</x:v>
      </x:c>
      <x:c r="B13" s="74" t="str">
        <x:v>Plant resin</x:v>
      </x:c>
      <x:c r="C13" s="74" t="str">
        <x:v>sticky resin</x:v>
      </x:c>
      <x:c r="D13" s="74" t="str">
        <x:v>Adhesive and tinder</x:v>
      </x:c>
      <x:c r="E13" s="74" t="str">
        <x:v>Pitch sealant; varnish</x:v>
      </x:c>
      <x:c r="F13" s="74" t="str">
        <x:v>Clean; melt gently; blend with fiber and charcoal</x:v>
      </x:c>
      <x:c r="G13" s="74" t="str">
        <x:v>Fuel under ventilation</x:v>
      </x:c>
      <x:c r="H13" s="74" t="str">
        <x:v>Flammable and fuming</x:v>
      </x:c>
      <x:c r="I13" s="74" t="str">
        <x:v>H1</x:v>
      </x:c>
    </x:row>
    <x:row r="14" ht="40.5" customHeight="1">
      <x:c r="A14" s="74" t="str">
        <x:v>MR-010</x:v>
      </x:c>
      <x:c r="B14" s="74" t="str">
        <x:v>Latex or plant sap</x:v>
      </x:c>
      <x:c r="C14" s="74" t="str">
        <x:v>liquid polymer feedstock</x:v>
      </x:c>
      <x:c r="D14" s="74" t="str">
        <x:v>Adhesive test; waterproof coating</x:v>
      </x:c>
      <x:c r="E14" s="74" t="str">
        <x:v>Elastic strip only after proven cure</x:v>
      </x:c>
      <x:c r="F14" s="74" t="str">
        <x:v>Collect; filter; cure; test</x:v>
      </x:c>
      <x:c r="G14" s="74" t="str">
        <x:v>Compost or isolate failures</x:v>
      </x:c>
      <x:c r="H14" s="74" t="str">
        <x:v>Allergy and unknown toxicity</x:v>
      </x:c>
      <x:c r="I14" s="74" t="str">
        <x:v>H3</x:v>
      </x:c>
    </x:row>
    <x:row r="15" ht="40.5" customHeight="1">
      <x:c r="A15" s="74" t="str">
        <x:v>MR-011</x:v>
      </x:c>
      <x:c r="B15" s="74" t="str">
        <x:v>Charcoal</x:v>
      </x:c>
      <x:c r="C15" s="74" t="str">
        <x:v>carbon</x:v>
      </x:c>
      <x:c r="D15" s="74" t="str">
        <x:v>Clean fuel; pigment; odor adsorbent prefilter</x:v>
      </x:c>
      <x:c r="E15" s="74" t="str">
        <x:v>Forge fuel; electrode experiments</x:v>
      </x:c>
      <x:c r="F15" s="74" t="str">
        <x:v>Pyrolyze wood with limited oxygen; cool sealed</x:v>
      </x:c>
      <x:c r="G15" s="74" t="str">
        <x:v>Ash</x:v>
      </x:c>
      <x:c r="H15" s="74" t="str">
        <x:v>Carbon monoxide during production</x:v>
      </x:c>
      <x:c r="I15" s="74" t="str">
        <x:v>H2</x:v>
      </x:c>
    </x:row>
    <x:row r="16" ht="40.5" customHeight="1">
      <x:c r="A16" s="74" t="str">
        <x:v>MR-012</x:v>
      </x:c>
      <x:c r="B16" s="74" t="str">
        <x:v>Wood ash</x:v>
      </x:c>
      <x:c r="C16" s="74" t="str">
        <x:v>alkaline mineral</x:v>
      </x:c>
      <x:c r="D16" s="74" t="str">
        <x:v>Clean greasy tools; amend acidic soil after testing</x:v>
      </x:c>
      <x:c r="E16" s="74" t="str">
        <x:v>Lye route; soap; glass or glaze flux</x:v>
      </x:c>
      <x:c r="F16" s="74" t="str">
        <x:v>Screen; leach carefully</x:v>
      </x:c>
      <x:c r="G16" s="74" t="str">
        <x:v>Return small tested amounts to soil</x:v>
      </x:c>
      <x:c r="H16" s="74" t="str">
        <x:v>Caustic solution; not food salt</x:v>
      </x:c>
      <x:c r="I16" s="74" t="str">
        <x:v>H2</x:v>
      </x:c>
    </x:row>
    <x:row r="17" ht="40.5" customHeight="1">
      <x:c r="A17" s="74" t="str">
        <x:v>MR-013</x:v>
      </x:c>
      <x:c r="B17" s="74" t="str">
        <x:v>Clay</x:v>
      </x:c>
      <x:c r="C17" s="74" t="str">
        <x:v>plastic mineral</x:v>
      </x:c>
      <x:c r="D17" s="74" t="str">
        <x:v>Daub; hearth seal; pottery</x:v>
      </x:c>
      <x:c r="E17" s="74" t="str">
        <x:v>Crucible; kiln brick; ceramic filter body</x:v>
      </x:c>
      <x:c r="F17" s="74" t="str">
        <x:v>Slake; screen; temper; form; dry; fire</x:v>
      </x:c>
      <x:c r="G17" s="74" t="str">
        <x:v>Grog or aggregate</x:v>
      </x:c>
      <x:c r="H17" s="74" t="str">
        <x:v>Unknown clay may crack or leach</x:v>
      </x:c>
      <x:c r="I17" s="74" t="str">
        <x:v>H2</x:v>
      </x:c>
    </x:row>
    <x:row r="18" ht="40.5" customHeight="1">
      <x:c r="A18" s="74" t="str">
        <x:v>MR-014</x:v>
      </x:c>
      <x:c r="B18" s="74" t="str">
        <x:v>Shell lime</x:v>
      </x:c>
      <x:c r="C18" s="74" t="str">
        <x:v>caustic mineral</x:v>
      </x:c>
      <x:c r="D18" s="74" t="str">
        <x:v>Mortar; whitewash; hide dehairing process</x:v>
      </x:c>
      <x:c r="E18" s="74" t="str">
        <x:v>Soil amendment; sanitation surfaces</x:v>
      </x:c>
      <x:c r="F18" s="74" t="str">
        <x:v>Calcine shell; slake; age; test</x:v>
      </x:c>
      <x:c r="G18" s="74" t="str">
        <x:v>Carbonated rubble</x:v>
      </x:c>
      <x:c r="H18" s="74" t="str">
        <x:v>Severe caustic burn; dust</x:v>
      </x:c>
      <x:c r="I18" s="74" t="str">
        <x:v>H4</x:v>
      </x:c>
    </x:row>
    <x:row r="19" ht="40.5" customHeight="1">
      <x:c r="A19" s="74" t="str">
        <x:v>MR-015</x:v>
      </x:c>
      <x:c r="B19" s="74" t="str">
        <x:v>Clean sand</x:v>
      </x:c>
      <x:c r="C19" s="74" t="str">
        <x:v>graded mineral</x:v>
      </x:c>
      <x:c r="D19" s="74" t="str">
        <x:v>Abrasive; drainage; casting mold</x:v>
      </x:c>
      <x:c r="E19" s="74" t="str">
        <x:v>Mortar; filtration support; glass route</x:v>
      </x:c>
      <x:c r="F19" s="74" t="str">
        <x:v>Wash; grade; dry</x:v>
      </x:c>
      <x:c r="G19" s="74" t="str">
        <x:v>Aggregate</x:v>
      </x:c>
      <x:c r="H19" s="74" t="str">
        <x:v>Silica dust; filter support does not disinfect</x:v>
      </x:c>
      <x:c r="I19" s="74" t="str">
        <x:v>H0</x:v>
      </x:c>
    </x:row>
    <x:row r="20" ht="40.5" customHeight="1">
      <x:c r="A20" s="74" t="str">
        <x:v>MR-016</x:v>
      </x:c>
      <x:c r="B20" s="74" t="str">
        <x:v>Animal hide</x:v>
      </x:c>
      <x:c r="C20" s="74" t="str">
        <x:v>fresh skin</x:v>
      </x:c>
      <x:c r="D20" s="74" t="str">
        <x:v>Immediate shelter or wrap only briefly</x:v>
      </x:c>
      <x:c r="E20" s="74" t="str">
        <x:v>Rawhide; fur-on hide; leather</x:v>
      </x:c>
      <x:c r="F20" s="74" t="str">
        <x:v>Skin; flesh; wash; preserve quickly</x:v>
      </x:c>
      <x:c r="G20" s="74" t="str">
        <x:v>Glue or compost unusable scraps</x:v>
      </x:c>
      <x:c r="H20" s="74" t="str">
        <x:v>Rapid decay; disease; odor</x:v>
      </x:c>
      <x:c r="I20" s="74" t="str">
        <x:v>H1</x:v>
      </x:c>
    </x:row>
    <x:row r="21" ht="40.5" customHeight="1">
      <x:c r="A21" s="74" t="str">
        <x:v>MR-017</x:v>
      </x:c>
      <x:c r="B21" s="74" t="str">
        <x:v>Rawhide</x:v>
      </x:c>
      <x:c r="C21" s="74" t="str">
        <x:v>dried untanned hide</x:v>
      </x:c>
      <x:c r="D21" s="74" t="str">
        <x:v>Strong lashings; bindings; drum or container</x:v>
      </x:c>
      <x:c r="E21" s="74" t="str">
        <x:v>Shield facing; hinge; repair patch</x:v>
      </x:c>
      <x:c r="F21" s="74" t="str">
        <x:v>Cut wet; form; dry under tension</x:v>
      </x:c>
      <x:c r="G21" s="74" t="str">
        <x:v>Glue feedstock</x:v>
      </x:c>
      <x:c r="H21" s="74" t="str">
        <x:v>Shrinks and stiffens when wet-dry cycled</x:v>
      </x:c>
      <x:c r="I21" s="74" t="str">
        <x:v>H2</x:v>
      </x:c>
    </x:row>
    <x:row r="22" ht="40.5" customHeight="1">
      <x:c r="A22" s="74" t="str">
        <x:v>MR-018</x:v>
      </x:c>
      <x:c r="B22" s="74" t="str">
        <x:v>Tanned leather</x:v>
      </x:c>
      <x:c r="C22" s="74" t="str">
        <x:v>stable hide</x:v>
      </x:c>
      <x:c r="D22" s="74" t="str">
        <x:v>Straps; footwear; sheaths; bellows; gaskets</x:v>
      </x:c>
      <x:c r="E22" s="74" t="str">
        <x:v>Buckets; hinges; pump cups</x:v>
      </x:c>
      <x:c r="F22" s="74" t="str">
        <x:v>Cut; punch; stitch; oil</x:v>
      </x:c>
      <x:c r="G22" s="74" t="str">
        <x:v>Small patches; glue feedstock</x:v>
      </x:c>
      <x:c r="H22" s="74" t="str">
        <x:v>Not heatproof; salt and mold damage</x:v>
      </x:c>
      <x:c r="I22" s="74" t="str">
        <x:v>H2</x:v>
      </x:c>
    </x:row>
    <x:row r="23" ht="40.5" customHeight="1">
      <x:c r="A23" s="74" t="str">
        <x:v>MR-019</x:v>
      </x:c>
      <x:c r="B23" s="74" t="str">
        <x:v>Fur-on hide</x:v>
      </x:c>
      <x:c r="C23" s="74" t="str">
        <x:v>insulating hide</x:v>
      </x:c>
      <x:c r="D23" s="74" t="str">
        <x:v>Bedding; clothing; insulation</x:v>
      </x:c>
      <x:c r="E23" s="74" t="str">
        <x:v>Pack liner; mitts</x:v>
      </x:c>
      <x:c r="F23" s="74" t="str">
        <x:v>Scrape; cure; smoke or tan</x:v>
      </x:c>
      <x:c r="G23" s="74" t="str">
        <x:v>Felt or glue scraps</x:v>
      </x:c>
      <x:c r="H23" s="74" t="str">
        <x:v>Parasites; moisture retention</x:v>
      </x:c>
      <x:c r="I23" s="74" t="str">
        <x:v>H2</x:v>
      </x:c>
    </x:row>
    <x:row r="24" ht="40.5" customHeight="1">
      <x:c r="A24" s="74" t="str">
        <x:v>MR-020</x:v>
      </x:c>
      <x:c r="B24" s="74" t="str">
        <x:v>Sinew</x:v>
      </x:c>
      <x:c r="C24" s="74" t="str">
        <x:v>animal tendon</x:v>
      </x:c>
      <x:c r="D24" s="74" t="str">
        <x:v>Fine strong binding; bow backing; sewing thread</x:v>
      </x:c>
      <x:c r="E24" s="74" t="str">
        <x:v>Composite tool hafting</x:v>
      </x:c>
      <x:c r="F24" s="74" t="str">
        <x:v>Clean; dry; pound; split; wet before use</x:v>
      </x:c>
      <x:c r="G24" s="74" t="str">
        <x:v>Glue feedstock</x:v>
      </x:c>
      <x:c r="H24" s="74" t="str">
        <x:v>Weakens when wet unless protected</x:v>
      </x:c>
      <x:c r="I24" s="74" t="str">
        <x:v>H2</x:v>
      </x:c>
    </x:row>
    <x:row r="25" ht="40.5" customHeight="1">
      <x:c r="A25" s="74" t="str">
        <x:v>MR-021</x:v>
      </x:c>
      <x:c r="B25" s="74" t="str">
        <x:v>Bone</x:v>
      </x:c>
      <x:c r="C25" s="74" t="str">
        <x:v>hard animal tissue</x:v>
      </x:c>
      <x:c r="D25" s="74" t="str">
        <x:v>Awl; needle; hook; point; button</x:v>
      </x:c>
      <x:c r="E25" s="74" t="str">
        <x:v>Handle; bead; glue; char</x:v>
      </x:c>
      <x:c r="F25" s="74" t="str">
        <x:v>Clean; boil; dry; saw; drill; polish</x:v>
      </x:c>
      <x:c r="G25" s="74" t="str">
        <x:v>Calcium or char</x:v>
      </x:c>
      <x:c r="H25" s="74" t="str">
        <x:v>Splinters; biological contamination</x:v>
      </x:c>
      <x:c r="I25" s="74" t="str">
        <x:v>H1</x:v>
      </x:c>
    </x:row>
    <x:row r="26" ht="40.5" customHeight="1">
      <x:c r="A26" s="74" t="str">
        <x:v>MR-022</x:v>
      </x:c>
      <x:c r="B26" s="74" t="str">
        <x:v>Antler or horn</x:v>
      </x:c>
      <x:c r="C26" s="74" t="str">
        <x:v>tough animal tissue</x:v>
      </x:c>
      <x:c r="D26" s="74" t="str">
        <x:v>Pressure flaker; wedge; handle; comb</x:v>
      </x:c>
      <x:c r="E26" s="74" t="str">
        <x:v>Hook; toggle; container</x:v>
      </x:c>
      <x:c r="F26" s="74" t="str">
        <x:v>Clean; saw; heat-form horn carefully</x:v>
      </x:c>
      <x:c r="G26" s="74" t="str">
        <x:v>Glue or char scraps</x:v>
      </x:c>
      <x:c r="H26" s="74" t="str">
        <x:v>Dust and odor; species limits</x:v>
      </x:c>
      <x:c r="I26" s="74" t="str">
        <x:v>H2</x:v>
      </x:c>
    </x:row>
    <x:row r="27" ht="40.5" customHeight="1">
      <x:c r="A27" s="74" t="str">
        <x:v>MR-023</x:v>
      </x:c>
      <x:c r="B27" s="74" t="str">
        <x:v>Animal tooth or claw</x:v>
      </x:c>
      <x:c r="C27" s="74" t="str">
        <x:v>hard animal tissue</x:v>
      </x:c>
      <x:c r="D27" s="74" t="str">
        <x:v>Small cutter; pendant; fish lure</x:v>
      </x:c>
      <x:c r="E27" s="74" t="str">
        <x:v>Inlay; punch tip</x:v>
      </x:c>
      <x:c r="F27" s="74" t="str">
        <x:v>Clean; drill; bind</x:v>
      </x:c>
      <x:c r="G27" s="74" t="str">
        <x:v>Char or discard</x:v>
      </x:c>
      <x:c r="H27" s="74" t="str">
        <x:v>Brittle; puncture</x:v>
      </x:c>
      <x:c r="I27" s="74" t="str">
        <x:v>H1</x:v>
      </x:c>
    </x:row>
    <x:row r="28" ht="40.5" customHeight="1">
      <x:c r="A28" s="74" t="str">
        <x:v>MR-024</x:v>
      </x:c>
      <x:c r="B28" s="74" t="str">
        <x:v>Animal fat</x:v>
      </x:c>
      <x:c r="C28" s="74" t="str">
        <x:v>fresh lipid</x:v>
      </x:c>
      <x:c r="D28" s="74" t="str">
        <x:v>Food where appropriate; preserve calories</x:v>
      </x:c>
      <x:c r="E28" s="74" t="str">
        <x:v>Tallow; soap; lamp fuel; leather dressing</x:v>
      </x:c>
      <x:c r="F28" s="74" t="str">
        <x:v>Render gently; filter; store cool</x:v>
      </x:c>
      <x:c r="G28" s="74" t="str">
        <x:v>Compost spoiled fraction</x:v>
      </x:c>
      <x:c r="H28" s="74" t="str">
        <x:v>Rancidity; fire</x:v>
      </x:c>
      <x:c r="I28" s="74" t="str">
        <x:v>H1</x:v>
      </x:c>
    </x:row>
    <x:row r="29" ht="40.5" customHeight="1">
      <x:c r="A29" s="74" t="str">
        <x:v>MR-025</x:v>
      </x:c>
      <x:c r="B29" s="74" t="str">
        <x:v>Tallow</x:v>
      </x:c>
      <x:c r="C29" s="74" t="str">
        <x:v>rendered fat</x:v>
      </x:c>
      <x:c r="D29" s="74" t="str">
        <x:v>Lamp fuel; grease; food if source and process safe</x:v>
      </x:c>
      <x:c r="E29" s="74" t="str">
        <x:v>Soap; waterproofing blend; rust barrier</x:v>
      </x:c>
      <x:c r="F29" s="74" t="str">
        <x:v>Render; filter; harden</x:v>
      </x:c>
      <x:c r="G29" s="74" t="str">
        <x:v>Fuel or compost</x:v>
      </x:c>
      <x:c r="H29" s="74" t="str">
        <x:v>Attracts animals; rancid contamination</x:v>
      </x:c>
      <x:c r="I29" s="74" t="str">
        <x:v>H2</x:v>
      </x:c>
    </x:row>
    <x:row r="30" ht="40.5" customHeight="1">
      <x:c r="A30" s="74" t="str">
        <x:v>MR-026</x:v>
      </x:c>
      <x:c r="B30" s="74" t="str">
        <x:v>Gut or intestine</x:v>
      </x:c>
      <x:c r="C30" s="74" t="str">
        <x:v>animal membrane</x:v>
      </x:c>
      <x:c r="D30" s="74" t="str">
        <x:v>Food casing where culturally and hygienically valid</x:v>
      </x:c>
      <x:c r="E30" s="74" t="str">
        <x:v>Cord; bowstring; container membrane</x:v>
      </x:c>
      <x:c r="F30" s="74" t="str">
        <x:v>Clean thoroughly; scrape; twist; dry</x:v>
      </x:c>
      <x:c r="G30" s="74" t="str">
        <x:v>Glue or compost</x:v>
      </x:c>
      <x:c r="H30" s="74" t="str">
        <x:v>High pathogen risk</x:v>
      </x:c>
      <x:c r="I30" s="74" t="str">
        <x:v>H3</x:v>
      </x:c>
    </x:row>
    <x:row r="31" ht="40.5" customHeight="1">
      <x:c r="A31" s="74" t="str">
        <x:v>MR-027</x:v>
      </x:c>
      <x:c r="B31" s="74" t="str">
        <x:v>Stomach or bladder</x:v>
      </x:c>
      <x:c r="C31" s="74" t="str">
        <x:v>animal membrane vessel</x:v>
      </x:c>
      <x:c r="D31" s="74" t="str">
        <x:v>Water or wet-cooking vessel after expert cleaning</x:v>
      </x:c>
      <x:c r="E31" s="74" t="str">
        <x:v>Float; pouch; bellows membrane</x:v>
      </x:c>
      <x:c r="F31" s="74" t="str">
        <x:v>Clean; scrape; inflate or suspend; dry</x:v>
      </x:c>
      <x:c r="G31" s="74" t="str">
        <x:v>Glue or compost</x:v>
      </x:c>
      <x:c r="H31" s="74" t="str">
        <x:v>Pathogens; leaks; heat limits</x:v>
      </x:c>
      <x:c r="I31" s="74" t="str">
        <x:v>H3</x:v>
      </x:c>
    </x:row>
    <x:row r="32" ht="40.5" customHeight="1">
      <x:c r="A32" s="74" t="str">
        <x:v>MR-028</x:v>
      </x:c>
      <x:c r="B32" s="74" t="str">
        <x:v>Feathers</x:v>
      </x:c>
      <x:c r="C32" s="74" t="str">
        <x:v>keratin fiber</x:v>
      </x:c>
      <x:c r="D32" s="74" t="str">
        <x:v>Arrow vanes; insulation; fishing lure</x:v>
      </x:c>
      <x:c r="E32" s="74" t="str">
        <x:v>Brush; decoration; bedding fill</x:v>
      </x:c>
      <x:c r="F32" s="74" t="str">
        <x:v>Clean; dry; sort; split quills</x:v>
      </x:c>
      <x:c r="G32" s="74" t="str">
        <x:v>Compost or char</x:v>
      </x:c>
      <x:c r="H32" s="74" t="str">
        <x:v>Parasites; poor when wet</x:v>
      </x:c>
      <x:c r="I32" s="74" t="str">
        <x:v>H1</x:v>
      </x:c>
    </x:row>
    <x:row r="33" ht="40.5" customHeight="1">
      <x:c r="A33" s="74" t="str">
        <x:v>MR-029</x:v>
      </x:c>
      <x:c r="B33" s="74" t="str">
        <x:v>Hair or wool</x:v>
      </x:c>
      <x:c r="C33" s="74" t="str">
        <x:v>animal fiber</x:v>
      </x:c>
      <x:c r="D33" s="74" t="str">
        <x:v>Insulation; stuffing; felt</x:v>
      </x:c>
      <x:c r="E33" s="74" t="str">
        <x:v>Yarn; brush; cord blend</x:v>
      </x:c>
      <x:c r="F33" s="74" t="str">
        <x:v>Clean; card; spin or felt</x:v>
      </x:c>
      <x:c r="G33" s="74" t="str">
        <x:v>Compost</x:v>
      </x:c>
      <x:c r="H33" s="74" t="str">
        <x:v>Moths; odor; allergies</x:v>
      </x:c>
      <x:c r="I33" s="74" t="str">
        <x:v>H1</x:v>
      </x:c>
    </x:row>
    <x:row r="34" ht="40.5" customHeight="1">
      <x:c r="A34" s="74" t="str">
        <x:v>MR-030</x:v>
      </x:c>
      <x:c r="B34" s="74" t="str">
        <x:v>Fish oil</x:v>
      </x:c>
      <x:c r="C34" s="74" t="str">
        <x:v>marine lipid</x:v>
      </x:c>
      <x:c r="D34" s="74" t="str">
        <x:v>Lamp fuel; leather dressing experiment</x:v>
      </x:c>
      <x:c r="E34" s="74" t="str">
        <x:v>Soap; bait scent</x:v>
      </x:c>
      <x:c r="F34" s="74" t="str">
        <x:v>Render; filter; store cool</x:v>
      </x:c>
      <x:c r="G34" s="74" t="str">
        <x:v>Fuel or compost</x:v>
      </x:c>
      <x:c r="H34" s="74" t="str">
        <x:v>Rancidity; smoke; attracts animals</x:v>
      </x:c>
      <x:c r="I34" s="74" t="str">
        <x:v>H2</x:v>
      </x:c>
    </x:row>
    <x:row r="35" ht="40.5" customHeight="1">
      <x:c r="A35" s="74" t="str">
        <x:v>MR-031</x:v>
      </x:c>
      <x:c r="B35" s="74" t="str">
        <x:v>Fish scales</x:v>
      </x:c>
      <x:c r="C35" s="74" t="str">
        <x:v>mineralized skin</x:v>
      </x:c>
      <x:c r="D35" s="74" t="str">
        <x:v>Decoration; lure flash; glue filler</x:v>
      </x:c>
      <x:c r="E35" s="74" t="str">
        <x:v>Small composite or pigment experiment</x:v>
      </x:c>
      <x:c r="F35" s="74" t="str">
        <x:v>Wash; dry; grind or layer</x:v>
      </x:c>
      <x:c r="G35" s="74" t="str">
        <x:v>Compost</x:v>
      </x:c>
      <x:c r="H35" s="74" t="str">
        <x:v>Sharp edges; odor</x:v>
      </x:c>
      <x:c r="I35" s="74" t="str">
        <x:v>H1</x:v>
      </x:c>
    </x:row>
    <x:row r="36" ht="40.5" customHeight="1">
      <x:c r="A36" s="74" t="str">
        <x:v>MR-032</x:v>
      </x:c>
      <x:c r="B36" s="74" t="str">
        <x:v>Crab or lobster shell</x:v>
      </x:c>
      <x:c r="C36" s="74" t="str">
        <x:v>chitin mineral</x:v>
      </x:c>
      <x:c r="D36" s="74" t="str">
        <x:v>Bait; small scoop; pigment</x:v>
      </x:c>
      <x:c r="E36" s="74" t="str">
        <x:v>Chitin or lime experiment; soil amendment</x:v>
      </x:c>
      <x:c r="F36" s="74" t="str">
        <x:v>Wash; dry; grind; heat only in controlled route</x:v>
      </x:c>
      <x:c r="G36" s="74" t="str">
        <x:v>Compost</x:v>
      </x:c>
      <x:c r="H36" s="74" t="str">
        <x:v>Allergen; odor; sharp edges</x:v>
      </x:c>
      <x:c r="I36" s="74" t="str">
        <x:v>H2</x:v>
      </x:c>
    </x:row>
    <x:row r="37" ht="40.5" customHeight="1">
      <x:c r="A37" s="74" t="str">
        <x:v>MR-033</x:v>
      </x:c>
      <x:c r="B37" s="74" t="str">
        <x:v>Clean cloth panel</x:v>
      </x:c>
      <x:c r="C37" s="74" t="str">
        <x:v>textile</x:v>
      </x:c>
      <x:c r="D37" s="74" t="str">
        <x:v>Clothing; shade; bag; patch</x:v>
      </x:c>
      <x:c r="E37" s="74" t="str">
        <x:v>Bandage only if sterilized and suitable; wick; filter prelayer</x:v>
      </x:c>
      <x:c r="F37" s="74" t="str">
        <x:v>Wash; identify fiber; dry; cut; stitch</x:v>
      </x:c>
      <x:c r="G37" s="74" t="str">
        <x:v>Rag; char cloth only from suitable natural fiber</x:v>
      </x:c>
      <x:c r="H37" s="74" t="str">
        <x:v>Synthetic cloth melts and fumes</x:v>
      </x:c>
      <x:c r="I37" s="74" t="str">
        <x:v>H1</x:v>
      </x:c>
    </x:row>
    <x:row r="38" ht="40.5" customHeight="1">
      <x:c r="A38" s="74" t="str">
        <x:v>MR-034</x:v>
      </x:c>
      <x:c r="B38" s="74" t="str">
        <x:v>Canvas</x:v>
      </x:c>
      <x:c r="C38" s="74" t="str">
        <x:v>heavy textile</x:v>
      </x:c>
      <x:c r="D38" s="74" t="str">
        <x:v>Tarp; sail; pack; bucket</x:v>
      </x:c>
      <x:c r="E38" s="74" t="str">
        <x:v>Bellows; hose jacket; work apron</x:v>
      </x:c>
      <x:c r="F38" s="74" t="str">
        <x:v>Wash; patch; wax or oil selectively</x:v>
      </x:c>
      <x:c r="G38" s="74" t="str">
        <x:v>Rags; fiber recovery</x:v>
      </x:c>
      <x:c r="H38" s="74" t="str">
        <x:v>Coatings may be toxic when heated</x:v>
      </x:c>
      <x:c r="I38" s="74" t="str">
        <x:v>H1</x:v>
      </x:c>
    </x:row>
    <x:row r="39" ht="40.5" customHeight="1">
      <x:c r="A39" s="74" t="str">
        <x:v>MR-035</x:v>
      </x:c>
      <x:c r="B39" s="74" t="str">
        <x:v>Sailcloth</x:v>
      </x:c>
      <x:c r="C39" s="74" t="str">
        <x:v>engineered textile</x:v>
      </x:c>
      <x:c r="D39" s="74" t="str">
        <x:v>Sail repair; rain catch; shade</x:v>
      </x:c>
      <x:c r="E39" s="74" t="str">
        <x:v>Strong bags; straps; wind rotor experiment</x:v>
      </x:c>
      <x:c r="F39" s="74" t="str">
        <x:v>Map load direction; wash; stitch with reinforcement</x:v>
      </x:c>
      <x:c r="G39" s="74" t="str">
        <x:v>Patches; cord edge</x:v>
      </x:c>
      <x:c r="H39" s="74" t="str">
        <x:v>UV and crash loads are hidden</x:v>
      </x:c>
      <x:c r="I39" s="74" t="str">
        <x:v>H2</x:v>
      </x:c>
    </x:row>
    <x:row r="40" ht="40.5" customHeight="1">
      <x:c r="A40" s="74" t="str">
        <x:v>MR-036</x:v>
      </x:c>
      <x:c r="B40" s="74" t="str">
        <x:v>Webbing</x:v>
      </x:c>
      <x:c r="C40" s="74" t="str">
        <x:v>woven strap</x:v>
      </x:c>
      <x:c r="D40" s="74" t="str">
        <x:v>Tie-down; pack strap; sling seat</x:v>
      </x:c>
      <x:c r="E40" s="74" t="str">
        <x:v>Hinges; handles; litter</x:v>
      </x:c>
      <x:c r="F40" s="74" t="str">
        <x:v>Inspect edges and stitching; sew or buckle</x:v>
      </x:c>
      <x:c r="G40" s="74" t="str">
        <x:v>Short loops</x:v>
      </x:c>
      <x:c r="H40" s="74" t="str">
        <x:v>Never assume climbing or rescue rating</x:v>
      </x:c>
      <x:c r="I40" s="74" t="str">
        <x:v>H2</x:v>
      </x:c>
    </x:row>
    <x:row r="41" ht="40.5" customHeight="1">
      <x:c r="A41" s="74" t="str">
        <x:v>MR-037</x:v>
      </x:c>
      <x:c r="B41" s="74" t="str">
        <x:v>Polymer rope</x:v>
      </x:c>
      <x:c r="C41" s="74" t="str">
        <x:v>synthetic fiber</x:v>
      </x:c>
      <x:c r="D41" s="74" t="str">
        <x:v>Rigging; hauling; nets</x:v>
      </x:c>
      <x:c r="E41" s="74" t="str">
        <x:v>Straps; lashings; line drive</x:v>
      </x:c>
      <x:c r="F41" s="74" t="str">
        <x:v>Wash; inspect; splice; proof load</x:v>
      </x:c>
      <x:c r="G41" s="74" t="str">
        <x:v>Short cord; controlled disposal</x:v>
      </x:c>
      <x:c r="H41" s="74" t="str">
        <x:v>UV damage and entanglement</x:v>
      </x:c>
      <x:c r="I41" s="74" t="str">
        <x:v>H2</x:v>
      </x:c>
    </x:row>
    <x:row r="42" ht="40.5" customHeight="1">
      <x:c r="A42" s="74" t="str">
        <x:v>MR-038</x:v>
      </x:c>
      <x:c r="B42" s="74" t="str">
        <x:v>Steel wire rope</x:v>
      </x:c>
      <x:c r="C42" s="74" t="str">
        <x:v>steel cable</x:v>
      </x:c>
      <x:c r="D42" s="74" t="str">
        <x:v>Guy; winch; lifting only after rating and proof</x:v>
      </x:c>
      <x:c r="E42" s="74" t="str">
        <x:v>Reinforcement; control cable</x:v>
      </x:c>
      <x:c r="F42" s="74" t="str">
        <x:v>Clean; inspect every strand; terminate correctly</x:v>
      </x:c>
      <x:c r="G42" s="74" t="str">
        <x:v>Short wire; scrap steel</x:v>
      </x:c>
      <x:c r="H42" s="74" t="str">
        <x:v>Stored energy and broken-wire puncture</x:v>
      </x:c>
      <x:c r="I42" s="74" t="str">
        <x:v>H4</x:v>
      </x:c>
    </x:row>
    <x:row r="43" ht="40.5" customHeight="1">
      <x:c r="A43" s="74" t="str">
        <x:v>MR-039</x:v>
      </x:c>
      <x:c r="B43" s="74" t="str">
        <x:v>Steel sheet</x:v>
      </x:c>
      <x:c r="C43" s="74" t="str">
        <x:v>ferrous sheet</x:v>
      </x:c>
      <x:c r="D43" s="74" t="str">
        <x:v>Stove; bracket; roof; shield; work surface</x:v>
      </x:c>
      <x:c r="E43" s="74" t="str">
        <x:v>Duct; hopper; tank that is not pressurized</x:v>
      </x:c>
      <x:c r="F43" s="74" t="str">
        <x:v>Descale; flatten; mark; cut; deburr; bend</x:v>
      </x:c>
      <x:c r="G43" s="74" t="str">
        <x:v>Forge stock; scrap</x:v>
      </x:c>
      <x:c r="H43" s="74" t="str">
        <x:v>Paint; rust; sharp edge; not automatically boiler-safe</x:v>
      </x:c>
      <x:c r="I43" s="74" t="str">
        <x:v>H3</x:v>
      </x:c>
    </x:row>
    <x:row r="44" ht="40.5" customHeight="1">
      <x:c r="A44" s="74" t="str">
        <x:v>MR-040</x:v>
      </x:c>
      <x:c r="B44" s="74" t="str">
        <x:v>Aluminum sheet</x:v>
      </x:c>
      <x:c r="C44" s="74" t="str">
        <x:v>non-ferrous sheet</x:v>
      </x:c>
      <x:c r="D44" s="74" t="str">
        <x:v>Roof; gutter; reflector; tray; light panel</x:v>
      </x:c>
      <x:c r="E44" s="74" t="str">
        <x:v>Brackets; fins; ducts; non-pressure tank</x:v>
      </x:c>
      <x:c r="F44" s="74" t="str">
        <x:v>Clean; inspect fatigue; cut; deburr; bend</x:v>
      </x:c>
      <x:c r="G44" s="74" t="str">
        <x:v>Remelt only in advanced route</x:v>
      </x:c>
      <x:c r="H44" s="74" t="str">
        <x:v>Fatigue cracks; coatings; low hot strength</x:v>
      </x:c>
      <x:c r="I44" s="74" t="str">
        <x:v>H2</x:v>
      </x:c>
    </x:row>
    <x:row r="45" ht="40.5" customHeight="1">
      <x:c r="A45" s="74" t="str">
        <x:v>MR-041</x:v>
      </x:c>
      <x:c r="B45" s="74" t="str">
        <x:v>Copper sheet</x:v>
      </x:c>
      <x:c r="C45" s="74" t="str">
        <x:v>non-ferrous sheet</x:v>
      </x:c>
      <x:c r="D45" s="74" t="str">
        <x:v>Heat spreader; gasket; conductor</x:v>
      </x:c>
      <x:c r="E45" s="74" t="str">
        <x:v>Vessel liner; flashing; electrode</x:v>
      </x:c>
      <x:c r="F45" s="74" t="str">
        <x:v>Anneal; cut; hammer; clean</x:v>
      </x:c>
      <x:c r="G45" s="74" t="str">
        <x:v>Remelt or wire stock</x:v>
      </x:c>
      <x:c r="H45" s="74" t="str">
        <x:v>Work hardening; contamination</x:v>
      </x:c>
      <x:c r="I45" s="74" t="str">
        <x:v>H3</x:v>
      </x:c>
    </x:row>
    <x:row r="46" ht="40.5" customHeight="1">
      <x:c r="A46" s="74" t="str">
        <x:v>MR-042</x:v>
      </x:c>
      <x:c r="B46" s="74" t="str">
        <x:v>Copper tube</x:v>
      </x:c>
      <x:c r="C46" s="74" t="str">
        <x:v>non-ferrous tube</x:v>
      </x:c>
      <x:c r="D46" s="74" t="str">
        <x:v>Condenser; heat exchanger; water line after proof</x:v>
      </x:c>
      <x:c r="E46" s="74" t="str">
        <x:v>Coil; nozzle; conductor</x:v>
      </x:c>
      <x:c r="F46" s="74" t="str">
        <x:v>Flush; anneal; bend with support; flare</x:v>
      </x:c>
      <x:c r="G46" s="74" t="str">
        <x:v>Sheet or scrap</x:v>
      </x:c>
      <x:c r="H46" s="74" t="str">
        <x:v>Prior fuel or refrigerant service</x:v>
      </x:c>
      <x:c r="I46" s="74" t="str">
        <x:v>H3</x:v>
      </x:c>
    </x:row>
    <x:row r="47" ht="40.5" customHeight="1">
      <x:c r="A47" s="74" t="str">
        <x:v>MR-043</x:v>
      </x:c>
      <x:c r="B47" s="74" t="str">
        <x:v>Brass fitting</x:v>
      </x:c>
      <x:c r="C47" s="74" t="str">
        <x:v>copper alloy hardware</x:v>
      </x:c>
      <x:c r="D47" s="74" t="str">
        <x:v>Water fitting; bushing; nozzle</x:v>
      </x:c>
      <x:c r="E47" s="74" t="str">
        <x:v>Instrument part; small casting stock</x:v>
      </x:c>
      <x:c r="F47" s="74" t="str">
        <x:v>Identify thread; clean; lap</x:v>
      </x:c>
      <x:c r="G47" s="74" t="str">
        <x:v>Remelt or scrap</x:v>
      </x:c>
      <x:c r="H47" s="74" t="str">
        <x:v>Lead may be present; dezincification</x:v>
      </x:c>
      <x:c r="I47" s="74" t="str">
        <x:v>H3</x:v>
      </x:c>
    </x:row>
    <x:row r="48" ht="40.5" customHeight="1">
      <x:c r="A48" s="74" t="str">
        <x:v>MR-044</x:v>
      </x:c>
      <x:c r="B48" s="74" t="str">
        <x:v>Stainless vessel</x:v>
      </x:c>
      <x:c r="C48" s="74" t="str">
        <x:v>food or chemical vessel</x:v>
      </x:c>
      <x:c r="D48" s="74" t="str">
        <x:v>Cookware or clean storage after provenance proof</x:v>
      </x:c>
      <x:c r="E48" s="74" t="str">
        <x:v>Sterilizer; distiller body; technical bath</x:v>
      </x:c>
      <x:c r="F48" s="74" t="str">
        <x:v>Clean; passivation check; leak test</x:v>
      </x:c>
      <x:c r="G48" s="74" t="str">
        <x:v>Sheet and handles</x:v>
      </x:c>
      <x:c r="H48" s="74" t="str">
        <x:v>Unknown prior chemical service</x:v>
      </x:c>
      <x:c r="I48" s="74" t="str">
        <x:v>H2</x:v>
      </x:c>
    </x:row>
    <x:row r="49" ht="40.5" customHeight="1">
      <x:c r="A49" s="74" t="str">
        <x:v>MR-045</x:v>
      </x:c>
      <x:c r="B49" s="74" t="str">
        <x:v>Screw</x:v>
      </x:c>
      <x:c r="C49" s="74" t="str">
        <x:v>threaded fastener</x:v>
      </x:c>
      <x:c r="D49" s="74" t="str">
        <x:v>Removable joint; clamp; adjustment</x:v>
      </x:c>
      <x:c r="E49" s="74" t="str">
        <x:v>Electrical terminal; jig stop</x:v>
      </x:c>
      <x:c r="F49" s="74" t="str">
        <x:v>Sort head; diameter; pitch; length; material</x:v>
      </x:c>
      <x:c r="G49" s="74" t="str">
        <x:v>Pin or scrap</x:v>
      </x:c>
      <x:c r="H49" s="74" t="str">
        <x:v>Head and thread standard must match tool and mate</x:v>
      </x:c>
      <x:c r="I49" s="74" t="str">
        <x:v>H2</x:v>
      </x:c>
    </x:row>
    <x:row r="50" ht="40.5" customHeight="1">
      <x:c r="A50" s="74" t="str">
        <x:v>MR-046</x:v>
      </x:c>
      <x:c r="B50" s="74" t="str">
        <x:v>Bolt and nut pair</x:v>
      </x:c>
      <x:c r="C50" s="74" t="str">
        <x:v>threaded fastener</x:v>
      </x:c>
      <x:c r="D50" s="74" t="str">
        <x:v>Structural removable joint</x:v>
      </x:c>
      <x:c r="E50" s="74" t="str">
        <x:v>Axle; hinge; clamp; engine mount</x:v>
      </x:c>
      <x:c r="F50" s="74" t="str">
        <x:v>Clean; gauge; grade; add washer and locking method</x:v>
      </x:c>
      <x:c r="G50" s="74" t="str">
        <x:v>Threaded rod; pins; scrap</x:v>
      </x:c>
      <x:c r="H50" s="74" t="str">
        <x:v>Unknown grade and fatigue history</x:v>
      </x:c>
      <x:c r="I50" s="74" t="str">
        <x:v>H3</x:v>
      </x:c>
    </x:row>
    <x:row r="51" ht="40.5" customHeight="1">
      <x:c r="A51" s="74" t="str">
        <x:v>MR-047</x:v>
      </x:c>
      <x:c r="B51" s="74" t="str">
        <x:v>Washer</x:v>
      </x:c>
      <x:c r="C51" s="74" t="str">
        <x:v>flat fastener</x:v>
      </x:c>
      <x:c r="D51" s="74" t="str">
        <x:v>Spread load; shim; spacer</x:v>
      </x:c>
      <x:c r="E51" s="74" t="str">
        <x:v>Terminal lug; gasket backup; counterweight</x:v>
      </x:c>
      <x:c r="F51" s="74" t="str">
        <x:v>Sort ID; OD; thickness; material</x:v>
      </x:c>
      <x:c r="G51" s="74" t="str">
        <x:v>Sheet coupon</x:v>
      </x:c>
      <x:c r="H51" s="74" t="str">
        <x:v>Mixed metals can corrode together</x:v>
      </x:c>
      <x:c r="I51" s="74" t="str">
        <x:v>H1</x:v>
      </x:c>
    </x:row>
    <x:row r="52" ht="40.5" customHeight="1">
      <x:c r="A52" s="74" t="str">
        <x:v>MR-048</x:v>
      </x:c>
      <x:c r="B52" s="74" t="str">
        <x:v>Rivet</x:v>
      </x:c>
      <x:c r="C52" s="74" t="str">
        <x:v>permanent fastener</x:v>
      </x:c>
      <x:c r="D52" s="74" t="str">
        <x:v>Join sheet with matched material and grip length</x:v>
      </x:c>
      <x:c r="E52" s="74" t="str">
        <x:v>Pivot pin; repair patch</x:v>
      </x:c>
      <x:c r="F52" s="74" t="str">
        <x:v>Sort alloy and size; drill; set with support</x:v>
      </x:c>
      <x:c r="G52" s="74" t="str">
        <x:v>Pin or scrap</x:v>
      </x:c>
      <x:c r="H52" s="74" t="str">
        <x:v>Needs access and correct setting force</x:v>
      </x:c>
      <x:c r="I52" s="74" t="str">
        <x:v>H3</x:v>
      </x:c>
    </x:row>
    <x:row r="53" ht="40.5" customHeight="1">
      <x:c r="A53" s="74" t="str">
        <x:v>MR-049</x:v>
      </x:c>
      <x:c r="B53" s="74" t="str">
        <x:v>Spring</x:v>
      </x:c>
      <x:c r="C53" s="74" t="str">
        <x:v>elastic metal</x:v>
      </x:c>
      <x:c r="D53" s="74" t="str">
        <x:v>Latch; valve; shock mount; tensioner</x:v>
      </x:c>
      <x:c r="E53" s="74" t="str">
        <x:v>Scale; timer; governor experiment</x:v>
      </x:c>
      <x:c r="F53" s="74" t="str">
        <x:v>Identify load direction; protect from corrosion</x:v>
      </x:c>
      <x:c r="G53" s="74" t="str">
        <x:v>Spring wire stock</x:v>
      </x:c>
      <x:c r="H53" s="74" t="str">
        <x:v>Stored energy; fatigue</x:v>
      </x:c>
      <x:c r="I53" s="74" t="str">
        <x:v>H3</x:v>
      </x:c>
    </x:row>
    <x:row r="54" ht="40.5" customHeight="1">
      <x:c r="A54" s="74" t="str">
        <x:v>MR-050</x:v>
      </x:c>
      <x:c r="B54" s="74" t="str">
        <x:v>Bearing</x:v>
      </x:c>
      <x:c r="C54" s="74" t="str">
        <x:v>machine element</x:v>
      </x:c>
      <x:c r="D54" s="74" t="str">
        <x:v>Support rotating shaft</x:v>
      </x:c>
      <x:c r="E54" s="74" t="str">
        <x:v>Pulley; wheel; generator; pump</x:v>
      </x:c>
      <x:c r="F54" s="74" t="str">
        <x:v>Clean; inspect; lubricate; align</x:v>
      </x:c>
      <x:c r="G54" s="74" t="str">
        <x:v>Steel balls and races</x:v>
      </x:c>
      <x:c r="H54" s="74" t="str">
        <x:v>Smooth unloaded spin does not prove load capacity</x:v>
      </x:c>
      <x:c r="I54" s="74" t="str">
        <x:v>H3</x:v>
      </x:c>
    </x:row>
    <x:row r="55" ht="40.5" customHeight="1">
      <x:c r="A55" s="74" t="str">
        <x:v>MR-051</x:v>
      </x:c>
      <x:c r="B55" s="74" t="str">
        <x:v>Gear pair</x:v>
      </x:c>
      <x:c r="C55" s="74" t="str">
        <x:v>machine element</x:v>
      </x:c>
      <x:c r="D55" s="74" t="str">
        <x:v>Change torque and speed</x:v>
      </x:c>
      <x:c r="E55" s="74" t="str">
        <x:v>Winch; mill; pump; engine timing</x:v>
      </x:c>
      <x:c r="F55" s="74" t="str">
        <x:v>Preserve matched pair; clean; align; guard</x:v>
      </x:c>
      <x:c r="G55" s="74" t="str">
        <x:v>Steel or polymer stock</x:v>
      </x:c>
      <x:c r="H55" s="74" t="str">
        <x:v>Mismatched pitch and worn teeth</x:v>
      </x:c>
      <x:c r="I55" s="74" t="str">
        <x:v>H4</x:v>
      </x:c>
    </x:row>
    <x:row r="56" ht="40.5" customHeight="1">
      <x:c r="A56" s="74" t="str">
        <x:v>MR-052</x:v>
      </x:c>
      <x:c r="B56" s="74" t="str">
        <x:v>Chain and sprocket set</x:v>
      </x:c>
      <x:c r="C56" s="74" t="str">
        <x:v>machine element</x:v>
      </x:c>
      <x:c r="D56" s="74" t="str">
        <x:v>Transmit power over distance</x:v>
      </x:c>
      <x:c r="E56" s="74" t="str">
        <x:v>Treadle; winch; generator drive</x:v>
      </x:c>
      <x:c r="F56" s="74" t="str">
        <x:v>Degrease; inspect; lubricate; align; guard</x:v>
      </x:c>
      <x:c r="G56" s="74" t="str">
        <x:v>Links and sprockets</x:v>
      </x:c>
      <x:c r="H56" s="74" t="str">
        <x:v>Pinch; thrown chain</x:v>
      </x:c>
      <x:c r="I56" s="74" t="str">
        <x:v>H3</x:v>
      </x:c>
    </x:row>
    <x:row r="57" ht="40.5" customHeight="1">
      <x:c r="A57" s="74" t="str">
        <x:v>MR-053</x:v>
      </x:c>
      <x:c r="B57" s="74" t="str">
        <x:v>Belt and pulley set</x:v>
      </x:c>
      <x:c r="C57" s="74" t="str">
        <x:v>machine element</x:v>
      </x:c>
      <x:c r="D57" s="74" t="str">
        <x:v>Quiet power transmission; speed change</x:v>
      </x:c>
      <x:c r="E57" s="74" t="str">
        <x:v>Treadle; lathe; pump; alternator</x:v>
      </x:c>
      <x:c r="F57" s="74" t="str">
        <x:v>Inspect; align; tension; guard</x:v>
      </x:c>
      <x:c r="G57" s="74" t="str">
        <x:v>Rubber and metal donor</x:v>
      </x:c>
      <x:c r="H57" s="74" t="str">
        <x:v>Entanglement; belt burst</x:v>
      </x:c>
      <x:c r="I57" s="74" t="str">
        <x:v>H3</x:v>
      </x:c>
    </x:row>
    <x:row r="58" ht="40.5" customHeight="1">
      <x:c r="A58" s="74" t="str">
        <x:v>MR-054</x:v>
      </x:c>
      <x:c r="B58" s="74" t="str">
        <x:v>DC motor</x:v>
      </x:c>
      <x:c r="C58" s="74" t="str">
        <x:v>electromechanical</x:v>
      </x:c>
      <x:c r="D58" s="74" t="str">
        <x:v>Mechanical power from electricity</x:v>
      </x:c>
      <x:c r="E58" s="74" t="str">
        <x:v>Generator experiment; fan; pump; lathe</x:v>
      </x:c>
      <x:c r="F58" s="74" t="str">
        <x:v>Dry; measure winding; service bearings; test gradually</x:v>
      </x:c>
      <x:c r="G58" s="74" t="str">
        <x:v>Copper; magnets; shaft</x:v>
      </x:c>
      <x:c r="H58" s="74" t="str">
        <x:v>Stall current and overspeed</x:v>
      </x:c>
      <x:c r="I58" s="74" t="str">
        <x:v>H4</x:v>
      </x:c>
    </x:row>
    <x:row r="59" ht="40.5" customHeight="1">
      <x:c r="A59" s="74" t="str">
        <x:v>MR-055</x:v>
      </x:c>
      <x:c r="B59" s="74" t="str">
        <x:v>Generator or alternator</x:v>
      </x:c>
      <x:c r="C59" s="74" t="str">
        <x:v>electromechanical</x:v>
      </x:c>
      <x:c r="D59" s="74" t="str">
        <x:v>Electricity from rotary power</x:v>
      </x:c>
      <x:c r="E59" s="74" t="str">
        <x:v>Charging; lighting; radio; tools</x:v>
      </x:c>
      <x:c r="F59" s="74" t="str">
        <x:v>Dry; inspect; service bearings; identify regulation; test</x:v>
      </x:c>
      <x:c r="G59" s="74" t="str">
        <x:v>Copper; magnets; rectifier</x:v>
      </x:c>
      <x:c r="H59" s="74" t="str">
        <x:v>Overspeed; high current; wrong voltage</x:v>
      </x:c>
      <x:c r="I59" s="74" t="str">
        <x:v>H4</x:v>
      </x:c>
    </x:row>
    <x:row r="60" ht="40.5" customHeight="1">
      <x:c r="A60" s="74" t="str">
        <x:v>MR-056</x:v>
      </x:c>
      <x:c r="B60" s="74" t="str">
        <x:v>Lead-acid battery</x:v>
      </x:c>
      <x:c r="C60" s="74" t="str">
        <x:v>electrochemical storage</x:v>
      </x:c>
      <x:c r="D60" s="74" t="str">
        <x:v>Buffer generation; start engines; power lights</x:v>
      </x:c>
      <x:c r="E60" s="74" t="str">
        <x:v>Lead recycle under specialist controls</x:v>
      </x:c>
      <x:c r="F60" s="74" t="str">
        <x:v>Isolate; inspect; charge correctly; load-test</x:v>
      </x:c>
      <x:c r="G60" s="74" t="str">
        <x:v>Hazard route only</x:v>
      </x:c>
      <x:c r="H60" s="74" t="str">
        <x:v>Acid; hydrogen; lead</x:v>
      </x:c>
      <x:c r="I60" s="74" t="str">
        <x:v>H5</x:v>
      </x:c>
    </x:row>
    <x:row r="61" ht="40.5" customHeight="1">
      <x:c r="A61" s="74" t="str">
        <x:v>MR-057</x:v>
      </x:c>
      <x:c r="B61" s="74" t="str">
        <x:v>Lithium battery</x:v>
      </x:c>
      <x:c r="C61" s="74" t="str">
        <x:v>electrochemical storage</x:v>
      </x:c>
      <x:c r="D61" s="74" t="str">
        <x:v>Portable storage only with intact protection and cells</x:v>
      </x:c>
      <x:c r="E61" s="74" t="str">
        <x:v>Specialist pack repair</x:v>
      </x:c>
      <x:c r="F61" s="74" t="str">
        <x:v>Isolate; inspect; charge with chemistry-specific controller</x:v>
      </x:c>
      <x:c r="G61" s="74" t="str">
        <x:v>Hazard route only</x:v>
      </x:c>
      <x:c r="H61" s="74" t="str">
        <x:v>Thermal runaway and toxic fire</x:v>
      </x:c>
      <x:c r="I61" s="74" t="str">
        <x:v>H6</x:v>
      </x:c>
    </x:row>
    <x:row r="62" ht="40.5" customHeight="1">
      <x:c r="A62" s="74" t="str">
        <x:v>MR-058</x:v>
      </x:c>
      <x:c r="B62" s="74" t="str">
        <x:v>Glass pane</x:v>
      </x:c>
      <x:c r="C62" s="74" t="str">
        <x:v>glass</x:v>
      </x:c>
      <x:c r="D62" s="74" t="str">
        <x:v>Window; shield; flat reference</x:v>
      </x:c>
      <x:c r="E62" s="74" t="str">
        <x:v>Solar enclosure; greenhouse</x:v>
      </x:c>
      <x:c r="F62" s="74" t="str">
        <x:v>Remove intact; protect edge; frame with gasket</x:v>
      </x:c>
      <x:c r="G62" s="74" t="str">
        <x:v>Cullet</x:v>
      </x:c>
      <x:c r="H62" s="74" t="str">
        <x:v>Cuts and thermal shock</x:v>
      </x:c>
      <x:c r="I62" s="74" t="str">
        <x:v>H2</x:v>
      </x:c>
    </x:row>
    <x:row r="63" ht="40.5" customHeight="1">
      <x:c r="A63" s="74" t="str">
        <x:v>MR-059</x:v>
      </x:c>
      <x:c r="B63" s="74" t="str">
        <x:v>Acrylic panel</x:v>
      </x:c>
      <x:c r="C63" s="74" t="str">
        <x:v>thermoplastic</x:v>
      </x:c>
      <x:c r="D63" s="74" t="str">
        <x:v>Window; splash shield; light guide</x:v>
      </x:c>
      <x:c r="E63" s="74" t="str">
        <x:v>Template; enclosure; lens experiments</x:v>
      </x:c>
      <x:c r="F63" s="74" t="str">
        <x:v>Cut slowly; drill with support; polish</x:v>
      </x:c>
      <x:c r="G63" s="74" t="str">
        <x:v>Small plastic panels</x:v>
      </x:c>
      <x:c r="H63" s="74" t="str">
        <x:v>Crazing; fumes if burned</x:v>
      </x:c>
      <x:c r="I63" s="74" t="str">
        <x:v>H2</x:v>
      </x:c>
    </x:row>
    <x:row r="64" ht="40.5" customHeight="1">
      <x:c r="A64" s="74" t="str">
        <x:v>MR-060</x:v>
      </x:c>
      <x:c r="B64" s="74" t="str">
        <x:v>Closed-cell foam</x:v>
      </x:c>
      <x:c r="C64" s="74" t="str">
        <x:v>polymer foam</x:v>
      </x:c>
      <x:c r="D64" s="74" t="str">
        <x:v>Padding; insulation; flotation after test</x:v>
      </x:c>
      <x:c r="E64" s="74" t="str">
        <x:v>Gasket; packing; kneeling pad</x:v>
      </x:c>
      <x:c r="F64" s="74" t="str">
        <x:v>Identify; wash; seal cuts; waterlog test</x:v>
      </x:c>
      <x:c r="G64" s="74" t="str">
        <x:v>Controlled disposal</x:v>
      </x:c>
      <x:c r="H64" s="74" t="str">
        <x:v>Toxic smoke; fuel saturation</x:v>
      </x:c>
      <x:c r="I64" s="74" t="str">
        <x:v>H2</x:v>
      </x:c>
    </x:row>
    <x:row r="65" ht="40.5" customHeight="1">
      <x:c r="A65" s="74" t="str">
        <x:v>MR-061</x:v>
      </x:c>
      <x:c r="B65" s="74" t="str">
        <x:v>Rubber sheet</x:v>
      </x:c>
      <x:c r="C65" s="74" t="str">
        <x:v>elastomer</x:v>
      </x:c>
      <x:c r="D65" s="74" t="str">
        <x:v>Gasket; grip; hinge; sole</x:v>
      </x:c>
      <x:c r="E65" s="74" t="str">
        <x:v>Valve flap; vibration mount</x:v>
      </x:c>
      <x:c r="F65" s="74" t="str">
        <x:v>Wash; cut; punch; compatibility test</x:v>
      </x:c>
      <x:c r="G65" s="74" t="str">
        <x:v>Fuel or controlled disposal</x:v>
      </x:c>
      <x:c r="H65" s="74" t="str">
        <x:v>Fluid incompatibility and aging</x:v>
      </x:c>
      <x:c r="I65" s="74" t="str">
        <x:v>H2</x:v>
      </x:c>
    </x:row>
    <x:row r="66" ht="40.5" customHeight="1">
      <x:c r="A66" s="74" t="str">
        <x:v>MR-062</x:v>
      </x:c>
      <x:c r="B66" s="74" t="str">
        <x:v>Wire insulation</x:v>
      </x:c>
      <x:c r="C66" s="74" t="str">
        <x:v>polymer sleeve</x:v>
      </x:c>
      <x:c r="D66" s="74" t="str">
        <x:v>Protect repaired conductors; mark circuits</x:v>
      </x:c>
      <x:c r="E66" s="74" t="str">
        <x:v>Grommet; heat barrier only within rating</x:v>
      </x:c>
      <x:c r="F66" s="74" t="str">
        <x:v>Inspect; slide or splice; heat-shrink if identified</x:v>
      </x:c>
      <x:c r="G66" s="74" t="str">
        <x:v>Controlled disposal</x:v>
      </x:c>
      <x:c r="H66" s="74" t="str">
        <x:v>Brittle insulation causes fire</x:v>
      </x:c>
      <x:c r="I66" s="74" t="str">
        <x:v>H2</x:v>
      </x:c>
    </x:row>
    <x:row r="67" ht="40.5" customHeight="1">
      <x:c r="A67" s="74" t="str">
        <x:v>MR-063</x:v>
      </x:c>
      <x:c r="B67" s="74" t="str">
        <x:v>Electronic circuit board</x:v>
      </x:c>
      <x:c r="C67" s="74" t="str">
        <x:v>electronic assembly</x:v>
      </x:c>
      <x:c r="D67" s="74" t="str">
        <x:v>Repair radio; regulator; charger if understood</x:v>
      </x:c>
      <x:c r="E67" s="74" t="str">
        <x:v>Component donor; copper recovery in advanced route</x:v>
      </x:c>
      <x:c r="F67" s="74" t="str">
        <x:v>Dry; inspect; map; test current-limited; desolder</x:v>
      </x:c>
      <x:c r="G67" s="74" t="str">
        <x:v>Hazardous e-waste</x:v>
      </x:c>
      <x:c r="H67" s="74" t="str">
        <x:v>Charged capacitors; lead solder; smoke</x:v>
      </x:c>
      <x:c r="I67" s="74" t="str">
        <x:v>H5</x:v>
      </x:c>
    </x:row>
    <x:row r="68" ht="40.5" customHeight="1">
      <x:c r="A68" s="74" t="str">
        <x:v>MR-064</x:v>
      </x:c>
      <x:c r="B68" s="74" t="str">
        <x:v>Magnet</x:v>
      </x:c>
      <x:c r="C68" s="74" t="str">
        <x:v>magnetic material</x:v>
      </x:c>
      <x:c r="D68" s="74" t="str">
        <x:v>Generator; compass; latch; debris pickup</x:v>
      </x:c>
      <x:c r="E68" s="74" t="str">
        <x:v>Speaker; sensor; magnetic separator</x:v>
      </x:c>
      <x:c r="F68" s="74" t="str">
        <x:v>Identify poles; mount; protect from heat and shock</x:v>
      </x:c>
      <x:c r="G68" s="74" t="str">
        <x:v>Steel or ceramic fragments</x:v>
      </x:c>
      <x:c r="H68" s="74" t="str">
        <x:v>Pinch; brittle; affects compass and electronics</x:v>
      </x:c>
      <x:c r="I68" s="74" t="str">
        <x:v>H3</x:v>
      </x:c>
    </x:row>
    <x:row r="69" ht="40.5" customHeight="1">
      <x:c r="A69" s="74" t="str">
        <x:v>MR-065</x:v>
      </x:c>
      <x:c r="B69" s="74" t="str">
        <x:v>Activated carbon bed</x:v>
      </x:c>
      <x:c r="C69" s="74" t="str">
        <x:v>processed carbon</x:v>
      </x:c>
      <x:c r="D69" s="74" t="str">
        <x:v>Taste and odor reduction in qualified water filter</x:v>
      </x:c>
      <x:c r="E69" s="74" t="str">
        <x:v>Solvent vapor prefilter; chemical experiments</x:v>
      </x:c>
      <x:c r="F69" s="74" t="str">
        <x:v>Make or recover; wash; contain; replace</x:v>
      </x:c>
      <x:c r="G69" s="74" t="str">
        <x:v>Spent carbon hazard</x:v>
      </x:c>
      <x:c r="H69" s="74" t="str">
        <x:v>Does not universally remove pathogens or salts</x:v>
      </x:c>
      <x:c r="I69" s="74" t="str">
        <x:v>H4</x:v>
      </x:c>
    </x:row>
    <x:row r="70" ht="40.5" customHeight="1">
      <x:c r="A70" s="75" t="str">
        <x:v>MR-066</x:v>
      </x:c>
      <x:c r="B70" s="75" t="str">
        <x:v>Ceramic filter element</x:v>
      </x:c>
      <x:c r="C70" s="75" t="str">
        <x:v>porous ceramic</x:v>
      </x:c>
      <x:c r="D70" s="75" t="str">
        <x:v>Remove suspended particles and some microbes if intact and rated</x:v>
      </x:c>
      <x:c r="E70" s="75" t="str">
        <x:v>Prefilter or donor ceramic</x:v>
      </x:c>
      <x:c r="F70" s="75" t="str">
        <x:v>Inspect cracks; clean as specified; flow and challenge test</x:v>
      </x:c>
      <x:c r="G70" s="75" t="str">
        <x:v>Crushed ceramic</x:v>
      </x:c>
      <x:c r="H70" s="75" t="str">
        <x:v>Invisible crack defeats treatment</x:v>
      </x:c>
      <x:c r="I70" s="75" t="str">
        <x:v>H4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2403adfefbe414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8.889999389648438" hidden="0" customWidth="1"/>
    <x:col min="3" max="3" width="13.890000343322754" hidden="0" customWidth="1"/>
    <x:col min="4" max="4" width="17.219999313354492" hidden="0" customWidth="1"/>
    <x:col min="5" max="5" width="26.670000076293945" hidden="0" customWidth="1"/>
    <x:col min="6" max="6" width="13.329999923706055" hidden="0" customWidth="1"/>
    <x:col min="7" max="7" width="16.670000076293945" hidden="0" customWidth="1"/>
    <x:col min="8" max="8" width="24.440000534057617" hidden="0" customWidth="1"/>
    <x:col min="9" max="9" width="24.440000534057617" hidden="0" customWidth="1"/>
    <x:col min="10" max="10" width="27.219999313354492" hidden="0" customWidth="1"/>
    <x:col min="11" max="11" width="25.559999465942383" hidden="0" customWidth="1"/>
    <x:col min="12" max="12" width="27.780000686645508" hidden="0" customWidth="1"/>
  </x:cols>
  <x:sheetData>
    <x:row r="1" ht="27" customHeight="1">
      <x:c r="A1" s="56" t="str">
        <x:v>Wreckfall Ecology — An Ongoing Delivery System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 ht="31.5" customHeight="1">
      <x:c r="A2" s="60" t="str">
        <x:v>The shore is a stateful conveyor shaped by tides, wind, currents, storms, parent wreck mass and player cleanup. It is not an infinite random-loot spawner.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4" ht="25.5" customHeight="1">
      <x:c r="A4" s="65" t="str">
        <x:v>ID</x:v>
      </x:c>
      <x:c r="B4" s="65" t="str">
        <x:v>Event</x:v>
      </x:c>
      <x:c r="C4" s="65" t="str">
        <x:v>Cadence</x:v>
      </x:c>
      <x:c r="D4" s="65" t="str">
        <x:v>Trigger</x:v>
      </x:c>
      <x:c r="E4" s="65" t="str">
        <x:v>Item classes</x:v>
      </x:c>
      <x:c r="F4" s="65" t="str">
        <x:v>Quantity</x:v>
      </x:c>
      <x:c r="G4" s="65" t="str">
        <x:v>Condition</x:v>
      </x:c>
      <x:c r="H4" s="65" t="str">
        <x:v>Spatial logic</x:v>
      </x:c>
      <x:c r="I4" s="65" t="str">
        <x:v>Player signal</x:v>
      </x:c>
      <x:c r="J4" s="65" t="str">
        <x:v>Persistence rule</x:v>
      </x:c>
      <x:c r="K4" s="65" t="str">
        <x:v>Ecological consequence</x:v>
      </x:c>
      <x:c r="L4" s="65" t="str">
        <x:v>Narrative use</x:v>
      </x:c>
    </x:row>
    <x:row r="5" ht="40.5" customHeight="1">
      <x:c r="A5" s="73" t="str">
        <x:v>BE-001</x:v>
      </x:c>
      <x:c r="B5" s="73" t="str">
        <x:v>Strandline trickle</x:v>
      </x:c>
      <x:c r="C5" s="73" t="str">
        <x:v>Every in-game tide</x:v>
      </x:c>
      <x:c r="D5" s="73" t="str">
        <x:v>Normal tide and wind</x:v>
      </x:c>
      <x:c r="E5" s="73" t="str">
        <x:v>Small natural drift; loose fishing gear; personal effects</x:v>
      </x:c>
      <x:c r="F5" s="73" t="str">
        <x:v>2 to 8 objects across long beach</x:v>
      </x:c>
      <x:c r="G5" s="73" t="str">
        <x:v>Mostly worn; some fresh</x:v>
      </x:c>
      <x:c r="H5" s="73" t="str">
        <x:v>Along newest wrack line; weighted to coves and obstacles</x:v>
      </x:c>
      <x:c r="I5" s="73" t="str">
        <x:v>Gulls; foam line; glint; new tangle silhouettes</x:v>
      </x:c>
      <x:c r="J5" s="73" t="str">
        <x:v>Old objects persist; new objects never spawn inside player structures</x:v>
      </x:c>
      <x:c r="K5" s="73" t="str">
        <x:v>Entanglement and litter accumulate if ignored</x:v>
      </x:c>
      <x:c r="L5" s="73" t="str">
        <x:v>Makes the beach feel alive without a loot chest rhythm</x:v>
      </x:c>
    </x:row>
    <x:row r="6" ht="40.5" customHeight="1">
      <x:c r="A6" s="74" t="str">
        <x:v>BE-002</x:v>
      </x:c>
      <x:c r="B6" s="74" t="str">
        <x:v>Tide reveal</x:v>
      </x:c>
      <x:c r="C6" s="74" t="str">
        <x:v>Twice daily</x:v>
      </x:c>
      <x:c r="D6" s="74" t="str">
        <x:v>Falling tide</x:v>
      </x:c>
      <x:c r="E6" s="74" t="str">
        <x:v>Buried fasteners; bottles; shells; cable; wreck fragments</x:v>
      </x:c>
      <x:c r="F6" s="74" t="str">
        <x:v>1 to 5 find spots</x:v>
      </x:c>
      <x:c r="G6" s="74" t="str">
        <x:v>Abraded; saltlogged</x:v>
      </x:c>
      <x:c r="H6" s="74" t="str">
        <x:v>Intertidal pockets exposed temporarily</x:v>
      </x:c>
      <x:c r="I6" s="74" t="str">
        <x:v>Wet glint; receding water; metal-detector route later</x:v>
      </x:c>
      <x:c r="J6" s="74" t="str">
        <x:v>Reburies or moves if not marked before next high tide</x:v>
      </x:c>
      <x:c r="K6" s="74" t="str">
        <x:v>Digging disturbs nests and organisms</x:v>
      </x:c>
      <x:c r="L6" s="74" t="str">
        <x:v>Rewards observation and marking</x:v>
      </x:c>
    </x:row>
    <x:row r="7" ht="40.5" customHeight="1">
      <x:c r="A7" s="74" t="str">
        <x:v>BE-003</x:v>
      </x:c>
      <x:c r="B7" s="74" t="str">
        <x:v>Spring-tide reach</x:v>
      </x:c>
      <x:c r="C7" s="74" t="str">
        <x:v>Every lunar cycle</x:v>
      </x:c>
      <x:c r="D7" s="74" t="str">
        <x:v>Highest tide range</x:v>
      </x:c>
      <x:c r="E7" s="74" t="str">
        <x:v>Large driftwood; crates; fish traps; buoy</x:v>
      </x:c>
      <x:c r="F7" s="74" t="str">
        <x:v>1 to 4 large objects</x:v>
      </x:c>
      <x:c r="G7" s="74" t="str">
        <x:v>Mixed</x:v>
      </x:c>
      <x:c r="H7" s="74" t="str">
        <x:v>High wrack line and backshore</x:v>
      </x:c>
      <x:c r="I7" s="74" t="str">
        <x:v>Unusual debris line and tangled vegetation</x:v>
      </x:c>
      <x:c r="J7" s="74" t="str">
        <x:v>Can strand beyond normal tide reach for weeks</x:v>
      </x:c>
      <x:c r="K7" s="74" t="str">
        <x:v>Large gear can trap wildlife</x:v>
      </x:c>
      <x:c r="L7" s="74" t="str">
        <x:v>Creates long-term landmarks</x:v>
      </x:c>
    </x:row>
    <x:row r="8" ht="40.5" customHeight="1">
      <x:c r="A8" s="74" t="str">
        <x:v>BE-004</x:v>
      </x:c>
      <x:c r="B8" s="74" t="str">
        <x:v>Post-storm pulse</x:v>
      </x:c>
      <x:c r="C8" s="74" t="str">
        <x:v>After major storm</x:v>
      </x:c>
      <x:c r="D8" s="74" t="str">
        <x:v>Wind and wave threshold</x:v>
      </x:c>
      <x:c r="E8" s="74" t="str">
        <x:v>Net bundles; hull panels; containers; emergency gear</x:v>
      </x:c>
      <x:c r="F8" s="74" t="str">
        <x:v>8 to 25 objects plus one assembly</x:v>
      </x:c>
      <x:c r="G8" s="74" t="str">
        <x:v>Freshly broken and dangerous</x:v>
      </x:c>
      <x:c r="H8" s="74" t="str">
        <x:v>Storm-facing beach; debris fans behind reefs</x:v>
      </x:c>
      <x:c r="I8" s="74" t="str">
        <x:v>Distant wreck sound; foam; birds; smoke or flare</x:v>
      </x:c>
      <x:c r="J8" s="74" t="str">
        <x:v>One-time cohort persists; later tides redistribute pieces</x:v>
      </x:c>
      <x:c r="K8" s="74" t="str">
        <x:v>High ghost gear and pollution load</x:v>
      </x:c>
      <x:c r="L8" s="74" t="str">
        <x:v>High-risk salvage day with urgent choices</x:v>
      </x:c>
    </x:row>
    <x:row r="9" ht="40.5" customHeight="1">
      <x:c r="A9" s="74" t="str">
        <x:v>BE-005</x:v>
      </x:c>
      <x:c r="B9" s="74" t="str">
        <x:v>Wreck breakup clock</x:v>
      </x:c>
      <x:c r="C9" s="74" t="str">
        <x:v>Weekly while wreck remains offshore</x:v>
      </x:c>
      <x:c r="D9" s="74" t="str">
        <x:v>Wave energy and structural condition</x:v>
      </x:c>
      <x:c r="E9" s="74" t="str">
        <x:v>Specific parts from one named boat or aircraft</x:v>
      </x:c>
      <x:c r="F9" s="74" t="str">
        <x:v>1 to 6 lineage-tagged parts</x:v>
      </x:c>
      <x:c r="G9" s="74" t="str">
        <x:v>Condition declines over time</x:v>
      </x:c>
      <x:c r="H9" s="74" t="str">
        <x:v>Down-current from parent wreck</x:v>
      </x:c>
      <x:c r="I9" s="74" t="str">
        <x:v>Same paint; serial fragments; oil sheen; recognizable fittings</x:v>
      </x:c>
      <x:c r="J9" s="74" t="str">
        <x:v>Finite mass: every spawned part reduces parent assembly</x:v>
      </x:c>
      <x:c r="K9" s="74" t="str">
        <x:v>Oil; sharp metal; habitat effects</x:v>
      </x:c>
      <x:c r="L9" s="74" t="str">
        <x:v>Turns one wreck into a months-long story</x:v>
      </x:c>
    </x:row>
    <x:row r="10" ht="40.5" customHeight="1">
      <x:c r="A10" s="74" t="str">
        <x:v>BE-006</x:v>
      </x:c>
      <x:c r="B10" s="74" t="str">
        <x:v>Seasonal current switch</x:v>
      </x:c>
      <x:c r="C10" s="74" t="str">
        <x:v>Season change</x:v>
      </x:c>
      <x:c r="D10" s="74" t="str">
        <x:v>Current direction changes</x:v>
      </x:c>
      <x:c r="E10" s="74" t="str">
        <x:v>Regional cargo; seed pods; bamboo; fishing gear type</x:v>
      </x:c>
      <x:c r="F10" s="74" t="str">
        <x:v>New weighted item pool</x:v>
      </x:c>
      <x:c r="G10" s="74" t="str">
        <x:v>Varies by origin</x:v>
      </x:c>
      <x:c r="H10" s="74" t="str">
        <x:v>Different beaches become productive</x:v>
      </x:c>
      <x:c r="I10" s="74" t="str">
        <x:v>Water color; wind; new species; buoy markings</x:v>
      </x:c>
      <x:c r="J10" s="74" t="str">
        <x:v>No arbitrary despawn; distribution shifts</x:v>
      </x:c>
      <x:c r="K10" s="74" t="str">
        <x:v>Potential invasive species</x:v>
      </x:c>
      <x:c r="L10" s="74" t="str">
        <x:v>Makes geography and seasons matter</x:v>
      </x:c>
    </x:row>
    <x:row r="11" ht="40.5" customHeight="1">
      <x:c r="A11" s="74" t="str">
        <x:v>BE-007</x:v>
      </x:c>
      <x:c r="B11" s="74" t="str">
        <x:v>Ghost-net emergency</x:v>
      </x:c>
      <x:c r="C11" s="74" t="str">
        <x:v>Rare; checked daily</x:v>
      </x:c>
      <x:c r="D11" s="74" t="str">
        <x:v>Net density and wildlife roll</x:v>
      </x:c>
      <x:c r="E11" s="74" t="str">
        <x:v>Gillnet or trawl panel with trapped animal and hardware</x:v>
      </x:c>
      <x:c r="F11" s="74" t="str">
        <x:v>One complex assembly</x:v>
      </x:c>
      <x:c r="G11" s="74" t="str">
        <x:v>Worn but valuable</x:v>
      </x:c>
      <x:c r="H11" s="74" t="str">
        <x:v>Reef edge or cove</x:v>
      </x:c>
      <x:c r="I11" s="74" t="str">
        <x:v>Animal noise; circling birds; splashing</x:v>
      </x:c>
      <x:c r="J11" s="74" t="str">
        <x:v>Persists with worsening animal and material condition</x:v>
      </x:c>
      <x:c r="K11" s="74" t="str">
        <x:v>Severe wildlife harm if ignored</x:v>
      </x:c>
      <x:c r="L11" s="74" t="str">
        <x:v>Ethical rescue plus high-value net salvage</x:v>
      </x:c>
    </x:row>
    <x:row r="12" ht="40.5" customHeight="1">
      <x:c r="A12" s="74" t="str">
        <x:v>BE-008</x:v>
      </x:c>
      <x:c r="B12" s="74" t="str">
        <x:v>Cargo spill family</x:v>
      </x:c>
      <x:c r="C12" s="74" t="str">
        <x:v>Rare event</x:v>
      </x:c>
      <x:c r="D12" s="74" t="str">
        <x:v>Distant ship loss</x:v>
      </x:c>
      <x:c r="E12" s="74" t="str">
        <x:v>Twenty related low-value objects or a few sealed crates</x:v>
      </x:c>
      <x:c r="F12" s="74" t="str">
        <x:v>Cohort of 10 to 40</x:v>
      </x:c>
      <x:c r="G12" s="74" t="str">
        <x:v>Shared labels and damage</x:v>
      </x:c>
      <x:c r="H12" s="74" t="str">
        <x:v>Broad down-current arc</x:v>
      </x:c>
      <x:c r="I12" s="74" t="str">
        <x:v>Repeated color; packaging; floating lids</x:v>
      </x:c>
      <x:c r="J12" s="74" t="str">
        <x:v>Finite family; later arrivals become rarer</x:v>
      </x:c>
      <x:c r="K12" s="74" t="str">
        <x:v>Plastic pollution; unknown chemicals</x:v>
      </x:c>
      <x:c r="L12" s="74" t="str">
        <x:v>Supports inference and tradeoffs rather than jackpots</x:v>
      </x:c>
    </x:row>
    <x:row r="13" ht="40.5" customHeight="1">
      <x:c r="A13" s="74" t="str">
        <x:v>BE-009</x:v>
      </x:c>
      <x:c r="B13" s="74" t="str">
        <x:v>Instrument drift</x:v>
      </x:c>
      <x:c r="C13" s="74" t="str">
        <x:v>Rare event</x:v>
      </x:c>
      <x:c r="D13" s="74" t="str">
        <x:v>Current and beacon trajectory</x:v>
      </x:c>
      <x:c r="E13" s="74" t="str">
        <x:v>Weather buoy; solar panel; sensor; radio; battery</x:v>
      </x:c>
      <x:c r="F13" s="74" t="str">
        <x:v>One technical assembly</x:v>
      </x:c>
      <x:c r="G13" s="74" t="str">
        <x:v>Weathered; often sealed</x:v>
      </x:c>
      <x:c r="H13" s="74" t="str">
        <x:v>Outer beach or reef</x:v>
      </x:c>
      <x:c r="I13" s="74" t="str">
        <x:v>Blink; beep; antenna; unusual paint</x:v>
      </x:c>
      <x:c r="J13" s="74" t="str">
        <x:v>May transmit or attract later narrative response</x:v>
      </x:c>
      <x:c r="K13" s="74" t="str">
        <x:v>Battery and ownership hazards</x:v>
      </x:c>
      <x:c r="L13" s="74" t="str">
        <x:v>Introduces technology and world evidence</x:v>
      </x:c>
    </x:row>
    <x:row r="14" ht="40.5" customHeight="1">
      <x:c r="A14" s="74" t="str">
        <x:v>BE-010</x:v>
      </x:c>
      <x:c r="B14" s="74" t="str">
        <x:v>Derelict vessel grounding</x:v>
      </x:c>
      <x:c r="C14" s="74" t="str">
        <x:v>Major chapter event</x:v>
      </x:c>
      <x:c r="D14" s="74" t="str">
        <x:v>Storm; current; reef collision</x:v>
      </x:c>
      <x:c r="E14" s="74" t="str">
        <x:v>Whole small boat with intact zones</x:v>
      </x:c>
      <x:c r="F14" s="74" t="str">
        <x:v>One explorable assembly with 30 to 80 recoverable nodes</x:v>
      </x:c>
      <x:c r="G14" s="74" t="str">
        <x:v>Spatially varied by compartment</x:v>
      </x:c>
      <x:c r="H14" s="74" t="str">
        <x:v>Fixed shoreline wreck</x:v>
      </x:c>
      <x:c r="I14" s="74" t="str">
        <x:v>Hull silhouette; creaks; fuel smell; loose rigging</x:v>
      </x:c>
      <x:c r="J14" s="74" t="str">
        <x:v>Finite; degrades and sheds parts based on waves and player cuts</x:v>
      </x:c>
      <x:c r="K14" s="74" t="str">
        <x:v>Fuel; collapse; confined spaces; sharp metal</x:v>
      </x:c>
      <x:c r="L14" s="74" t="str">
        <x:v>A salvage dungeon governed by structure not random containers</x:v>
      </x:c>
    </x:row>
    <x:row r="15" ht="40.5" customHeight="1">
      <x:c r="A15" s="74" t="str">
        <x:v>BE-011</x:v>
      </x:c>
      <x:c r="B15" s="74" t="str">
        <x:v>Aircraft debris field</x:v>
      </x:c>
      <x:c r="C15" s="74" t="str">
        <x:v>Major chapter event</x:v>
      </x:c>
      <x:c r="D15" s="74" t="str">
        <x:v>Existing crash site weathering</x:v>
      </x:c>
      <x:c r="E15" s="74" t="str">
        <x:v>Skin; seats; control systems; engine; survival gear</x:v>
      </x:c>
      <x:c r="F15" s="74" t="str">
        <x:v>Fixed field with hundreds of fasteners and tens of assemblies</x:v>
      </x:c>
      <x:c r="G15" s="74" t="str">
        <x:v>Crash-loaded; burned; corroded zones</x:v>
      </x:c>
      <x:c r="H15" s="74" t="str">
        <x:v>Mapped impact line and tidal reach</x:v>
      </x:c>
      <x:c r="I15" s="74" t="str">
        <x:v>Serials; scorch; torn vegetation; beacon</x:v>
      </x:c>
      <x:c r="J15" s="74" t="str">
        <x:v>Finite; player disassembly changes accessibility and collapse</x:v>
      </x:c>
      <x:c r="K15" s="74" t="str">
        <x:v>Fuel; batteries; pressure vessels; old insulation</x:v>
      </x:c>
      <x:c r="L15" s="74" t="str">
        <x:v>Long-form technical progression and narrative reconstruction</x:v>
      </x:c>
    </x:row>
    <x:row r="16" ht="40.5" customHeight="1">
      <x:c r="A16" s="74" t="str">
        <x:v>BE-012</x:v>
      </x:c>
      <x:c r="B16" s="74" t="str">
        <x:v>Biological strand</x:v>
      </x:c>
      <x:c r="C16" s="74" t="str">
        <x:v>Seasonal or storm-linked</x:v>
      </x:c>
      <x:c r="D16" s="74" t="str">
        <x:v>Migration; bloom; storm mortality</x:v>
      </x:c>
      <x:c r="E16" s="74" t="str">
        <x:v>Seaweed; fish; shell; bone; occasionally carcass</x:v>
      </x:c>
      <x:c r="F16" s="74" t="str">
        <x:v>Small to mass event</x:v>
      </x:c>
      <x:c r="G16" s="74" t="str">
        <x:v>Rapidly decaying</x:v>
      </x:c>
      <x:c r="H16" s="74" t="str">
        <x:v>Tide line with predator activity</x:v>
      </x:c>
      <x:c r="I16" s="74" t="str">
        <x:v>Odor; birds; flies; color change</x:v>
      </x:c>
      <x:c r="J16" s="74" t="str">
        <x:v>Spoils; becomes nutrients or hazard</x:v>
      </x:c>
      <x:c r="K16" s="74" t="str">
        <x:v>Disease; oxygen depletion; predators</x:v>
      </x:c>
      <x:c r="L16" s="74" t="str">
        <x:v>Adds ecology and perishable urgency</x:v>
      </x:c>
    </x:row>
    <x:row r="17" ht="40.5" customHeight="1">
      <x:c r="A17" s="74" t="str">
        <x:v>BE-013</x:v>
      </x:c>
      <x:c r="B17" s="74" t="str">
        <x:v>Human trace packet</x:v>
      </x:c>
      <x:c r="C17" s="74" t="str">
        <x:v>Rare narrative roll</x:v>
      </x:c>
      <x:c r="D17" s="74" t="str">
        <x:v>Current and story clock</x:v>
      </x:c>
      <x:c r="E17" s="74" t="str">
        <x:v>Message bottle; labeled medicine; photo; map; crafted object</x:v>
      </x:c>
      <x:c r="F17" s="74" t="str">
        <x:v>One to three items</x:v>
      </x:c>
      <x:c r="G17" s="74" t="str">
        <x:v>Protected or damaged as packaging dictates</x:v>
      </x:c>
      <x:c r="H17" s="74" t="str">
        <x:v>Quiet cove or snag point</x:v>
      </x:c>
      <x:c r="I17" s="74" t="str">
        <x:v>Distinctive container; writing; unfamiliar workmanship</x:v>
      </x:c>
      <x:c r="J17" s="74" t="str">
        <x:v>Unique item persists unless destroyed</x:v>
      </x:c>
      <x:c r="K17" s="74" t="str">
        <x:v>Misinformation or contamination</x:v>
      </x:c>
      <x:c r="L17" s="74" t="str">
        <x:v>Suggests other people without immediate NPC contact</x:v>
      </x:c>
    </x:row>
    <x:row r="18" ht="40.5" customHeight="1">
      <x:c r="A18" s="74" t="str">
        <x:v>BE-014</x:v>
      </x:c>
      <x:c r="B18" s="74" t="str">
        <x:v>Player-made recovery boom</x:v>
      </x:c>
      <x:c r="C18" s="74" t="str">
        <x:v>Continuous after construction</x:v>
      </x:c>
      <x:c r="D18" s="74" t="str">
        <x:v>Player deploys marked floating barrier</x:v>
      </x:c>
      <x:c r="E18" s="74" t="str">
        <x:v>Catches small safe drift before it scatters</x:v>
      </x:c>
      <x:c r="F18" s="74" t="str">
        <x:v>Capacity-limited queue</x:v>
      </x:c>
      <x:c r="G18" s="74" t="str">
        <x:v>Condition improves but fouling increases</x:v>
      </x:c>
      <x:c r="H18" s="74" t="str">
        <x:v>Chosen cove with current flow</x:v>
      </x:c>
      <x:c r="I18" s="74" t="str">
        <x:v>Visible catch and tension change</x:v>
      </x:c>
      <x:c r="J18" s="74" t="str">
        <x:v>Must be emptied; overload breaks boom and releases contents</x:v>
      </x:c>
      <x:c r="K18" s="74" t="str">
        <x:v>Can entangle wildlife; requires escape gaps</x:v>
      </x:c>
      <x:c r="L18" s="74" t="str">
        <x:v>Turns arrival ecology into infrastructure</x:v>
      </x:c>
    </x:row>
    <x:row r="19" ht="40.5" customHeight="1">
      <x:c r="A19" s="75" t="str">
        <x:v>BE-015</x:v>
      </x:c>
      <x:c r="B19" s="75" t="str">
        <x:v>Beach cleanup consequence</x:v>
      </x:c>
      <x:c r="C19" s="75" t="str">
        <x:v>Weekly simulation</x:v>
      </x:c>
      <x:c r="D19" s="75" t="str">
        <x:v>Accumulated unmanaged debris</x:v>
      </x:c>
      <x:c r="E19" s="75" t="str">
        <x:v>No new item; modifies ecology and future yield</x:v>
      </x:c>
      <x:c r="F19" s="75" t="str">
        <x:v>System state</x:v>
      </x:c>
      <x:c r="G19" s="75" t="str">
        <x:v>N/A</x:v>
      </x:c>
      <x:c r="H19" s="75" t="str">
        <x:v>Per-beach cleanliness map</x:v>
      </x:c>
      <x:c r="I19" s="75" t="str">
        <x:v>Fewer animals; more flies; snagged gear</x:v>
      </x:c>
      <x:c r="J19" s="75" t="str">
        <x:v>Clean beaches improve nesting and reduce injury but lower trivial salvage density</x:v>
      </x:c>
      <x:c r="K19" s="75" t="str">
        <x:v>Pollution becomes a management problem</x:v>
      </x:c>
      <x:c r="L19" s="75" t="str">
        <x:v>Prevents endless loot from being purely positive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deeee76fc33471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21.110000610351562" hidden="0" customWidth="1"/>
    <x:col min="3" max="3" width="18.889999389648438" hidden="0" customWidth="1"/>
    <x:col min="4" max="4" width="27.219999313354492" hidden="0" customWidth="1"/>
    <x:col min="5" max="5" width="17.780000686645508" hidden="0" customWidth="1"/>
    <x:col min="6" max="6" width="28.889999389648438" hidden="0" customWidth="1"/>
    <x:col min="7" max="7" width="25.559999465942383" hidden="0" customWidth="1"/>
    <x:col min="8" max="8" width="24.440000534057617" hidden="0" customWidth="1"/>
    <x:col min="9" max="9" width="10.5600004196167" hidden="0" customWidth="1"/>
    <x:col min="10" max="10" width="6.440000057220459" hidden="0" customWidth="1"/>
    <x:col min="11" max="11" width="23.329999923706055" hidden="0" customWidth="1"/>
  </x:cols>
  <x:sheetData>
    <x:row r="1" ht="27" customHeight="1">
      <x:c r="A1" s="56" t="str">
        <x:v>Electricity and Steam Roadmap — Capability Before Spectacle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 ht="31.5" customHeight="1">
      <x:c r="A2" s="60" t="str">
        <x:v>Electricity begins with measurement, protection and small generation. Steam is an advanced plant whose boiler, controls, engine and generator must each be proved before coupling.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4" ht="25.5" customHeight="1">
      <x:c r="A4" s="65" t="str">
        <x:v>ID</x:v>
      </x:c>
      <x:c r="B4" s="65" t="str">
        <x:v>Component</x:v>
      </x:c>
      <x:c r="C4" s="65" t="str">
        <x:v>Route</x:v>
      </x:c>
      <x:c r="D4" s="65" t="str">
        <x:v>Inputs</x:v>
      </x:c>
      <x:c r="E4" s="65" t="str">
        <x:v>Workspace</x:v>
      </x:c>
      <x:c r="F4" s="65" t="str">
        <x:v>Qualification test</x:v>
      </x:c>
      <x:c r="G4" s="65" t="str">
        <x:v>Role</x:v>
      </x:c>
      <x:c r="H4" s="65" t="str">
        <x:v>Failure</x:v>
      </x:c>
      <x:c r="I4" s="65" t="str">
        <x:v>Hazard</x:v>
      </x:c>
      <x:c r="J4" s="65" t="str">
        <x:v>Tier</x:v>
      </x:c>
      <x:c r="K4" s="65" t="str">
        <x:v>Dependency</x:v>
      </x:c>
    </x:row>
    <x:row r="5" ht="40.5" customHeight="1">
      <x:c r="A5" s="73" t="str">
        <x:v>PW-001</x:v>
      </x:c>
      <x:c r="B5" s="73" t="str">
        <x:v>Readable wiring diagram</x:v>
      </x:c>
      <x:c r="C5" s="73" t="str">
        <x:v>Recover or reconstruct</x:v>
      </x:c>
      <x:c r="D5" s="73" t="str">
        <x:v>Manual; labels; notebook; charcoal sketch</x:v>
      </x:c>
      <x:c r="E5" s="73" t="str">
        <x:v>Clean work surface</x:v>
      </x:c>
      <x:c r="F5" s="73" t="str">
        <x:v>Trace one simple circuit end to end</x:v>
      </x:c>
      <x:c r="G5" s="73" t="str">
        <x:v>Knowledge gate for safe electrical work</x:v>
      </x:c>
      <x:c r="H5" s="73" t="str">
        <x:v>Misidentified polarity or function</x:v>
      </x:c>
      <x:c r="I5" s="73" t="str">
        <x:v>Low</x:v>
      </x:c>
      <x:c r="J5" s="73" t="str">
        <x:v>H2</x:v>
      </x:c>
      <x:c r="K5" s="73" t="str">
        <x:v>Observation and documentation</x:v>
      </x:c>
    </x:row>
    <x:row r="6" ht="40.5" customHeight="1">
      <x:c r="A6" s="74" t="str">
        <x:v>PW-002</x:v>
      </x:c>
      <x:c r="B6" s="74" t="str">
        <x:v>Insulated hand tools</x:v>
      </x:c>
      <x:c r="C6" s="74" t="str">
        <x:v>Recover or make qualified grips</x:v>
      </x:c>
      <x:c r="D6" s="74" t="str">
        <x:v>Screwdriver; pliers; dry handles; insulation</x:v>
      </x:c>
      <x:c r="E6" s="74" t="str">
        <x:v>Electrical bench</x:v>
      </x:c>
      <x:c r="F6" s="74" t="str">
        <x:v>Leakage and visual inspection</x:v>
      </x:c>
      <x:c r="G6" s="74" t="str">
        <x:v>Reduce accidental shorts and shock</x:v>
      </x:c>
      <x:c r="H6" s="74" t="str">
        <x:v>Cracked or wet insulation</x:v>
      </x:c>
      <x:c r="I6" s="74" t="str">
        <x:v>Medium</x:v>
      </x:c>
      <x:c r="J6" s="74" t="str">
        <x:v>H3</x:v>
      </x:c>
      <x:c r="K6" s="74" t="str">
        <x:v>Tool condition system</x:v>
      </x:c>
    </x:row>
    <x:row r="7" ht="40.5" customHeight="1">
      <x:c r="A7" s="74" t="str">
        <x:v>PW-003</x:v>
      </x:c>
      <x:c r="B7" s="74" t="str">
        <x:v>Test lamp</x:v>
      </x:c>
      <x:c r="C7" s="74" t="str">
        <x:v>Recover or make from rated lamp</x:v>
      </x:c>
      <x:c r="D7" s="74" t="str">
        <x:v>Lamp; holder; wires; probes</x:v>
      </x:c>
      <x:c r="E7" s="74" t="str">
        <x:v>Electrical bench</x:v>
      </x:c>
      <x:c r="F7" s="74" t="str">
        <x:v>Lights on known battery and stays dark open-circuit</x:v>
      </x:c>
      <x:c r="G7" s="74" t="str">
        <x:v>Crude presence-of-voltage check</x:v>
      </x:c>
      <x:c r="H7" s="74" t="str">
        <x:v>Wrong lamp burns out or loads circuit</x:v>
      </x:c>
      <x:c r="I7" s="74" t="str">
        <x:v>Medium</x:v>
      </x:c>
      <x:c r="J7" s="74" t="str">
        <x:v>H3</x:v>
      </x:c>
      <x:c r="K7" s="74" t="str">
        <x:v>Known battery and lamp</x:v>
      </x:c>
    </x:row>
    <x:row r="8" ht="40.5" customHeight="1">
      <x:c r="A8" s="74" t="str">
        <x:v>PW-004</x:v>
      </x:c>
      <x:c r="B8" s="74" t="str">
        <x:v>Multimeter</x:v>
      </x:c>
      <x:c r="C8" s="74" t="str">
        <x:v>Recover and repair</x:v>
      </x:c>
      <x:c r="D8" s="74" t="str">
        <x:v>Meter; probes; fuse; battery</x:v>
      </x:c>
      <x:c r="E8" s="74" t="str">
        <x:v>Electrical bench</x:v>
      </x:c>
      <x:c r="F8" s="74" t="str">
        <x:v>Compare voltage; resistance; continuity to known references</x:v>
      </x:c>
      <x:c r="G8" s="74" t="str">
        <x:v>Measurement gate for repair and charging</x:v>
      </x:c>
      <x:c r="H8" s="74" t="str">
        <x:v>Blown fuse; false reading; wrong range</x:v>
      </x:c>
      <x:c r="I8" s="74" t="str">
        <x:v>Medium</x:v>
      </x:c>
      <x:c r="J8" s="74" t="str">
        <x:v>H4</x:v>
      </x:c>
      <x:c r="K8" s="74" t="str">
        <x:v>Readable manual or learned procedure</x:v>
      </x:c>
    </x:row>
    <x:row r="9" ht="40.5" customHeight="1">
      <x:c r="A9" s="74" t="str">
        <x:v>PW-005</x:v>
      </x:c>
      <x:c r="B9" s="74" t="str">
        <x:v>Fuse holder</x:v>
      </x:c>
      <x:c r="C9" s="74" t="str">
        <x:v>Recover</x:v>
      </x:c>
      <x:c r="D9" s="74" t="str">
        <x:v>Fuse holder; wire; enclosure</x:v>
      </x:c>
      <x:c r="E9" s="74" t="str">
        <x:v>Electrical bench</x:v>
      </x:c>
      <x:c r="F9" s="74" t="str">
        <x:v>Continuity; secure contact; heat test under load</x:v>
      </x:c>
      <x:c r="G9" s="74" t="str">
        <x:v>Replaceable overcurrent protection</x:v>
      </x:c>
      <x:c r="H9" s="74" t="str">
        <x:v>Loose contact heats; wrong fuse fitted</x:v>
      </x:c>
      <x:c r="I9" s="74" t="str">
        <x:v>High</x:v>
      </x:c>
      <x:c r="J9" s="74" t="str">
        <x:v>H3</x:v>
      </x:c>
      <x:c r="K9" s="74" t="str">
        <x:v>Meter and labeled fuse</x:v>
      </x:c>
    </x:row>
    <x:row r="10" ht="40.5" customHeight="1">
      <x:c r="A10" s="74" t="str">
        <x:v>PW-006</x:v>
      </x:c>
      <x:c r="B10" s="74" t="str">
        <x:v>Main disconnect switch</x:v>
      </x:c>
      <x:c r="C10" s="74" t="str">
        <x:v>Recover or build from rated switch</x:v>
      </x:c>
      <x:c r="D10" s="74" t="str">
        <x:v>Switch; enclosure; cable lugs</x:v>
      </x:c>
      <x:c r="E10" s="74" t="str">
        <x:v>Electrical bench</x:v>
      </x:c>
      <x:c r="F10" s="74" t="str">
        <x:v>Positive isolation verified with meter</x:v>
      </x:c>
      <x:c r="G10" s="74" t="str">
        <x:v>Allows safe maintenance</x:v>
      </x:c>
      <x:c r="H10" s="74" t="str">
        <x:v>Contacts weld closed</x:v>
      </x:c>
      <x:c r="I10" s="74" t="str">
        <x:v>High</x:v>
      </x:c>
      <x:c r="J10" s="74" t="str">
        <x:v>H4</x:v>
      </x:c>
      <x:c r="K10" s="74" t="str">
        <x:v>Fuse and meter</x:v>
      </x:c>
    </x:row>
    <x:row r="11" ht="40.5" customHeight="1">
      <x:c r="A11" s="74" t="str">
        <x:v>PW-007</x:v>
      </x:c>
      <x:c r="B11" s="74" t="str">
        <x:v>Low-voltage DC bus</x:v>
      </x:c>
      <x:c r="C11" s="74" t="str">
        <x:v>Make</x:v>
      </x:c>
      <x:c r="D11" s="74" t="str">
        <x:v>Insulated wire; terminal block; enclosure; labels</x:v>
      </x:c>
      <x:c r="E11" s="74" t="str">
        <x:v>Electrical bench</x:v>
      </x:c>
      <x:c r="F11" s="74" t="str">
        <x:v>Polarity; voltage drop; short-protection test</x:v>
      </x:c>
      <x:c r="G11" s="74" t="str">
        <x:v>Distributes electricity to loads</x:v>
      </x:c>
      <x:c r="H11" s="74" t="str">
        <x:v>Reversed polarity; exposed live metal</x:v>
      </x:c>
      <x:c r="I11" s="74" t="str">
        <x:v>High</x:v>
      </x:c>
      <x:c r="J11" s="74" t="str">
        <x:v>H4</x:v>
      </x:c>
      <x:c r="K11" s="74" t="str">
        <x:v>Disconnect and fuse</x:v>
      </x:c>
    </x:row>
    <x:row r="12" ht="40.5" customHeight="1">
      <x:c r="A12" s="74" t="str">
        <x:v>PW-008</x:v>
      </x:c>
      <x:c r="B12" s="74" t="str">
        <x:v>Grounding and bonding set</x:v>
      </x:c>
      <x:c r="C12" s="74" t="str">
        <x:v>Recover or make</x:v>
      </x:c>
      <x:c r="D12" s="74" t="str">
        <x:v>Copper strap; lugs; rod; fasteners</x:v>
      </x:c>
      <x:c r="E12" s="74" t="str">
        <x:v>Electrical bench and site</x:v>
      </x:c>
      <x:c r="F12" s="74" t="str">
        <x:v>Continuity and corrosion inspection</x:v>
      </x:c>
      <x:c r="G12" s="74" t="str">
        <x:v>Controls fault paths and static where design requires</x:v>
      </x:c>
      <x:c r="H12" s="74" t="str">
        <x:v>False ground or galvanic corrosion</x:v>
      </x:c>
      <x:c r="I12" s="74" t="str">
        <x:v>High</x:v>
      </x:c>
      <x:c r="J12" s="74" t="str">
        <x:v>H5</x:v>
      </x:c>
      <x:c r="K12" s="74" t="str">
        <x:v>Electrical knowledge</x:v>
      </x:c>
    </x:row>
    <x:row r="13" ht="40.5" customHeight="1">
      <x:c r="A13" s="74" t="str">
        <x:v>PW-009</x:v>
      </x:c>
      <x:c r="B13" s="74" t="str">
        <x:v>Lead-acid battery bank</x:v>
      </x:c>
      <x:c r="C13" s="74" t="str">
        <x:v>Recover and qualify</x:v>
      </x:c>
      <x:c r="D13" s="74" t="str">
        <x:v>Matched batteries; tray; ventilation; cables</x:v>
      </x:c>
      <x:c r="E13" s="74" t="str">
        <x:v>Ventilated battery station</x:v>
      </x:c>
      <x:c r="F13" s="74" t="str">
        <x:v>Resting voltage; charge acceptance; load test; temperature</x:v>
      </x:c>
      <x:c r="G13" s="74" t="str">
        <x:v>Stores intermittent generation</x:v>
      </x:c>
      <x:c r="H13" s="74" t="str">
        <x:v>Acid leak; hydrogen; mismatch</x:v>
      </x:c>
      <x:c r="I13" s="74" t="str">
        <x:v>Critical</x:v>
      </x:c>
      <x:c r="J13" s="74" t="str">
        <x:v>H5</x:v>
      </x:c>
      <x:c r="K13" s="74" t="str">
        <x:v>Charge controller and fuse</x:v>
      </x:c>
    </x:row>
    <x:row r="14" ht="40.5" customHeight="1">
      <x:c r="A14" s="74" t="str">
        <x:v>PW-010</x:v>
      </x:c>
      <x:c r="B14" s="74" t="str">
        <x:v>Lithium battery pack</x:v>
      </x:c>
      <x:c r="C14" s="74" t="str">
        <x:v>Recover intact only at first</x:v>
      </x:c>
      <x:c r="D14" s="74" t="str">
        <x:v>Pack; BMS; chemistry-specific charger; enclosure</x:v>
      </x:c>
      <x:c r="E14" s="74" t="str">
        <x:v>Fire-separated battery station</x:v>
      </x:c>
      <x:c r="F14" s="74" t="str">
        <x:v>BMS communication; cell balance; temperature under charge</x:v>
      </x:c>
      <x:c r="G14" s="74" t="str">
        <x:v>Portable high-density storage</x:v>
      </x:c>
      <x:c r="H14" s="74" t="str">
        <x:v>Thermal runaway</x:v>
      </x:c>
      <x:c r="I14" s="74" t="str">
        <x:v>Critical</x:v>
      </x:c>
      <x:c r="J14" s="74" t="str">
        <x:v>H6</x:v>
      </x:c>
      <x:c r="K14" s="74" t="str">
        <x:v>Advanced electrical knowledge</x:v>
      </x:c>
    </x:row>
    <x:row r="15" ht="40.5" customHeight="1">
      <x:c r="A15" s="74" t="str">
        <x:v>PW-011</x:v>
      </x:c>
      <x:c r="B15" s="74" t="str">
        <x:v>Hand-crank generator</x:v>
      </x:c>
      <x:c r="C15" s="74" t="str">
        <x:v>Recover motor or generator; make crank</x:v>
      </x:c>
      <x:c r="D15" s="74" t="str">
        <x:v>DC motor; bearings; crank; bridge rectifier if needed</x:v>
      </x:c>
      <x:c r="E15" s="74" t="str">
        <x:v>Bench</x:v>
      </x:c>
      <x:c r="F15" s="74" t="str">
        <x:v>Open-circuit voltage; loaded charge current; heat</x:v>
      </x:c>
      <x:c r="G15" s="74" t="str">
        <x:v>First controllable generation</x:v>
      </x:c>
      <x:c r="H15" s="74" t="str">
        <x:v>Overspeed; wrist kick; overheating</x:v>
      </x:c>
      <x:c r="I15" s="74" t="str">
        <x:v>Medium</x:v>
      </x:c>
      <x:c r="J15" s="74" t="str">
        <x:v>H3</x:v>
      </x:c>
      <x:c r="K15" s="74" t="str">
        <x:v>Meter and battery interface</x:v>
      </x:c>
    </x:row>
    <x:row r="16" ht="40.5" customHeight="1">
      <x:c r="A16" s="74" t="str">
        <x:v>PW-012</x:v>
      </x:c>
      <x:c r="B16" s="74" t="str">
        <x:v>Treadle generator</x:v>
      </x:c>
      <x:c r="C16" s="74" t="str">
        <x:v>Make from salvage</x:v>
      </x:c>
      <x:c r="D16" s="74" t="str">
        <x:v>Pedal; crank; flywheel; belt; generator</x:v>
      </x:c>
      <x:c r="E16" s="74" t="str">
        <x:v>Aligned machine frame</x:v>
      </x:c>
      <x:c r="F16" s="74" t="str">
        <x:v>Sustained output; belt tracking; temperature</x:v>
      </x:c>
      <x:c r="G16" s="74" t="str">
        <x:v>Higher human-powered generation</x:v>
      </x:c>
      <x:c r="H16" s="74" t="str">
        <x:v>Entanglement; fatigue; flywheel failure</x:v>
      </x:c>
      <x:c r="I16" s="74" t="str">
        <x:v>High</x:v>
      </x:c>
      <x:c r="J16" s="74" t="str">
        <x:v>H4</x:v>
      </x:c>
      <x:c r="K16" s="74" t="str">
        <x:v>Bearings; belt; guard</x:v>
      </x:c>
    </x:row>
    <x:row r="17" ht="40.5" customHeight="1">
      <x:c r="A17" s="74" t="str">
        <x:v>PW-013</x:v>
      </x:c>
      <x:c r="B17" s="74" t="str">
        <x:v>Waterwheel</x:v>
      </x:c>
      <x:c r="C17" s="74" t="str">
        <x:v>Make</x:v>
      </x:c>
      <x:c r="D17" s="74" t="str">
        <x:v>Wood; shaft; buckets or paddles; bearings</x:v>
      </x:c>
      <x:c r="E17" s="74" t="str">
        <x:v>Stream or tidal channel</x:v>
      </x:c>
      <x:c r="F17" s="74" t="str">
        <x:v>No-load spin; loaded torque; flood survival</x:v>
      </x:c>
      <x:c r="G17" s="74" t="str">
        <x:v>Continuous mechanical power where site permits</x:v>
      </x:c>
      <x:c r="H17" s="74" t="str">
        <x:v>Flood; entanglement; ecological obstruction</x:v>
      </x:c>
      <x:c r="I17" s="74" t="str">
        <x:v>High</x:v>
      </x:c>
      <x:c r="J17" s="74" t="str">
        <x:v>H4</x:v>
      </x:c>
      <x:c r="K17" s="74" t="str">
        <x:v>Site hydrology and permissions</x:v>
      </x:c>
    </x:row>
    <x:row r="18" ht="40.5" customHeight="1">
      <x:c r="A18" s="74" t="str">
        <x:v>PW-014</x:v>
      </x:c>
      <x:c r="B18" s="74" t="str">
        <x:v>Wind rotor</x:v>
      </x:c>
      <x:c r="C18" s="74" t="str">
        <x:v>Make or recover</x:v>
      </x:c>
      <x:c r="D18" s="74" t="str">
        <x:v>Blades; hub; shaft; tail; brake</x:v>
      </x:c>
      <x:c r="E18" s="74" t="str">
        <x:v>Mast and machine frame</x:v>
      </x:c>
      <x:c r="F18" s="74" t="str">
        <x:v>Balance; overspeed brake; storm survival</x:v>
      </x:c>
      <x:c r="G18" s="74" t="str">
        <x:v>Intermittent mechanical power</x:v>
      </x:c>
      <x:c r="H18" s="74" t="str">
        <x:v>Blade throw; mast collapse</x:v>
      </x:c>
      <x:c r="I18" s="74" t="str">
        <x:v>Critical</x:v>
      </x:c>
      <x:c r="J18" s="74" t="str">
        <x:v>H5</x:v>
      </x:c>
      <x:c r="K18" s="74" t="str">
        <x:v>Material fatigue and governor knowledge</x:v>
      </x:c>
    </x:row>
    <x:row r="19" ht="40.5" customHeight="1">
      <x:c r="A19" s="74" t="str">
        <x:v>PW-015</x:v>
      </x:c>
      <x:c r="B19" s="74" t="str">
        <x:v>Mechanical transmission</x:v>
      </x:c>
      <x:c r="C19" s="74" t="str">
        <x:v>Recover and assemble</x:v>
      </x:c>
      <x:c r="D19" s="74" t="str">
        <x:v>Belt and pulleys or chain and sprockets; guard</x:v>
      </x:c>
      <x:c r="E19" s="74" t="str">
        <x:v>Machine frame</x:v>
      </x:c>
      <x:c r="F19" s="74" t="str">
        <x:v>Alignment; tension; no-load then loaded heat test</x:v>
      </x:c>
      <x:c r="G19" s="74" t="str">
        <x:v>Matches source speed to generator</x:v>
      </x:c>
      <x:c r="H19" s="74" t="str">
        <x:v>Thrown belt or chain; pinch</x:v>
      </x:c>
      <x:c r="I19" s="74" t="str">
        <x:v>High</x:v>
      </x:c>
      <x:c r="J19" s="74" t="str">
        <x:v>H4</x:v>
      </x:c>
      <x:c r="K19" s="74" t="str">
        <x:v>Measurement and workholding</x:v>
      </x:c>
    </x:row>
    <x:row r="20" ht="40.5" customHeight="1">
      <x:c r="A20" s="74" t="str">
        <x:v>PW-016</x:v>
      </x:c>
      <x:c r="B20" s="74" t="str">
        <x:v>Generator head</x:v>
      </x:c>
      <x:c r="C20" s="74" t="str">
        <x:v>Recover and repair</x:v>
      </x:c>
      <x:c r="D20" s="74" t="str">
        <x:v>Alternator; permanent-magnet generator; bearings</x:v>
      </x:c>
      <x:c r="E20" s="74" t="str">
        <x:v>Electrical and machine bench</x:v>
      </x:c>
      <x:c r="F20" s="74" t="str">
        <x:v>Winding resistance; insulation; output versus speed</x:v>
      </x:c>
      <x:c r="G20" s="74" t="str">
        <x:v>Converts rotary work to electricity</x:v>
      </x:c>
      <x:c r="H20" s="74" t="str">
        <x:v>Overspeed; high current; rotor failure</x:v>
      </x:c>
      <x:c r="I20" s="74" t="str">
        <x:v>Critical</x:v>
      </x:c>
      <x:c r="J20" s="74" t="str">
        <x:v>H5</x:v>
      </x:c>
      <x:c r="K20" s="74" t="str">
        <x:v>Meter; transmission; regulator</x:v>
      </x:c>
    </x:row>
    <x:row r="21" ht="40.5" customHeight="1">
      <x:c r="A21" s="74" t="str">
        <x:v>PW-017</x:v>
      </x:c>
      <x:c r="B21" s="74" t="str">
        <x:v>Rectifier</x:v>
      </x:c>
      <x:c r="C21" s="74" t="str">
        <x:v>Recover or build from diodes</x:v>
      </x:c>
      <x:c r="D21" s="74" t="str">
        <x:v>Diodes; heat sink; wire; enclosure</x:v>
      </x:c>
      <x:c r="E21" s="74" t="str">
        <x:v>Electrical bench</x:v>
      </x:c>
      <x:c r="F21" s="74" t="str">
        <x:v>Correct DC polarity and temperature under load</x:v>
      </x:c>
      <x:c r="G21" s="74" t="str">
        <x:v>Converts AC generator output to DC</x:v>
      </x:c>
      <x:c r="H21" s="74" t="str">
        <x:v>Shorted diode; heat</x:v>
      </x:c>
      <x:c r="I21" s="74" t="str">
        <x:v>High</x:v>
      </x:c>
      <x:c r="J21" s="74" t="str">
        <x:v>H4</x:v>
      </x:c>
      <x:c r="K21" s="74" t="str">
        <x:v>Meter and circuit knowledge</x:v>
      </x:c>
    </x:row>
    <x:row r="22" ht="40.5" customHeight="1">
      <x:c r="A22" s="74" t="str">
        <x:v>PW-018</x:v>
      </x:c>
      <x:c r="B22" s="74" t="str">
        <x:v>Voltage regulator</x:v>
      </x:c>
      <x:c r="C22" s="74" t="str">
        <x:v>Recover or repair</x:v>
      </x:c>
      <x:c r="D22" s="74" t="str">
        <x:v>Regulator; reference; heat sink; wiring</x:v>
      </x:c>
      <x:c r="E22" s="74" t="str">
        <x:v>Electrical bench</x:v>
      </x:c>
      <x:c r="F22" s="74" t="str">
        <x:v>Stable output across speed and load range</x:v>
      </x:c>
      <x:c r="G22" s="74" t="str">
        <x:v>Protects battery and loads</x:v>
      </x:c>
      <x:c r="H22" s="74" t="str">
        <x:v>Overvoltage destroys system</x:v>
      </x:c>
      <x:c r="I22" s="74" t="str">
        <x:v>Critical</x:v>
      </x:c>
      <x:c r="J22" s="74" t="str">
        <x:v>H5</x:v>
      </x:c>
      <x:c r="K22" s="74" t="str">
        <x:v>Meter; known load; diagram</x:v>
      </x:c>
    </x:row>
    <x:row r="23" ht="40.5" customHeight="1">
      <x:c r="A23" s="74" t="str">
        <x:v>PW-019</x:v>
      </x:c>
      <x:c r="B23" s="74" t="str">
        <x:v>Charge controller</x:v>
      </x:c>
      <x:c r="C23" s="74" t="str">
        <x:v>Recover or build only with proof</x:v>
      </x:c>
      <x:c r="D23" s="74" t="str">
        <x:v>Controller; current sensor; temperature sensor</x:v>
      </x:c>
      <x:c r="E23" s="74" t="str">
        <x:v>Electrical bench</x:v>
      </x:c>
      <x:c r="F23" s="74" t="str">
        <x:v>Charge profile and cutoff test with sacrificial or protected load</x:v>
      </x:c>
      <x:c r="G23" s="74" t="str">
        <x:v>Manages storage chemistry</x:v>
      </x:c>
      <x:c r="H23" s="74" t="str">
        <x:v>Overcharge; reverse current</x:v>
      </x:c>
      <x:c r="I23" s="74" t="str">
        <x:v>Critical</x:v>
      </x:c>
      <x:c r="J23" s="74" t="str">
        <x:v>H5</x:v>
      </x:c>
      <x:c r="K23" s="74" t="str">
        <x:v>Regulator and battery knowledge</x:v>
      </x:c>
    </x:row>
    <x:row r="24" ht="40.5" customHeight="1">
      <x:c r="A24" s="74" t="str">
        <x:v>PW-020</x:v>
      </x:c>
      <x:c r="B24" s="74" t="str">
        <x:v>Resistive dump load</x:v>
      </x:c>
      <x:c r="C24" s="74" t="str">
        <x:v>Make</x:v>
      </x:c>
      <x:c r="D24" s="74" t="str">
        <x:v>Heating element; ceramic support; switch or controller</x:v>
      </x:c>
      <x:c r="E24" s="74" t="str">
        <x:v>Ventilated power station</x:v>
      </x:c>
      <x:c r="F24" s="74" t="str">
        <x:v>Rated power heat test</x:v>
      </x:c>
      <x:c r="G24" s="74" t="str">
        <x:v>Absorbs excess wind or water generation</x:v>
      </x:c>
      <x:c r="H24" s="74" t="str">
        <x:v>Fire; open circuit causes overspeed</x:v>
      </x:c>
      <x:c r="I24" s="74" t="str">
        <x:v>High</x:v>
      </x:c>
      <x:c r="J24" s="74" t="str">
        <x:v>H5</x:v>
      </x:c>
      <x:c r="K24" s="74" t="str">
        <x:v>Controller and generator</x:v>
      </x:c>
    </x:row>
    <x:row r="25" ht="40.5" customHeight="1">
      <x:c r="A25" s="74" t="str">
        <x:v>PW-021</x:v>
      </x:c>
      <x:c r="B25" s="74" t="str">
        <x:v>LED lighting circuit</x:v>
      </x:c>
      <x:c r="C25" s="74" t="str">
        <x:v>Recover and assemble</x:v>
      </x:c>
      <x:c r="D25" s="74" t="str">
        <x:v>LED lamps; wire; switch; fuse</x:v>
      </x:c>
      <x:c r="E25" s="74" t="str">
        <x:v>Electrical bench</x:v>
      </x:c>
      <x:c r="F25" s="74" t="str">
        <x:v>Current; polarity; heat; nighttime run</x:v>
      </x:c>
      <x:c r="G25" s="74" t="str">
        <x:v>First useful low-energy load</x:v>
      </x:c>
      <x:c r="H25" s="74" t="str">
        <x:v>Glare; moisture short</x:v>
      </x:c>
      <x:c r="I25" s="74" t="str">
        <x:v>Low</x:v>
      </x:c>
      <x:c r="J25" s="74" t="str">
        <x:v>H3</x:v>
      </x:c>
      <x:c r="K25" s="74" t="str">
        <x:v>DC bus</x:v>
      </x:c>
    </x:row>
    <x:row r="26" ht="40.5" customHeight="1">
      <x:c r="A26" s="74" t="str">
        <x:v>PW-022</x:v>
      </x:c>
      <x:c r="B26" s="74" t="str">
        <x:v>Radio charging outlet</x:v>
      </x:c>
      <x:c r="C26" s="74" t="str">
        <x:v>Make</x:v>
      </x:c>
      <x:c r="D26" s="74" t="str">
        <x:v>Regulated converter; connector; fuse</x:v>
      </x:c>
      <x:c r="E26" s="74" t="str">
        <x:v>Electrical bench</x:v>
      </x:c>
      <x:c r="F26" s="74" t="str">
        <x:v>Voltage and ripple under load</x:v>
      </x:c>
      <x:c r="G26" s="74" t="str">
        <x:v>Information and rescue communications</x:v>
      </x:c>
      <x:c r="H26" s="74" t="str">
        <x:v>Overvoltage damages radio</x:v>
      </x:c>
      <x:c r="I26" s="74" t="str">
        <x:v>Medium</x:v>
      </x:c>
      <x:c r="J26" s="74" t="str">
        <x:v>H4</x:v>
      </x:c>
      <x:c r="K26" s="74" t="str">
        <x:v>Stable DC bus</x:v>
      </x:c>
    </x:row>
    <x:row r="27" ht="40.5" customHeight="1">
      <x:c r="A27" s="74" t="str">
        <x:v>PW-023</x:v>
      </x:c>
      <x:c r="B27" s="74" t="str">
        <x:v>Water-pump circuit</x:v>
      </x:c>
      <x:c r="C27" s="74" t="str">
        <x:v>Assemble</x:v>
      </x:c>
      <x:c r="D27" s="74" t="str">
        <x:v>DC motor; pump; switch; fuse; hose</x:v>
      </x:c>
      <x:c r="E27" s="74" t="str">
        <x:v>Pump station</x:v>
      </x:c>
      <x:c r="F27" s="74" t="str">
        <x:v>Flow; current; dry-run cutoff</x:v>
      </x:c>
      <x:c r="G27" s="74" t="str">
        <x:v>Moves water and irrigation</x:v>
      </x:c>
      <x:c r="H27" s="74" t="str">
        <x:v>Flooding; stalled motor; contamination</x:v>
      </x:c>
      <x:c r="I27" s="74" t="str">
        <x:v>High</x:v>
      </x:c>
      <x:c r="J27" s="74" t="str">
        <x:v>H4</x:v>
      </x:c>
      <x:c r="K27" s="74" t="str">
        <x:v>DC bus and qualified pump</x:v>
      </x:c>
    </x:row>
    <x:row r="28" ht="40.5" customHeight="1">
      <x:c r="A28" s="74" t="str">
        <x:v>PW-024</x:v>
      </x:c>
      <x:c r="B28" s="74" t="str">
        <x:v>Machine-drive circuit</x:v>
      </x:c>
      <x:c r="C28" s="74" t="str">
        <x:v>Assemble</x:v>
      </x:c>
      <x:c r="D28" s="74" t="str">
        <x:v>Motor; controller; guard; emergency stop</x:v>
      </x:c>
      <x:c r="E28" s="74" t="str">
        <x:v>Machine shop</x:v>
      </x:c>
      <x:c r="F28" s="74" t="str">
        <x:v>No-load; guarded load; stop test</x:v>
      </x:c>
      <x:c r="G28" s="74" t="str">
        <x:v>Powers drill; lathe; blower</x:v>
      </x:c>
      <x:c r="H28" s="74" t="str">
        <x:v>Entanglement; torque; fire</x:v>
      </x:c>
      <x:c r="I28" s="74" t="str">
        <x:v>Critical</x:v>
      </x:c>
      <x:c r="J28" s="74" t="str">
        <x:v>H5</x:v>
      </x:c>
      <x:c r="K28" s="74" t="str">
        <x:v>Stable power and machine controls</x:v>
      </x:c>
    </x:row>
    <x:row r="29" ht="40.5" customHeight="1">
      <x:c r="A29" s="74" t="str">
        <x:v>PW-025</x:v>
      </x:c>
      <x:c r="B29" s="74" t="str">
        <x:v>Boiler water reservoir</x:v>
      </x:c>
      <x:c r="C29" s="74" t="str">
        <x:v>Make or recover</x:v>
      </x:c>
      <x:c r="D29" s="74" t="str">
        <x:v>Clean tank; level marks; strainer</x:v>
      </x:c>
      <x:c r="E29" s="74" t="str">
        <x:v>Boiler house</x:v>
      </x:c>
      <x:c r="F29" s="74" t="str">
        <x:v>Leak and contamination test</x:v>
      </x:c>
      <x:c r="G29" s="74" t="str">
        <x:v>Holds feedwater</x:v>
      </x:c>
      <x:c r="H29" s="74" t="str">
        <x:v>Dirty water scales boiler</x:v>
      </x:c>
      <x:c r="I29" s="74" t="str">
        <x:v>High</x:v>
      </x:c>
      <x:c r="J29" s="74" t="str">
        <x:v>H4</x:v>
      </x:c>
      <x:c r="K29" s="74" t="str">
        <x:v>Water treatment</x:v>
      </x:c>
    </x:row>
    <x:row r="30" ht="40.5" customHeight="1">
      <x:c r="A30" s="74" t="str">
        <x:v>PW-026</x:v>
      </x:c>
      <x:c r="B30" s="74" t="str">
        <x:v>Feedwater treatment set</x:v>
      </x:c>
      <x:c r="C30" s="74" t="str">
        <x:v>Make</x:v>
      </x:c>
      <x:c r="D30" s="74" t="str">
        <x:v>Settling tank; filter; chemical test tools</x:v>
      </x:c>
      <x:c r="E30" s="74" t="str">
        <x:v>Water bench</x:v>
      </x:c>
      <x:c r="F30" s="74" t="str">
        <x:v>Hardness and sediment trend; clear sample</x:v>
      </x:c>
      <x:c r="G30" s="74" t="str">
        <x:v>Reduces scale and corrosion</x:v>
      </x:c>
      <x:c r="H30" s="74" t="str">
        <x:v>Wrong treatment accelerates damage</x:v>
      </x:c>
      <x:c r="I30" s="74" t="str">
        <x:v>High</x:v>
      </x:c>
      <x:c r="J30" s="74" t="str">
        <x:v>H5</x:v>
      </x:c>
      <x:c r="K30" s="74" t="str">
        <x:v>Water chemistry knowledge</x:v>
      </x:c>
    </x:row>
    <x:row r="31" ht="40.5" customHeight="1">
      <x:c r="A31" s="74" t="str">
        <x:v>PW-027</x:v>
      </x:c>
      <x:c r="B31" s="74" t="str">
        <x:v>Feedwater pump</x:v>
      </x:c>
      <x:c r="C31" s="74" t="str">
        <x:v>Recover or build</x:v>
      </x:c>
      <x:c r="D31" s="74" t="str">
        <x:v>Hand pump or driven pump; check valves; seals</x:v>
      </x:c>
      <x:c r="E31" s="74" t="str">
        <x:v>Pump bench</x:v>
      </x:c>
      <x:c r="F31" s="74" t="str">
        <x:v>Flow against test pressure; no backflow</x:v>
      </x:c>
      <x:c r="G31" s="74" t="str">
        <x:v>Adds water against boiler pressure</x:v>
      </x:c>
      <x:c r="H31" s="74" t="str">
        <x:v>Loss of feed causes overheating</x:v>
      </x:c>
      <x:c r="I31" s="74" t="str">
        <x:v>Critical</x:v>
      </x:c>
      <x:c r="J31" s="74" t="str">
        <x:v>H6</x:v>
      </x:c>
      <x:c r="K31" s="74" t="str">
        <x:v>Qualified check valves</x:v>
      </x:c>
    </x:row>
    <x:row r="32" ht="40.5" customHeight="1">
      <x:c r="A32" s="74" t="str">
        <x:v>PW-028</x:v>
      </x:c>
      <x:c r="B32" s="74" t="str">
        <x:v>Rated boiler shell</x:v>
      </x:c>
      <x:c r="C32" s="74" t="str">
        <x:v>Recover certified vessel or fabricate only after advanced qualification</x:v>
      </x:c>
      <x:c r="D32" s="74" t="str">
        <x:v>Traceable pressure-rated vessel; fittings</x:v>
      </x:c>
      <x:c r="E32" s="74" t="str">
        <x:v>Boiler shop</x:v>
      </x:c>
      <x:c r="F32" s="74" t="str">
        <x:v>Material identification; inspection; hydrostatic proof by qualified route</x:v>
      </x:c>
      <x:c r="G32" s="74" t="str">
        <x:v>Contains hot water and steam</x:v>
      </x:c>
      <x:c r="H32" s="74" t="str">
        <x:v>Rupture explosion</x:v>
      </x:c>
      <x:c r="I32" s="74" t="str">
        <x:v>Critical</x:v>
      </x:c>
      <x:c r="J32" s="74" t="str">
        <x:v>H7</x:v>
      </x:c>
      <x:c r="K32" s="74" t="str">
        <x:v>Metallurgy; pressure-vessel knowledge; Director gate</x:v>
      </x:c>
    </x:row>
    <x:row r="33" ht="40.5" customHeight="1">
      <x:c r="A33" s="74" t="str">
        <x:v>PW-029</x:v>
      </x:c>
      <x:c r="B33" s="74" t="str">
        <x:v>Firebox and grate</x:v>
      </x:c>
      <x:c r="C33" s="74" t="str">
        <x:v>Make</x:v>
      </x:c>
      <x:c r="D33" s="74" t="str">
        <x:v>Steel plate; refractory clay; grate; ash door</x:v>
      </x:c>
      <x:c r="E33" s="74" t="str">
        <x:v>Boiler house</x:v>
      </x:c>
      <x:c r="F33" s="74" t="str">
        <x:v>Stable burn; controlled draft; surface temperature map</x:v>
      </x:c>
      <x:c r="G33" s="74" t="str">
        <x:v>Produces boiler heat</x:v>
      </x:c>
      <x:c r="H33" s="74" t="str">
        <x:v>Fire spread; carbon monoxide</x:v>
      </x:c>
      <x:c r="I33" s="74" t="str">
        <x:v>Critical</x:v>
      </x:c>
      <x:c r="J33" s="74" t="str">
        <x:v>H5</x:v>
      </x:c>
      <x:c r="K33" s="74" t="str">
        <x:v>Chimney and clearance</x:v>
      </x:c>
    </x:row>
    <x:row r="34" ht="40.5" customHeight="1">
      <x:c r="A34" s="74" t="str">
        <x:v>PW-030</x:v>
      </x:c>
      <x:c r="B34" s="74" t="str">
        <x:v>Chimney and damper</x:v>
      </x:c>
      <x:c r="C34" s="74" t="str">
        <x:v>Make</x:v>
      </x:c>
      <x:c r="D34" s="74" t="str">
        <x:v>Pipe; sheet; brackets; spark arrestor</x:v>
      </x:c>
      <x:c r="E34" s="74" t="str">
        <x:v>Boiler house</x:v>
      </x:c>
      <x:c r="F34" s="74" t="str">
        <x:v>Draft; smoke leakage; spark test</x:v>
      </x:c>
      <x:c r="G34" s="74" t="str">
        <x:v>Removes combustion gas and controls burn</x:v>
      </x:c>
      <x:c r="H34" s="74" t="str">
        <x:v>CO; fire; hot surfaces</x:v>
      </x:c>
      <x:c r="I34" s="74" t="str">
        <x:v>Critical</x:v>
      </x:c>
      <x:c r="J34" s="74" t="str">
        <x:v>H5</x:v>
      </x:c>
      <x:c r="K34" s="74" t="str">
        <x:v>Firebox</x:v>
      </x:c>
    </x:row>
    <x:row r="35" ht="40.5" customHeight="1">
      <x:c r="A35" s="74" t="str">
        <x:v>PW-031</x:v>
      </x:c>
      <x:c r="B35" s="74" t="str">
        <x:v>Water-level gauge</x:v>
      </x:c>
      <x:c r="C35" s="74" t="str">
        <x:v>Recover and qualify</x:v>
      </x:c>
      <x:c r="D35" s="74" t="str">
        <x:v>Sight glass; valves; guards</x:v>
      </x:c>
      <x:c r="E35" s="74" t="str">
        <x:v>Boiler bench</x:v>
      </x:c>
      <x:c r="F35" s="74" t="str">
        <x:v>Level matches known fill over range</x:v>
      </x:c>
      <x:c r="G35" s="74" t="str">
        <x:v>Prevents dry firing</x:v>
      </x:c>
      <x:c r="H35" s="74" t="str">
        <x:v>False level; glass rupture</x:v>
      </x:c>
      <x:c r="I35" s="74" t="str">
        <x:v>Critical</x:v>
      </x:c>
      <x:c r="J35" s="74" t="str">
        <x:v>H6</x:v>
      </x:c>
      <x:c r="K35" s="74" t="str">
        <x:v>Rated boiler shell</x:v>
      </x:c>
    </x:row>
    <x:row r="36" ht="40.5" customHeight="1">
      <x:c r="A36" s="74" t="str">
        <x:v>PW-032</x:v>
      </x:c>
      <x:c r="B36" s="74" t="str">
        <x:v>Boiler pressure gauge</x:v>
      </x:c>
      <x:c r="C36" s="74" t="str">
        <x:v>Recover and calibrate</x:v>
      </x:c>
      <x:c r="D36" s="74" t="str">
        <x:v>Pressure gauge; siphon; valve</x:v>
      </x:c>
      <x:c r="E36" s="74" t="str">
        <x:v>Instrument bench</x:v>
      </x:c>
      <x:c r="F36" s="74" t="str">
        <x:v>Compare with reference across working range</x:v>
      </x:c>
      <x:c r="G36" s="74" t="str">
        <x:v>Shows operating pressure</x:v>
      </x:c>
      <x:c r="H36" s="74" t="str">
        <x:v>False low reading</x:v>
      </x:c>
      <x:c r="I36" s="74" t="str">
        <x:v>Critical</x:v>
      </x:c>
      <x:c r="J36" s="74" t="str">
        <x:v>H6</x:v>
      </x:c>
      <x:c r="K36" s="74" t="str">
        <x:v>Metering and reference gauge</x:v>
      </x:c>
    </x:row>
    <x:row r="37" ht="40.5" customHeight="1">
      <x:c r="A37" s="74" t="str">
        <x:v>PW-033</x:v>
      </x:c>
      <x:c r="B37" s="74" t="str">
        <x:v>Safety relief valve</x:v>
      </x:c>
      <x:c r="C37" s="74" t="str">
        <x:v>Recover or qualified fabrication</x:v>
      </x:c>
      <x:c r="D37" s="74" t="str">
        <x:v>Rated valve; spring; sealed adjustment</x:v>
      </x:c>
      <x:c r="E37" s="74" t="str">
        <x:v>Pressure test station</x:v>
      </x:c>
      <x:c r="F37" s="74" t="str">
        <x:v>Opens and reseats at proven pressure</x:v>
      </x:c>
      <x:c r="G37" s="74" t="str">
        <x:v>Prevents overpressure</x:v>
      </x:c>
      <x:c r="H37" s="74" t="str">
        <x:v>Stuck valve or wrong setting</x:v>
      </x:c>
      <x:c r="I37" s="74" t="str">
        <x:v>Critical</x:v>
      </x:c>
      <x:c r="J37" s="74" t="str">
        <x:v>H7</x:v>
      </x:c>
      <x:c r="K37" s="74" t="str">
        <x:v>Pressure test capability</x:v>
      </x:c>
    </x:row>
    <x:row r="38" ht="40.5" customHeight="1">
      <x:c r="A38" s="74" t="str">
        <x:v>PW-034</x:v>
      </x:c>
      <x:c r="B38" s="74" t="str">
        <x:v>Low-water protection</x:v>
      </x:c>
      <x:c r="C38" s="74" t="str">
        <x:v>Recover or build with redundancy</x:v>
      </x:c>
      <x:c r="D38" s="74" t="str">
        <x:v>Float or probe; trip linkage; alarm</x:v>
      </x:c>
      <x:c r="E38" s="74" t="str">
        <x:v>Boiler controls bench</x:v>
      </x:c>
      <x:c r="F38" s="74" t="str">
        <x:v>Forces safe shutdown at simulated low level</x:v>
      </x:c>
      <x:c r="G38" s="74" t="str">
        <x:v>Prevents overheated shell</x:v>
      </x:c>
      <x:c r="H38" s="74" t="str">
        <x:v>Sensor sticks or bypassed trip</x:v>
      </x:c>
      <x:c r="I38" s="74" t="str">
        <x:v>Critical</x:v>
      </x:c>
      <x:c r="J38" s="74" t="str">
        <x:v>H7</x:v>
      </x:c>
      <x:c r="K38" s="74" t="str">
        <x:v>Water-level gauge and shutoff</x:v>
      </x:c>
    </x:row>
    <x:row r="39" ht="40.5" customHeight="1">
      <x:c r="A39" s="74" t="str">
        <x:v>PW-035</x:v>
      </x:c>
      <x:c r="B39" s="74" t="str">
        <x:v>Main steam stop valve</x:v>
      </x:c>
      <x:c r="C39" s="74" t="str">
        <x:v>Recover and qualify</x:v>
      </x:c>
      <x:c r="D39" s="74" t="str">
        <x:v>Rated valve; flanges or fittings</x:v>
      </x:c>
      <x:c r="E39" s="74" t="str">
        <x:v>Pressure bench</x:v>
      </x:c>
      <x:c r="F39" s="74" t="str">
        <x:v>Leak; operation; pressure proof</x:v>
      </x:c>
      <x:c r="G39" s="74" t="str">
        <x:v>Isolates engine from boiler</x:v>
      </x:c>
      <x:c r="H39" s="74" t="str">
        <x:v>Hot leak; seized valve</x:v>
      </x:c>
      <x:c r="I39" s="74" t="str">
        <x:v>Critical</x:v>
      </x:c>
      <x:c r="J39" s="74" t="str">
        <x:v>H6</x:v>
      </x:c>
      <x:c r="K39" s="74" t="str">
        <x:v>Rated piping</x:v>
      </x:c>
    </x:row>
    <x:row r="40" ht="40.5" customHeight="1">
      <x:c r="A40" s="74" t="str">
        <x:v>PW-036</x:v>
      </x:c>
      <x:c r="B40" s="74" t="str">
        <x:v>Steam pipe and fittings</x:v>
      </x:c>
      <x:c r="C40" s="74" t="str">
        <x:v>Recover rated parts</x:v>
      </x:c>
      <x:c r="D40" s="74" t="str">
        <x:v>Known pipe; unions; elbows; supports; insulation</x:v>
      </x:c>
      <x:c r="E40" s="74" t="str">
        <x:v>Pipe bench</x:v>
      </x:c>
      <x:c r="F40" s="74" t="str">
        <x:v>Hydrostatic leak proof and thermal expansion allowance</x:v>
      </x:c>
      <x:c r="G40" s="74" t="str">
        <x:v>Carries steam safely</x:v>
      </x:c>
      <x:c r="H40" s="74" t="str">
        <x:v>Scalding jet; water hammer</x:v>
      </x:c>
      <x:c r="I40" s="74" t="str">
        <x:v>Critical</x:v>
      </x:c>
      <x:c r="J40" s="74" t="str">
        <x:v>H6</x:v>
      </x:c>
      <x:c r="K40" s="74" t="str">
        <x:v>Stop valve and drainage</x:v>
      </x:c>
    </x:row>
    <x:row r="41" ht="40.5" customHeight="1">
      <x:c r="A41" s="74" t="str">
        <x:v>PW-037</x:v>
      </x:c>
      <x:c r="B41" s="74" t="str">
        <x:v>Steam separator and drain</x:v>
      </x:c>
      <x:c r="C41" s="74" t="str">
        <x:v>Make or recover</x:v>
      </x:c>
      <x:c r="D41" s="74" t="str">
        <x:v>Separator body; drain valve; trap or manual procedure</x:v>
      </x:c>
      <x:c r="E41" s="74" t="str">
        <x:v>Steam bench</x:v>
      </x:c>
      <x:c r="F41" s="74" t="str">
        <x:v>Reduced carryover; controlled condensate drain</x:v>
      </x:c>
      <x:c r="G41" s="74" t="str">
        <x:v>Protects engine from wet steam</x:v>
      </x:c>
      <x:c r="H41" s="74" t="str">
        <x:v>Water slug damages engine</x:v>
      </x:c>
      <x:c r="I41" s="74" t="str">
        <x:v>High</x:v>
      </x:c>
      <x:c r="J41" s="74" t="str">
        <x:v>H6</x:v>
      </x:c>
      <x:c r="K41" s="74" t="str">
        <x:v>Steam piping</x:v>
      </x:c>
    </x:row>
    <x:row r="42" ht="40.5" customHeight="1">
      <x:c r="A42" s="74" t="str">
        <x:v>PW-038</x:v>
      </x:c>
      <x:c r="B42" s="74" t="str">
        <x:v>Steam-engine cylinder</x:v>
      </x:c>
      <x:c r="C42" s="74" t="str">
        <x:v>Recover or machine</x:v>
      </x:c>
      <x:c r="D42" s="74" t="str">
        <x:v>Cylinder; head; ports; fasteners</x:v>
      </x:c>
      <x:c r="E42" s="74" t="str">
        <x:v>Machine shop</x:v>
      </x:c>
      <x:c r="F42" s="74" t="str">
        <x:v>Bore; seal; low-pressure air test</x:v>
      </x:c>
      <x:c r="G42" s="74" t="str">
        <x:v>Converts steam pressure to piston force</x:v>
      </x:c>
      <x:c r="H42" s="74" t="str">
        <x:v>Leak; seizure; head failure</x:v>
      </x:c>
      <x:c r="I42" s="74" t="str">
        <x:v>Critical</x:v>
      </x:c>
      <x:c r="J42" s="74" t="str">
        <x:v>H6</x:v>
      </x:c>
      <x:c r="K42" s="74" t="str">
        <x:v>Precision measurement and machining</x:v>
      </x:c>
    </x:row>
    <x:row r="43" ht="40.5" customHeight="1">
      <x:c r="A43" s="74" t="str">
        <x:v>PW-039</x:v>
      </x:c>
      <x:c r="B43" s="74" t="str">
        <x:v>Piston and rings</x:v>
      </x:c>
      <x:c r="C43" s="74" t="str">
        <x:v>Recover or machine</x:v>
      </x:c>
      <x:c r="D43" s="74" t="str">
        <x:v>Piston; rings or packing; pin</x:v>
      </x:c>
      <x:c r="E43" s="74" t="str">
        <x:v>Machine shop</x:v>
      </x:c>
      <x:c r="F43" s="74" t="str">
        <x:v>Fit; friction; air leakage test</x:v>
      </x:c>
      <x:c r="G43" s="74" t="str">
        <x:v>Moving seal inside cylinder</x:v>
      </x:c>
      <x:c r="H43" s="74" t="str">
        <x:v>Blow-by; ring break</x:v>
      </x:c>
      <x:c r="I43" s="74" t="str">
        <x:v>High</x:v>
      </x:c>
      <x:c r="J43" s="74" t="str">
        <x:v>H6</x:v>
      </x:c>
      <x:c r="K43" s="74" t="str">
        <x:v>Engine cylinder</x:v>
      </x:c>
    </x:row>
    <x:row r="44" ht="40.5" customHeight="1">
      <x:c r="A44" s="74" t="str">
        <x:v>PW-040</x:v>
      </x:c>
      <x:c r="B44" s="74" t="str">
        <x:v>Piston rod and crosshead</x:v>
      </x:c>
      <x:c r="C44" s="74" t="str">
        <x:v>Make or recover</x:v>
      </x:c>
      <x:c r="D44" s="74" t="str">
        <x:v>Straight rod; guides; fasteners</x:v>
      </x:c>
      <x:c r="E44" s="74" t="str">
        <x:v>Aligned machine frame</x:v>
      </x:c>
      <x:c r="F44" s="74" t="str">
        <x:v>Straight travel and side-load check</x:v>
      </x:c>
      <x:c r="G44" s="74" t="str">
        <x:v>Transfers force while protecting seal</x:v>
      </x:c>
      <x:c r="H44" s="74" t="str">
        <x:v>Rod buckles; guide binds</x:v>
      </x:c>
      <x:c r="I44" s="74" t="str">
        <x:v>High</x:v>
      </x:c>
      <x:c r="J44" s="74" t="str">
        <x:v>H6</x:v>
      </x:c>
      <x:c r="K44" s="74" t="str">
        <x:v>Measurement and bearings</x:v>
      </x:c>
    </x:row>
    <x:row r="45" ht="40.5" customHeight="1">
      <x:c r="A45" s="74" t="str">
        <x:v>PW-041</x:v>
      </x:c>
      <x:c r="B45" s="74" t="str">
        <x:v>Connecting rod and crank</x:v>
      </x:c>
      <x:c r="C45" s="74" t="str">
        <x:v>Recover or make</x:v>
      </x:c>
      <x:c r="D45" s="74" t="str">
        <x:v>Rod; crankshaft; pins; bearings</x:v>
      </x:c>
      <x:c r="E45" s="74" t="str">
        <x:v>Machine shop</x:v>
      </x:c>
      <x:c r="F45" s="74" t="str">
        <x:v>Geometry; clearance; slow hand rotation</x:v>
      </x:c>
      <x:c r="G45" s="74" t="str">
        <x:v>Converts reciprocation to rotation</x:v>
      </x:c>
      <x:c r="H45" s="74" t="str">
        <x:v>Thrown rod; bearing seizure</x:v>
      </x:c>
      <x:c r="I45" s="74" t="str">
        <x:v>Critical</x:v>
      </x:c>
      <x:c r="J45" s="74" t="str">
        <x:v>H6</x:v>
      </x:c>
      <x:c r="K45" s="74" t="str">
        <x:v>Crosshead and flywheel</x:v>
      </x:c>
    </x:row>
    <x:row r="46" ht="40.5" customHeight="1">
      <x:c r="A46" s="74" t="str">
        <x:v>PW-042</x:v>
      </x:c>
      <x:c r="B46" s="74" t="str">
        <x:v>Flywheel with guard</x:v>
      </x:c>
      <x:c r="C46" s="74" t="str">
        <x:v>Recover and qualify</x:v>
      </x:c>
      <x:c r="D46" s="74" t="str">
        <x:v>Flywheel; hub; key; shaft; full guard</x:v>
      </x:c>
      <x:c r="E46" s="74" t="str">
        <x:v>Machine frame</x:v>
      </x:c>
      <x:c r="F46" s="74" t="str">
        <x:v>Crack inspection; balance; overspeed margin</x:v>
      </x:c>
      <x:c r="G46" s="74" t="str">
        <x:v>Smooths torque through cycle</x:v>
      </x:c>
      <x:c r="H46" s="74" t="str">
        <x:v>Burst or entanglement</x:v>
      </x:c>
      <x:c r="I46" s="74" t="str">
        <x:v>Critical</x:v>
      </x:c>
      <x:c r="J46" s="74" t="str">
        <x:v>H7</x:v>
      </x:c>
      <x:c r="K46" s="74" t="str">
        <x:v>Crankshaft and rated bearings</x:v>
      </x:c>
    </x:row>
    <x:row r="47" ht="40.5" customHeight="1">
      <x:c r="A47" s="74" t="str">
        <x:v>PW-043</x:v>
      </x:c>
      <x:c r="B47" s="74" t="str">
        <x:v>Engine valve gear</x:v>
      </x:c>
      <x:c r="C47" s="74" t="str">
        <x:v>Recover or make</x:v>
      </x:c>
      <x:c r="D47" s="74" t="str">
        <x:v>Slide or poppet valve; eccentric; linkage</x:v>
      </x:c>
      <x:c r="E47" s="74" t="str">
        <x:v>Machine shop</x:v>
      </x:c>
      <x:c r="F47" s="74" t="str">
        <x:v>Timing by slow rotation; air test; reversal test</x:v>
      </x:c>
      <x:c r="G47" s="74" t="str">
        <x:v>Admits and exhausts steam</x:v>
      </x:c>
      <x:c r="H47" s="74" t="str">
        <x:v>Wrong timing locks or wastes steam</x:v>
      </x:c>
      <x:c r="I47" s="74" t="str">
        <x:v>High</x:v>
      </x:c>
      <x:c r="J47" s="74" t="str">
        <x:v>H6</x:v>
      </x:c>
      <x:c r="K47" s="74" t="str">
        <x:v>Crank geometry</x:v>
      </x:c>
    </x:row>
    <x:row r="48" ht="40.5" customHeight="1">
      <x:c r="A48" s="74" t="str">
        <x:v>PW-044</x:v>
      </x:c>
      <x:c r="B48" s="74" t="str">
        <x:v>Mechanical governor</x:v>
      </x:c>
      <x:c r="C48" s="74" t="str">
        <x:v>Recover or make</x:v>
      </x:c>
      <x:c r="D48" s="74" t="str">
        <x:v>Weights; springs; linkage; throttle valve</x:v>
      </x:c>
      <x:c r="E48" s="74" t="str">
        <x:v>Engine controls bench</x:v>
      </x:c>
      <x:c r="F48" s="74" t="str">
        <x:v>Load rejection without dangerous overspeed</x:v>
      </x:c>
      <x:c r="G48" s="74" t="str">
        <x:v>Controls speed</x:v>
      </x:c>
      <x:c r="H48" s="74" t="str">
        <x:v>Sticking linkage; overspeed</x:v>
      </x:c>
      <x:c r="I48" s="74" t="str">
        <x:v>Critical</x:v>
      </x:c>
      <x:c r="J48" s="74" t="str">
        <x:v>H7</x:v>
      </x:c>
      <x:c r="K48" s="74" t="str">
        <x:v>Valve gear and tachometer</x:v>
      </x:c>
    </x:row>
    <x:row r="49" ht="40.5" customHeight="1">
      <x:c r="A49" s="74" t="str">
        <x:v>PW-045</x:v>
      </x:c>
      <x:c r="B49" s="74" t="str">
        <x:v>Lubricator</x:v>
      </x:c>
      <x:c r="C49" s="74" t="str">
        <x:v>Recover or make</x:v>
      </x:c>
      <x:c r="D49" s="74" t="str">
        <x:v>Oil reservoir; metering valve; lines</x:v>
      </x:c>
      <x:c r="E49" s="74" t="str">
        <x:v>Engine bench</x:v>
      </x:c>
      <x:c r="F49" s="74" t="str">
        <x:v>Visible delivery; bearing temperature trend</x:v>
      </x:c>
      <x:c r="G49" s="74" t="str">
        <x:v>Protects cylinder and bearings</x:v>
      </x:c>
      <x:c r="H49" s="74" t="str">
        <x:v>Oil starvation; incompatible oil</x:v>
      </x:c>
      <x:c r="I49" s="74" t="str">
        <x:v>High</x:v>
      </x:c>
      <x:c r="J49" s="74" t="str">
        <x:v>H5</x:v>
      </x:c>
      <x:c r="K49" s="74" t="str">
        <x:v>Identified lubricant</x:v>
      </x:c>
    </x:row>
    <x:row r="50" ht="40.5" customHeight="1">
      <x:c r="A50" s="74" t="str">
        <x:v>PW-046</x:v>
      </x:c>
      <x:c r="B50" s="74" t="str">
        <x:v>Exhaust condenser</x:v>
      </x:c>
      <x:c r="C50" s="74" t="str">
        <x:v>Make or recover</x:v>
      </x:c>
      <x:c r="D50" s="74" t="str">
        <x:v>Copper tube; tank; cooling water circuit</x:v>
      </x:c>
      <x:c r="E50" s="74" t="str">
        <x:v>Plumbing bench</x:v>
      </x:c>
      <x:c r="F50" s="74" t="str">
        <x:v>Leak test; condensation rate; backpressure</x:v>
      </x:c>
      <x:c r="G50" s="74" t="str">
        <x:v>Recovers water and improves efficiency</x:v>
      </x:c>
      <x:c r="H50" s="74" t="str">
        <x:v>Vacuum collapse; contamination</x:v>
      </x:c>
      <x:c r="I50" s="74" t="str">
        <x:v>High</x:v>
      </x:c>
      <x:c r="J50" s="74" t="str">
        <x:v>H6</x:v>
      </x:c>
      <x:c r="K50" s="74" t="str">
        <x:v>Cooling and feedwater system</x:v>
      </x:c>
    </x:row>
    <x:row r="51" ht="40.5" customHeight="1">
      <x:c r="A51" s="74" t="str">
        <x:v>PW-047</x:v>
      </x:c>
      <x:c r="B51" s="74" t="str">
        <x:v>Engine-generator coupling</x:v>
      </x:c>
      <x:c r="C51" s="74" t="str">
        <x:v>Make</x:v>
      </x:c>
      <x:c r="D51" s="74" t="str">
        <x:v>Flexible coupling or guarded belt; aligned mounts</x:v>
      </x:c>
      <x:c r="E51" s="74" t="str">
        <x:v>Machine frame</x:v>
      </x:c>
      <x:c r="F51" s="74" t="str">
        <x:v>Runout; alignment; loaded vibration test</x:v>
      </x:c>
      <x:c r="G51" s="74" t="str">
        <x:v>Transfers engine rotation to generator</x:v>
      </x:c>
      <x:c r="H51" s="74" t="str">
        <x:v>Coupling failure; vibration</x:v>
      </x:c>
      <x:c r="I51" s="74" t="str">
        <x:v>Critical</x:v>
      </x:c>
      <x:c r="J51" s="74" t="str">
        <x:v>H6</x:v>
      </x:c>
      <x:c r="K51" s="74" t="str">
        <x:v>Engine and generator qualified separately</x:v>
      </x:c>
    </x:row>
    <x:row r="52" ht="40.5" customHeight="1">
      <x:c r="A52" s="74" t="str">
        <x:v>PW-048</x:v>
      </x:c>
      <x:c r="B52" s="74" t="str">
        <x:v>Tachometer</x:v>
      </x:c>
      <x:c r="C52" s="74" t="str">
        <x:v>Recover or make sensor</x:v>
      </x:c>
      <x:c r="D52" s="74" t="str">
        <x:v>Gauge or optical or magnetic pickup</x:v>
      </x:c>
      <x:c r="E52" s="74" t="str">
        <x:v>Instrument bench</x:v>
      </x:c>
      <x:c r="F52" s="74" t="str">
        <x:v>Compare against counted reference speed</x:v>
      </x:c>
      <x:c r="G52" s="74" t="str">
        <x:v>Enables governor and overspeed proof</x:v>
      </x:c>
      <x:c r="H52" s="74" t="str">
        <x:v>False reading</x:v>
      </x:c>
      <x:c r="I52" s="74" t="str">
        <x:v>High</x:v>
      </x:c>
      <x:c r="J52" s="74" t="str">
        <x:v>H5</x:v>
      </x:c>
      <x:c r="K52" s="74" t="str">
        <x:v>Meter and calibration knowledge</x:v>
      </x:c>
    </x:row>
    <x:row r="53" ht="40.5" customHeight="1">
      <x:c r="A53" s="74" t="str">
        <x:v>PW-049</x:v>
      </x:c>
      <x:c r="B53" s="74" t="str">
        <x:v>Boiler blowdown valve</x:v>
      </x:c>
      <x:c r="C53" s="74" t="str">
        <x:v>Recover and qualify</x:v>
      </x:c>
      <x:c r="D53" s="74" t="str">
        <x:v>Rated valve; pipe to safe drain</x:v>
      </x:c>
      <x:c r="E53" s="74" t="str">
        <x:v>Boiler house</x:v>
      </x:c>
      <x:c r="F53" s="74" t="str">
        <x:v>Operation under controlled condition; drain path</x:v>
      </x:c>
      <x:c r="G53" s="74" t="str">
        <x:v>Removes sediment and controls chemistry</x:v>
      </x:c>
      <x:c r="H53" s="74" t="str">
        <x:v>Scalding discharge</x:v>
      </x:c>
      <x:c r="I53" s="74" t="str">
        <x:v>Critical</x:v>
      </x:c>
      <x:c r="J53" s="74" t="str">
        <x:v>H6</x:v>
      </x:c>
      <x:c r="K53" s="74" t="str">
        <x:v>Boiler water management</x:v>
      </x:c>
    </x:row>
    <x:row r="54" ht="40.5" customHeight="1">
      <x:c r="A54" s="74" t="str">
        <x:v>PW-050</x:v>
      </x:c>
      <x:c r="B54" s="74" t="str">
        <x:v>Boiler-house fire and CO controls</x:v>
      </x:c>
      <x:c r="C54" s="74" t="str">
        <x:v>Make and recover</x:v>
      </x:c>
      <x:c r="D54" s="74" t="str">
        <x:v>Clearance; extinguishers; CO alarm; ventilation; barriers</x:v>
      </x:c>
      <x:c r="E54" s="74" t="str">
        <x:v>Boiler house</x:v>
      </x:c>
      <x:c r="F54" s="74" t="str">
        <x:v>Alarm test; escape route; spill and fire drill</x:v>
      </x:c>
      <x:c r="G54" s="74" t="str">
        <x:v>Makes continuous operation survivable</x:v>
      </x:c>
      <x:c r="H54" s="74" t="str">
        <x:v>Alarm failure; blocked ventilation</x:v>
      </x:c>
      <x:c r="I54" s="74" t="str">
        <x:v>Critical</x:v>
      </x:c>
      <x:c r="J54" s="74" t="str">
        <x:v>H6</x:v>
      </x:c>
      <x:c r="K54" s="74" t="str">
        <x:v>Firebox and electrical bus</x:v>
      </x:c>
    </x:row>
    <x:row r="55" ht="40.5" customHeight="1">
      <x:c r="A55" s="75" t="str">
        <x:v>PW-051</x:v>
      </x:c>
      <x:c r="B55" s="75" t="str">
        <x:v>Steam-electric commissioning log</x:v>
      </x:c>
      <x:c r="C55" s="75" t="str">
        <x:v>Create</x:v>
      </x:c>
      <x:c r="D55" s="75" t="str">
        <x:v>Notebook; gauges; meter; checklists</x:v>
      </x:c>
      <x:c r="E55" s="75" t="str">
        <x:v>Control station</x:v>
      </x:c>
      <x:c r="F55" s="75" t="str">
        <x:v>Records cold checks; hydro test; first steam; no-load; stepped load</x:v>
      </x:c>
      <x:c r="G55" s="75" t="str">
        <x:v>Evidence that the plant was proved rather than merely assembled</x:v>
      </x:c>
      <x:c r="H55" s="75" t="str">
        <x:v>Missing or falsified evidence</x:v>
      </x:c>
      <x:c r="I55" s="75" t="str">
        <x:v>High</x:v>
      </x:c>
      <x:c r="J55" s="75" t="str">
        <x:v>H6</x:v>
      </x:c>
      <x:c r="K55" s="75" t="str">
        <x:v>All subsystems</x:v>
      </x:c>
    </x:row>
  </x:sheetData>
  <x:mergeCells>
    <x:mergeCell ref="A1:K1"/>
    <x:mergeCell ref="A2:K2"/>
  </x:mergeCells>
  <x:conditionalFormatting sqref="I5:I55">
    <x:cfRule type="containsText" dxfId="6" priority="1" operator="containsText" text="Critical"/>
  </x:conditionalFormatting>
  <x:pageMargins left="0.7" right="0.7" top="0.75" bottom="0.75" header="0.3" footer="0.3"/>
  <x:tableParts count="1">
    <x:tablePart xmlns:r="http://schemas.openxmlformats.org/officeDocument/2006/relationships" r:id="R99516d9d404745c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34.439998626708984" hidden="0" customWidth="1"/>
    <x:col min="3" max="3" width="56.66999816894531" hidden="0" customWidth="1"/>
    <x:col min="4" max="4" width="37.779998779296875" hidden="0" customWidth="1"/>
  </x:cols>
  <x:sheetData>
    <x:row r="1" ht="27" customHeight="1">
      <x:c r="A1" s="56" t="str">
        <x:v>Research Sources and Design Translation</x:v>
      </x:c>
      <x:c r="B1" s="56"/>
      <x:c r="C1" s="56"/>
      <x:c r="D1" s="56"/>
    </x:row>
    <x:row r="2" ht="31.5" customHeight="1">
      <x:c r="A2" s="60" t="str">
        <x:v>Primary and authoritative sources ground plausible materials, tool actions, drift, maintenance and hazards. The catalogue converts them into game systems rather than simulation instructions.</x:v>
      </x:c>
      <x:c r="B2" s="60"/>
      <x:c r="C2" s="60"/>
      <x:c r="D2" s="60"/>
    </x:row>
    <x:row r="4" ht="25.5" customHeight="1">
      <x:c r="A4" s="65" t="str">
        <x:v>ID</x:v>
      </x:c>
      <x:c r="B4" s="65" t="str">
        <x:v>Source</x:v>
      </x:c>
      <x:c r="C4" s="65" t="str">
        <x:v>Design implication</x:v>
      </x:c>
      <x:c r="D4" s="65" t="str">
        <x:v>URL</x:v>
      </x:c>
    </x:row>
    <x:row r="5" ht="40.5" customHeight="1">
      <x:c r="A5" s="73" t="str">
        <x:v>RS-001</x:v>
      </x:c>
      <x:c r="B5" s="73" t="str">
        <x:v>NOAA Marine Debris Program — What is marine debris?</x:v>
      </x:c>
      <x:c r="C5" s="73" t="str">
        <x:v>Marine debris includes plastics, metals, rubber, paper, textiles, gear, vessels; wind, waves, currents and shoreline geometry move it.</x:v>
      </x:c>
      <x:c r="D5" s="79" t="str">
        <x:v>https://marinedebris.noaa.gov/discover-issue</x:v>
      </x:c>
    </x:row>
    <x:row r="6" ht="40.5" customHeight="1">
      <x:c r="A6" s="74" t="str">
        <x:v>RS-002</x:v>
      </x:c>
      <x:c r="B6" s="74" t="str">
        <x:v>NOAA — Ocean-based marine debris</x:v>
      </x:c>
      <x:c r="C6" s="74" t="str">
        <x:v>Plausible drift includes fishing gear, buoys, floats, bottles, equipment and container cargo; objects may float or sink.</x:v>
      </x:c>
      <x:c r="D6" s="80" t="str">
        <x:v>https://marinedebris.noaa.gov/discover-issue/ocean-based-marine-debris</x:v>
      </x:c>
    </x:row>
    <x:row r="7" ht="40.5" customHeight="1">
      <x:c r="A7" s="74" t="str">
        <x:v>RS-003</x:v>
      </x:c>
      <x:c r="B7" s="74" t="str">
        <x:v>NOAA — Derelict fishing gear</x:v>
      </x:c>
      <x:c r="C7" s="74" t="str">
        <x:v>Nets, lines, pots and traps persist, entangle wildlife and may continue ghost fishing.</x:v>
      </x:c>
      <x:c r="D7" s="80" t="str">
        <x:v>https://marinedebris.noaa.gov/discover-issue/derelict-fishing-gear</x:v>
      </x:c>
    </x:row>
    <x:row r="8" ht="40.5" customHeight="1">
      <x:c r="A8" s="74" t="str">
        <x:v>RS-004</x:v>
      </x:c>
      <x:c r="B8" s="74" t="str">
        <x:v>OSHA Shipbreaking eTool — Shipbreaking hazards</x:v>
      </x:c>
      <x:c r="C8" s="74" t="str">
        <x:v>Wreck inventory must account for fuels, hydraulic fluids, lead/cadmium/PCB coatings, asbestos, foam, wiring, sewage, pressure and fire systems.</x:v>
      </x:c>
      <x:c r="D8" s="80" t="str">
        <x:v>https://www.osha.gov/etools/shipyard/shipbreaking</x:v>
      </x:c>
    </x:row>
    <x:row r="9" ht="40.5" customHeight="1">
      <x:c r="A9" s="74" t="str">
        <x:v>RS-005</x:v>
      </x:c>
      <x:c r="B9" s="74" t="str">
        <x:v>OSHA Shipyard PPE</x:v>
      </x:c>
      <x:c r="C9" s="74" t="str">
        <x:v>Salvage exposes workers to impact, puncture, crushing, chemical, thermal, dust, noise, fall and drowning hazards.</x:v>
      </x:c>
      <x:c r="D9" s="80" t="str">
        <x:v>https://www.osha.gov/etools/shipyard/general-requirements/personal-protective-equipment</x:v>
      </x:c>
    </x:row>
    <x:row r="10" ht="40.5" customHeight="1">
      <x:c r="A10" s="74" t="str">
        <x:v>RS-006</x:v>
      </x:c>
      <x:c r="B10" s="74" t="str">
        <x:v>USDA Forest Products Laboratory — Wood Handbook 2021</x:v>
      </x:c>
      <x:c r="C10" s="74" t="str">
        <x:v>Wood varies with grain, knots, moisture and defects; joints and fastenings must respect direction and dimensional change.</x:v>
      </x:c>
      <x:c r="D10" s="80" t="str">
        <x:v>https://research.fs.usda.gov/treesearch/62200</x:v>
      </x:c>
    </x:row>
    <x:row r="11" ht="40.5" customHeight="1">
      <x:c r="A11" s="74" t="str">
        <x:v>RS-007</x:v>
      </x:c>
      <x:c r="B11" s="74" t="str">
        <x:v>USDA Forest Products Laboratory — Fastenings</x:v>
      </x:c>
      <x:c r="C11" s="74" t="str">
        <x:v>Fastener choice and joint design affect rigidity and strength; screws, bolts, pins and connectors are not generic equivalents.</x:v>
      </x:c>
      <x:c r="D11" s="80" t="str">
        <x:v>https://research.fs.usda.gov/treesearch/37424</x:v>
      </x:c>
    </x:row>
    <x:row r="12" ht="40.5" customHeight="1">
      <x:c r="A12" s="74" t="str">
        <x:v>RS-008</x:v>
      </x:c>
      <x:c r="B12" s="74" t="str">
        <x:v>Smithsonian Human Origins — Early Stone Age tools</x:v>
      </x:c>
      <x:c r="C12" s="74" t="str">
        <x:v>Hammerstones, cores and flakes form a basic toolkit; later handaxes add a large cutting form.</x:v>
      </x:c>
      <x:c r="D12" s="80" t="str">
        <x:v>https://humanorigins.si.edu/evidence/behavior/stone-tools/early-stone-age-tools</x:v>
      </x:c>
    </x:row>
    <x:row r="13" ht="40.5" customHeight="1">
      <x:c r="A13" s="74" t="str">
        <x:v>RS-009</x:v>
      </x:c>
      <x:c r="B13" s="74" t="str">
        <x:v>Smithsonian Human Origins — Stone tools</x:v>
      </x:c>
      <x:c r="C13" s="74" t="str">
        <x:v>Points, awls and scrapers support hafting, hide perforation and work on hide, wood and other materials.</x:v>
      </x:c>
      <x:c r="D13" s="80" t="str">
        <x:v>https://humanorigins.si.edu/evidence/behavior/stone-tools</x:v>
      </x:c>
    </x:row>
    <x:row r="14" ht="40.5" customHeight="1">
      <x:c r="A14" s="74" t="str">
        <x:v>RS-010</x:v>
      </x:c>
      <x:c r="B14" s="74" t="str">
        <x:v>Journal of Human Evolution — Schöningen residue and microwear</x:v>
      </x:c>
      <x:c r="C14" s="74" t="str">
        <x:v>Use-wear and residues support stone tools working wood and hide and cutting meat; some show hafting evidence.</x:v>
      </x:c>
      <x:c r="D14" s="80" t="str">
        <x:v>https://pubmed.ncbi.nlm.nih.gov/26387038/</x:v>
      </x:c>
    </x:row>
    <x:row r="15" ht="40.5" customHeight="1">
      <x:c r="A15" s="74" t="str">
        <x:v>RS-011</x:v>
      </x:c>
      <x:c r="B15" s="74" t="str">
        <x:v>NPS — Full grooved axes</x:v>
      </x:c>
      <x:c r="C15" s="74" t="str">
        <x:v>Grooved stone axes were hafted with split wood and sinew and used to chop trees and split wood.</x:v>
      </x:c>
      <x:c r="D15" s="80" t="str">
        <x:v>https://home.nps.gov/articles/000/grooved-axes.htm</x:v>
      </x:c>
    </x:row>
    <x:row r="16" ht="40.5" customHeight="1">
      <x:c r="A16" s="74" t="str">
        <x:v>RS-012</x:v>
      </x:c>
      <x:c r="B16" s="74" t="str">
        <x:v>Little et al. 2023 — Wet-cooking in organic vessels</x:v>
      </x:c>
      <x:c r="C16" s="74" t="str">
        <x:v>Organic containers can heat water by direct or hot-stone methods; performance, contamination and thermal management differ.</x:v>
      </x:c>
      <x:c r="D16" s="80" t="str">
        <x:v>https://doi.org/10.1007/s12520-023-01843-z</x:v>
      </x:c>
    </x:row>
    <x:row r="17" ht="40.5" customHeight="1">
      <x:c r="A17" s="74" t="str">
        <x:v>RS-013</x:v>
      </x:c>
      <x:c r="B17" s="74" t="str">
        <x:v>FAO — Coconut, Tree of Life</x:v>
      </x:c>
      <x:c r="C17" s="74" t="str">
        <x:v>Coconut husk yields coir used for brushes, brooms, ropes, yarn, nets, bags, mats and padding.</x:v>
      </x:c>
      <x:c r="D17" s="80" t="str">
        <x:v>https://www.fao.org/4/y3612e/y3612e03.htm</x:v>
      </x:c>
    </x:row>
    <x:row r="18" ht="40.5" customHeight="1">
      <x:c r="A18" s="74" t="str">
        <x:v>RS-014</x:v>
      </x:c>
      <x:c r="B18" s="74" t="str">
        <x:v>FAO — Higher value addition through hides and skins</x:v>
      </x:c>
      <x:c r="C18" s="74" t="str">
        <x:v>Fresh hides are valuable but perishable; poor preservation and processing destroy potential leather value.</x:v>
      </x:c>
      <x:c r="D18" s="80" t="str">
        <x:v>https://www.fao.org/4/i0523e/i0523e00.htm</x:v>
      </x:c>
    </x:row>
    <x:row r="19" ht="40.5" customHeight="1">
      <x:c r="A19" s="74" t="str">
        <x:v>RS-015</x:v>
      </x:c>
      <x:c r="B19" s="74" t="str">
        <x:v>FAA — Aviation Maintenance Technician Handbooks</x:v>
      </x:c>
      <x:c r="C19" s="74" t="str">
        <x:v>Aircraft recovery should preserve identifiable assemblies and respect maintenance, inspection and documentation disciplines.</x:v>
      </x:c>
      <x:c r="D19" s="80" t="str">
        <x:v>https://www.faa.gov/regulations_policies/handbooks_manuals/aviation</x:v>
      </x:c>
    </x:row>
    <x:row r="20" ht="40.5" customHeight="1">
      <x:c r="A20" s="74" t="str">
        <x:v>RS-016</x:v>
      </x:c>
      <x:c r="B20" s="74" t="str">
        <x:v>FAA fastener guidance example</x:v>
      </x:c>
      <x:c r="C20" s="74" t="str">
        <x:v>Fasteners differ in material, strength, size, loading and locking; tightening, locking and inspection are separate concerns.</x:v>
      </x:c>
      <x:c r="D20" s="80" t="str">
        <x:v>https://www.faa.gov/lessons_learned/small_airplane/accidents/n310ca</x:v>
      </x:c>
    </x:row>
    <x:row r="21" ht="40.5" customHeight="1">
      <x:c r="A21" s="75" t="str">
        <x:v>RS-017</x:v>
      </x:c>
      <x:c r="B21" s="75" t="str">
        <x:v>Project Zomboid official crafting development blog</x:v>
      </x:c>
      <x:c r="C21" s="75" t="str">
        <x:v>A useful game precedent separates sharpness, head condition and handle condition and lets broken parts become smaller useful objects.</x:v>
      </x:c>
      <x:c r="D21" s="81" t="str">
        <x:v>https://projectzomboid.com/blog/news/2023/12/zleigh-ride/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c18afdfbd714ec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9.109999656677246" hidden="0" customWidth="1"/>
    <x:col min="3" max="3" width="23.329999923706055" hidden="0" customWidth="1"/>
    <x:col min="4" max="4" width="18.889999389648438" hidden="0" customWidth="1"/>
    <x:col min="5" max="5" width="18.889999389648438" hidden="0" customWidth="1"/>
    <x:col min="6" max="6" width="6.440000057220459" hidden="0" customWidth="1"/>
    <x:col min="7" max="7" width="35" hidden="0" customWidth="1"/>
    <x:col min="8" max="8" width="13.890000343322754" hidden="0" customWidth="1"/>
    <x:col min="9" max="9" width="17.780000686645508" hidden="0" customWidth="1"/>
    <x:col min="10" max="10" width="30" hidden="0" customWidth="1"/>
  </x:cols>
  <x:sheetData>
    <x:row r="1" ht="27" customHeight="1">
      <x:c r="A1" s="56" t="str">
        <x:v>Expansion Index — Every Proposed Name in One Place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31.5" customHeight="1">
      <x:c r="A2" s="60" t="str">
        <x:v>Filter this sheet first. Choose Keep, Rename, Split variants, Merge, Remove or Research. Blank notes are intentionally Director-owned.</x:v>
      </x:c>
      <x:c r="B2" s="60"/>
      <x:c r="C2" s="60"/>
      <x:c r="D2" s="60"/>
      <x:c r="E2" s="60"/>
      <x:c r="F2" s="60"/>
      <x:c r="G2" s="60"/>
      <x:c r="H2" s="60"/>
      <x:c r="I2" s="60"/>
      <x:c r="J2" s="60"/>
    </x:row>
    <x:row r="4" ht="25.5" customHeight="1">
      <x:c r="A4" s="65" t="str">
        <x:v>#</x:v>
      </x:c>
      <x:c r="B4" s="65" t="str">
        <x:v>Proposal ID</x:v>
      </x:c>
      <x:c r="C4" s="65" t="str">
        <x:v>Item name</x:v>
      </x:c>
      <x:c r="D4" s="65" t="str">
        <x:v>Family</x:v>
      </x:c>
      <x:c r="E4" s="65" t="str">
        <x:v>Origin sheet</x:v>
      </x:c>
      <x:c r="F4" s="65" t="str">
        <x:v>Tier</x:v>
      </x:c>
      <x:c r="G4" s="65" t="str">
        <x:v>Primary use</x:v>
      </x:c>
      <x:c r="H4" s="65" t="str">
        <x:v>Catalogue status</x:v>
      </x:c>
      <x:c r="I4" s="65" t="str">
        <x:v>Director decision</x:v>
      </x:c>
      <x:c r="J4" s="65" t="str">
        <x:v>Director notes / missing item</x:v>
      </x:c>
    </x:row>
    <x:row r="5" ht="40.5" customHeight="1">
      <x:c r="A5" s="73" t="n">
        <x:v>1</x:v>
      </x:c>
      <x:c r="B5" s="73" t="str">
        <x:v>XP-001</x:v>
      </x:c>
      <x:c r="C5" s="73" t="str">
        <x:v>Grinding slab</x:v>
      </x:c>
      <x:c r="D5" s="73" t="str">
        <x:v>Abrasion and processing</x:v>
      </x:c>
      <x:c r="E5" s="73" t="str">
        <x:v>Natural Tools v0.2</x:v>
      </x:c>
      <x:c r="F5" s="73" t="str">
        <x:v>H0</x:v>
      </x:c>
      <x:c r="G5" s="73" t="str">
        <x:v>Grind seeds; flatten edges; abrade bone; mix pigment</x:v>
      </x:c>
      <x:c r="H5" s="73" t="str">
        <x:v>Proposed</x:v>
      </x:c>
      <x:c r="I5" s="85" t="str">
        <x:v>Needs Director review</x:v>
      </x:c>
      <x:c r="J5" s="82" t="str"/>
    </x:row>
    <x:row r="6" ht="40.5" customHeight="1">
      <x:c r="A6" s="74" t="n">
        <x:v>2</x:v>
      </x:c>
      <x:c r="B6" s="74" t="str">
        <x:v>XP-002</x:v>
      </x:c>
      <x:c r="C6" s="74" t="str">
        <x:v>Handstone and muller</x:v>
      </x:c>
      <x:c r="D6" s="74" t="str">
        <x:v>Abrasion and processing</x:v>
      </x:c>
      <x:c r="E6" s="74" t="str">
        <x:v>Natural Tools v0.2</x:v>
      </x:c>
      <x:c r="F6" s="74" t="str">
        <x:v>H0</x:v>
      </x:c>
      <x:c r="G6" s="74" t="str">
        <x:v>Grind against slab; crush salt; pulp fiber</x:v>
      </x:c>
      <x:c r="H6" s="74" t="str">
        <x:v>Proposed</x:v>
      </x:c>
      <x:c r="I6" s="86" t="str">
        <x:v>Needs Director review</x:v>
      </x:c>
      <x:c r="J6" s="83" t="str"/>
    </x:row>
    <x:row r="7" ht="40.5" customHeight="1">
      <x:c r="A7" s="74" t="n">
        <x:v>3</x:v>
      </x:c>
      <x:c r="B7" s="74" t="str">
        <x:v>XP-003</x:v>
      </x:c>
      <x:c r="C7" s="74" t="str">
        <x:v>Polishing groove stone</x:v>
      </x:c>
      <x:c r="D7" s="74" t="str">
        <x:v>Abrasion and processing</x:v>
      </x:c>
      <x:c r="E7" s="74" t="str">
        <x:v>Natural Tools v0.2</x:v>
      </x:c>
      <x:c r="F7" s="74" t="str">
        <x:v>H2</x:v>
      </x:c>
      <x:c r="G7" s="74" t="str">
        <x:v>Smooth shafts; true points; polish axe edges</x:v>
      </x:c>
      <x:c r="H7" s="74" t="str">
        <x:v>Proposed</x:v>
      </x:c>
      <x:c r="I7" s="86" t="str">
        <x:v>Needs Director review</x:v>
      </x:c>
      <x:c r="J7" s="83" t="str"/>
    </x:row>
    <x:row r="8" ht="40.5" customHeight="1">
      <x:c r="A8" s="74" t="n">
        <x:v>4</x:v>
      </x:c>
      <x:c r="B8" s="74" t="str">
        <x:v>XP-004</x:v>
      </x:c>
      <x:c r="C8" s="74" t="str">
        <x:v>Stone mortar cup</x:v>
      </x:c>
      <x:c r="D8" s="74" t="str">
        <x:v>Abrasion and processing</x:v>
      </x:c>
      <x:c r="E8" s="74" t="str">
        <x:v>Natural Tools v0.2</x:v>
      </x:c>
      <x:c r="F8" s="74" t="str">
        <x:v>H1</x:v>
      </x:c>
      <x:c r="G8" s="74" t="str">
        <x:v>Contain pounding and grinding; crush herbs</x:v>
      </x:c>
      <x:c r="H8" s="74" t="str">
        <x:v>Proposed</x:v>
      </x:c>
      <x:c r="I8" s="86" t="str">
        <x:v>Needs Director review</x:v>
      </x:c>
      <x:c r="J8" s="83" t="str"/>
    </x:row>
    <x:row r="9" ht="40.5" customHeight="1">
      <x:c r="A9" s="74" t="n">
        <x:v>5</x:v>
      </x:c>
      <x:c r="B9" s="74" t="str">
        <x:v>XP-005</x:v>
      </x:c>
      <x:c r="C9" s="74" t="str">
        <x:v>Stone pestle</x:v>
      </x:c>
      <x:c r="D9" s="74" t="str">
        <x:v>Abrasion and processing</x:v>
      </x:c>
      <x:c r="E9" s="74" t="str">
        <x:v>Natural Tools v0.2</x:v>
      </x:c>
      <x:c r="F9" s="74" t="str">
        <x:v>H1</x:v>
      </x:c>
      <x:c r="G9" s="74" t="str">
        <x:v>Pound food; crush charcoal; break soft mineral</x:v>
      </x:c>
      <x:c r="H9" s="74" t="str">
        <x:v>Proposed</x:v>
      </x:c>
      <x:c r="I9" s="86" t="str">
        <x:v>Needs Director review</x:v>
      </x:c>
      <x:c r="J9" s="83" t="str"/>
    </x:row>
    <x:row r="10" ht="40.5" customHeight="1">
      <x:c r="A10" s="74" t="n">
        <x:v>6</x:v>
      </x:c>
      <x:c r="B10" s="74" t="str">
        <x:v>XP-006</x:v>
      </x:c>
      <x:c r="C10" s="74" t="str">
        <x:v>Whetstone</x:v>
      </x:c>
      <x:c r="D10" s="74" t="str">
        <x:v>Abrasion and processing</x:v>
      </x:c>
      <x:c r="E10" s="74" t="str">
        <x:v>Natural Tools v0.2</x:v>
      </x:c>
      <x:c r="F10" s="74" t="str">
        <x:v>H1</x:v>
      </x:c>
      <x:c r="G10" s="74" t="str">
        <x:v>Restore edge geometry; deburr bone and metal salvage</x:v>
      </x:c>
      <x:c r="H10" s="74" t="str">
        <x:v>Proposed</x:v>
      </x:c>
      <x:c r="I10" s="86" t="str">
        <x:v>Needs Director review</x:v>
      </x:c>
      <x:c r="J10" s="83" t="str"/>
    </x:row>
    <x:row r="11" ht="40.5" customHeight="1">
      <x:c r="A11" s="74" t="n">
        <x:v>7</x:v>
      </x:c>
      <x:c r="B11" s="74" t="str">
        <x:v>XP-007</x:v>
      </x:c>
      <x:c r="C11" s="74" t="str">
        <x:v>Aircraft acrylic window</x:v>
      </x:c>
      <x:c r="D11" s="74" t="str">
        <x:v>Aircraft wreck</x:v>
      </x:c>
      <x:c r="E11" s="74" t="str">
        <x:v>Salvage Manifest v0.2</x:v>
      </x:c>
      <x:c r="F11" s="74" t="str">
        <x:v>H2</x:v>
      </x:c>
      <x:c r="G11" s="74" t="str">
        <x:v>Glazing; splash guard; light diffuser; template</x:v>
      </x:c>
      <x:c r="H11" s="74" t="str">
        <x:v>Proposed</x:v>
      </x:c>
      <x:c r="I11" s="86" t="str">
        <x:v>Needs Director review</x:v>
      </x:c>
      <x:c r="J11" s="83" t="str"/>
    </x:row>
    <x:row r="12" ht="40.5" customHeight="1">
      <x:c r="A12" s="74" t="n">
        <x:v>8</x:v>
      </x:c>
      <x:c r="B12" s="74" t="str">
        <x:v>XP-008</x:v>
      </x:c>
      <x:c r="C12" s="74" t="str">
        <x:v>Aircraft alternator-generator</x:v>
      </x:c>
      <x:c r="D12" s="74" t="str">
        <x:v>Aircraft wreck</x:v>
      </x:c>
      <x:c r="E12" s="74" t="str">
        <x:v>Salvage Manifest v0.2</x:v>
      </x:c>
      <x:c r="F12" s="74" t="str">
        <x:v>H5</x:v>
      </x:c>
      <x:c r="G12" s="74" t="str">
        <x:v>Electricity generation after repair and regulation</x:v>
      </x:c>
      <x:c r="H12" s="74" t="str">
        <x:v>Proposed</x:v>
      </x:c>
      <x:c r="I12" s="86" t="str">
        <x:v>Needs Director review</x:v>
      </x:c>
      <x:c r="J12" s="83" t="str"/>
    </x:row>
    <x:row r="13" ht="40.5" customHeight="1">
      <x:c r="A13" s="74" t="n">
        <x:v>9</x:v>
      </x:c>
      <x:c r="B13" s="74" t="str">
        <x:v>XP-009</x:v>
      </x:c>
      <x:c r="C13" s="74" t="str">
        <x:v>Aircraft battery</x:v>
      </x:c>
      <x:c r="D13" s="74" t="str">
        <x:v>Aircraft wreck</x:v>
      </x:c>
      <x:c r="E13" s="74" t="str">
        <x:v>Salvage Manifest v0.2</x:v>
      </x:c>
      <x:c r="F13" s="74" t="str">
        <x:v>H6</x:v>
      </x:c>
      <x:c r="G13" s="74" t="str">
        <x:v>Storage only after chemistry-specific inspection and test</x:v>
      </x:c>
      <x:c r="H13" s="74" t="str">
        <x:v>Proposed</x:v>
      </x:c>
      <x:c r="I13" s="86" t="str">
        <x:v>Needs Director review</x:v>
      </x:c>
      <x:c r="J13" s="83" t="str"/>
    </x:row>
    <x:row r="14" ht="40.5" customHeight="1">
      <x:c r="A14" s="74" t="n">
        <x:v>10</x:v>
      </x:c>
      <x:c r="B14" s="74" t="str">
        <x:v>XP-010</x:v>
      </x:c>
      <x:c r="C14" s="74" t="str">
        <x:v>Aircraft buckle</x:v>
      </x:c>
      <x:c r="D14" s="74" t="str">
        <x:v>Aircraft wreck</x:v>
      </x:c>
      <x:c r="E14" s="74" t="str">
        <x:v>Salvage Manifest v0.2</x:v>
      </x:c>
      <x:c r="F14" s="74" t="str">
        <x:v>H3</x:v>
      </x:c>
      <x:c r="G14" s="74" t="str">
        <x:v>Quick-release strap; pack; stretcher</x:v>
      </x:c>
      <x:c r="H14" s="74" t="str">
        <x:v>Proposed</x:v>
      </x:c>
      <x:c r="I14" s="86" t="str">
        <x:v>Needs Director review</x:v>
      </x:c>
      <x:c r="J14" s="83" t="str"/>
    </x:row>
    <x:row r="15" ht="40.5" customHeight="1">
      <x:c r="A15" s="74" t="n">
        <x:v>11</x:v>
      </x:c>
      <x:c r="B15" s="74" t="str">
        <x:v>XP-011</x:v>
      </x:c>
      <x:c r="C15" s="74" t="str">
        <x:v>Aircraft circuit breaker</x:v>
      </x:c>
      <x:c r="D15" s="74" t="str">
        <x:v>Aircraft wreck</x:v>
      </x:c>
      <x:c r="E15" s="74" t="str">
        <x:v>Salvage Manifest v0.2</x:v>
      </x:c>
      <x:c r="F15" s="74" t="str">
        <x:v>H4</x:v>
      </x:c>
      <x:c r="G15" s="74" t="str">
        <x:v>Protect circuit after rated trip test</x:v>
      </x:c>
      <x:c r="H15" s="74" t="str">
        <x:v>Proposed</x:v>
      </x:c>
      <x:c r="I15" s="86" t="str">
        <x:v>Needs Director review</x:v>
      </x:c>
      <x:c r="J15" s="83" t="str"/>
    </x:row>
    <x:row r="16" ht="40.5" customHeight="1">
      <x:c r="A16" s="74" t="n">
        <x:v>12</x:v>
      </x:c>
      <x:c r="B16" s="74" t="str">
        <x:v>XP-012</x:v>
      </x:c>
      <x:c r="C16" s="74" t="str">
        <x:v>Aircraft connector plug</x:v>
      </x:c>
      <x:c r="D16" s="74" t="str">
        <x:v>Aircraft wreck</x:v>
      </x:c>
      <x:c r="E16" s="74" t="str">
        <x:v>Salvage Manifest v0.2</x:v>
      </x:c>
      <x:c r="F16" s="74" t="str">
        <x:v>H3</x:v>
      </x:c>
      <x:c r="G16" s="74" t="str">
        <x:v>Modular electrical connection; test harness</x:v>
      </x:c>
      <x:c r="H16" s="74" t="str">
        <x:v>Proposed</x:v>
      </x:c>
      <x:c r="I16" s="86" t="str">
        <x:v>Needs Director review</x:v>
      </x:c>
      <x:c r="J16" s="83" t="str"/>
    </x:row>
    <x:row r="17" ht="40.5" customHeight="1">
      <x:c r="A17" s="74" t="n">
        <x:v>13</x:v>
      </x:c>
      <x:c r="B17" s="74" t="str">
        <x:v>XP-013</x:v>
      </x:c>
      <x:c r="C17" s="74" t="str">
        <x:v>Aircraft control cable</x:v>
      </x:c>
      <x:c r="D17" s="74" t="str">
        <x:v>Aircraft wreck</x:v>
      </x:c>
      <x:c r="E17" s="74" t="str">
        <x:v>Salvage Manifest v0.2</x:v>
      </x:c>
      <x:c r="F17" s="74" t="str">
        <x:v>H4</x:v>
      </x:c>
      <x:c r="G17" s="74" t="str">
        <x:v>Remote control linkage; guy; winch only after inspection</x:v>
      </x:c>
      <x:c r="H17" s="74" t="str">
        <x:v>Proposed</x:v>
      </x:c>
      <x:c r="I17" s="86" t="str">
        <x:v>Needs Director review</x:v>
      </x:c>
      <x:c r="J17" s="83" t="str"/>
    </x:row>
    <x:row r="18" ht="40.5" customHeight="1">
      <x:c r="A18" s="74" t="n">
        <x:v>14</x:v>
      </x:c>
      <x:c r="B18" s="74" t="str">
        <x:v>XP-014</x:v>
      </x:c>
      <x:c r="C18" s="74" t="str">
        <x:v>Aircraft engine cylinder</x:v>
      </x:c>
      <x:c r="D18" s="74" t="str">
        <x:v>Aircraft wreck</x:v>
      </x:c>
      <x:c r="E18" s="74" t="str">
        <x:v>Salvage Manifest v0.2</x:v>
      </x:c>
      <x:c r="F18" s="74" t="str">
        <x:v>H5</x:v>
      </x:c>
      <x:c r="G18" s="74" t="str">
        <x:v>Engine repair; air compressor cylinder; finned heat sink</x:v>
      </x:c>
      <x:c r="H18" s="74" t="str">
        <x:v>Proposed</x:v>
      </x:c>
      <x:c r="I18" s="86" t="str">
        <x:v>Needs Director review</x:v>
      </x:c>
      <x:c r="J18" s="83" t="str"/>
    </x:row>
    <x:row r="19" ht="40.5" customHeight="1">
      <x:c r="A19" s="74" t="n">
        <x:v>15</x:v>
      </x:c>
      <x:c r="B19" s="74" t="str">
        <x:v>XP-015</x:v>
      </x:c>
      <x:c r="C19" s="74" t="str">
        <x:v>Aircraft frame rib</x:v>
      </x:c>
      <x:c r="D19" s="74" t="str">
        <x:v>Aircraft wreck</x:v>
      </x:c>
      <x:c r="E19" s="74" t="str">
        <x:v>Salvage Manifest v0.2</x:v>
      </x:c>
      <x:c r="F19" s="74" t="str">
        <x:v>H3</x:v>
      </x:c>
      <x:c r="G19" s="74" t="str">
        <x:v>Light structural frame; template; machine stand</x:v>
      </x:c>
      <x:c r="H19" s="74" t="str">
        <x:v>Proposed</x:v>
      </x:c>
      <x:c r="I19" s="86" t="str">
        <x:v>Needs Director review</x:v>
      </x:c>
      <x:c r="J19" s="83" t="str"/>
    </x:row>
    <x:row r="20" ht="40.5" customHeight="1">
      <x:c r="A20" s="74" t="n">
        <x:v>16</x:v>
      </x:c>
      <x:c r="B20" s="74" t="str">
        <x:v>XP-016</x:v>
      </x:c>
      <x:c r="C20" s="74" t="str">
        <x:v>Aircraft hydraulic tube</x:v>
      </x:c>
      <x:c r="D20" s="74" t="str">
        <x:v>Aircraft wreck</x:v>
      </x:c>
      <x:c r="E20" s="74" t="str">
        <x:v>Salvage Manifest v0.2</x:v>
      </x:c>
      <x:c r="F20" s="74" t="str">
        <x:v>H5</x:v>
      </x:c>
      <x:c r="G20" s="74" t="str">
        <x:v>Matched hydraulic repair; high-pressure line only after proof</x:v>
      </x:c>
      <x:c r="H20" s="74" t="str">
        <x:v>Proposed</x:v>
      </x:c>
      <x:c r="I20" s="86" t="str">
        <x:v>Needs Director review</x:v>
      </x:c>
      <x:c r="J20" s="83" t="str"/>
    </x:row>
    <x:row r="21" ht="40.5" customHeight="1">
      <x:c r="A21" s="74" t="n">
        <x:v>17</x:v>
      </x:c>
      <x:c r="B21" s="74" t="str">
        <x:v>XP-017</x:v>
      </x:c>
      <x:c r="C21" s="74" t="str">
        <x:v>Aircraft insulation blanket</x:v>
      </x:c>
      <x:c r="D21" s="74" t="str">
        <x:v>Aircraft wreck</x:v>
      </x:c>
      <x:c r="E21" s="74" t="str">
        <x:v>Salvage Manifest v0.2</x:v>
      </x:c>
      <x:c r="F21" s="74" t="str">
        <x:v>H5</x:v>
      </x:c>
      <x:c r="G21" s="74" t="str">
        <x:v>Thermal insulation only if safely identified and sealed</x:v>
      </x:c>
      <x:c r="H21" s="74" t="str">
        <x:v>Proposed</x:v>
      </x:c>
      <x:c r="I21" s="86" t="str">
        <x:v>Needs Director review</x:v>
      </x:c>
      <x:c r="J21" s="83" t="str"/>
    </x:row>
    <x:row r="22" ht="40.5" customHeight="1">
      <x:c r="A22" s="74" t="n">
        <x:v>18</x:v>
      </x:c>
      <x:c r="B22" s="74" t="str">
        <x:v>XP-018</x:v>
      </x:c>
      <x:c r="C22" s="74" t="str">
        <x:v>Aircraft magneto</x:v>
      </x:c>
      <x:c r="D22" s="74" t="str">
        <x:v>Aircraft wreck</x:v>
      </x:c>
      <x:c r="E22" s="74" t="str">
        <x:v>Salvage Manifest v0.2</x:v>
      </x:c>
      <x:c r="F22" s="74" t="str">
        <x:v>H4</x:v>
      </x:c>
      <x:c r="G22" s="74" t="str">
        <x:v>Ignition; spark generation; donor magnets and coils</x:v>
      </x:c>
      <x:c r="H22" s="74" t="str">
        <x:v>Proposed</x:v>
      </x:c>
      <x:c r="I22" s="86" t="str">
        <x:v>Needs Director review</x:v>
      </x:c>
      <x:c r="J22" s="83" t="str"/>
    </x:row>
    <x:row r="23" ht="40.5" customHeight="1">
      <x:c r="A23" s="74" t="n">
        <x:v>19</x:v>
      </x:c>
      <x:c r="B23" s="74" t="str">
        <x:v>XP-019</x:v>
      </x:c>
      <x:c r="C23" s="74" t="str">
        <x:v>Aircraft radio</x:v>
      </x:c>
      <x:c r="D23" s="74" t="str">
        <x:v>Aircraft wreck</x:v>
      </x:c>
      <x:c r="E23" s="74" t="str">
        <x:v>Salvage Manifest v0.2</x:v>
      </x:c>
      <x:c r="F23" s="74" t="str">
        <x:v>H5</x:v>
      </x:c>
      <x:c r="G23" s="74" t="str">
        <x:v>Receive or transmit rescue; donor oscillator; amplifier; connectors</x:v>
      </x:c>
      <x:c r="H23" s="74" t="str">
        <x:v>Proposed</x:v>
      </x:c>
      <x:c r="I23" s="86" t="str">
        <x:v>Needs Director review</x:v>
      </x:c>
      <x:c r="J23" s="83" t="str"/>
    </x:row>
    <x:row r="24" ht="40.5" customHeight="1">
      <x:c r="A24" s="74" t="n">
        <x:v>20</x:v>
      </x:c>
      <x:c r="B24" s="74" t="str">
        <x:v>XP-020</x:v>
      </x:c>
      <x:c r="C24" s="74" t="str">
        <x:v>Aircraft relay</x:v>
      </x:c>
      <x:c r="D24" s="74" t="str">
        <x:v>Aircraft wreck</x:v>
      </x:c>
      <x:c r="E24" s="74" t="str">
        <x:v>Salvage Manifest v0.2</x:v>
      </x:c>
      <x:c r="F24" s="74" t="str">
        <x:v>H4</x:v>
      </x:c>
      <x:c r="G24" s="74" t="str">
        <x:v>Switch high current with low control current</x:v>
      </x:c>
      <x:c r="H24" s="74" t="str">
        <x:v>Proposed</x:v>
      </x:c>
      <x:c r="I24" s="86" t="str">
        <x:v>Needs Director review</x:v>
      </x:c>
      <x:c r="J24" s="83" t="str"/>
    </x:row>
    <x:row r="25" ht="40.5" customHeight="1">
      <x:c r="A25" s="74" t="n">
        <x:v>21</x:v>
      </x:c>
      <x:c r="B25" s="74" t="str">
        <x:v>XP-021</x:v>
      </x:c>
      <x:c r="C25" s="74" t="str">
        <x:v>Aircraft restraint webbing</x:v>
      </x:c>
      <x:c r="D25" s="74" t="str">
        <x:v>Aircraft wreck</x:v>
      </x:c>
      <x:c r="E25" s="74" t="str">
        <x:v>Salvage Manifest v0.2</x:v>
      </x:c>
      <x:c r="F25" s="74" t="str">
        <x:v>H3</x:v>
      </x:c>
      <x:c r="G25" s="74" t="str">
        <x:v>Tie-down; harness prototype; rescue drag after inspection</x:v>
      </x:c>
      <x:c r="H25" s="74" t="str">
        <x:v>Proposed</x:v>
      </x:c>
      <x:c r="I25" s="86" t="str">
        <x:v>Needs Director review</x:v>
      </x:c>
      <x:c r="J25" s="83" t="str"/>
    </x:row>
    <x:row r="26" ht="40.5" customHeight="1">
      <x:c r="A26" s="74" t="n">
        <x:v>22</x:v>
      </x:c>
      <x:c r="B26" s="74" t="str">
        <x:v>XP-022</x:v>
      </x:c>
      <x:c r="C26" s="74" t="str">
        <x:v>Aircraft seat fabric</x:v>
      </x:c>
      <x:c r="D26" s="74" t="str">
        <x:v>Aircraft wreck</x:v>
      </x:c>
      <x:c r="E26" s="74" t="str">
        <x:v>Salvage Manifest v0.2</x:v>
      </x:c>
      <x:c r="F26" s="74" t="str">
        <x:v>H2</x:v>
      </x:c>
      <x:c r="G26" s="74" t="str">
        <x:v>Pack; sling seat; shade; patches</x:v>
      </x:c>
      <x:c r="H26" s="74" t="str">
        <x:v>Proposed</x:v>
      </x:c>
      <x:c r="I26" s="86" t="str">
        <x:v>Needs Director review</x:v>
      </x:c>
      <x:c r="J26" s="83" t="str"/>
    </x:row>
    <x:row r="27" ht="40.5" customHeight="1">
      <x:c r="A27" s="74" t="n">
        <x:v>23</x:v>
      </x:c>
      <x:c r="B27" s="74" t="str">
        <x:v>XP-023</x:v>
      </x:c>
      <x:c r="C27" s="74" t="str">
        <x:v>Aircraft seat frame</x:v>
      </x:c>
      <x:c r="D27" s="74" t="str">
        <x:v>Aircraft wreck</x:v>
      </x:c>
      <x:c r="E27" s="74" t="str">
        <x:v>Salvage Manifest v0.2</x:v>
      </x:c>
      <x:c r="F27" s="74" t="str">
        <x:v>H2</x:v>
      </x:c>
      <x:c r="G27" s="74" t="str">
        <x:v>Chair; pack frame; rack; cart frame</x:v>
      </x:c>
      <x:c r="H27" s="74" t="str">
        <x:v>Proposed</x:v>
      </x:c>
      <x:c r="I27" s="86" t="str">
        <x:v>Needs Director review</x:v>
      </x:c>
      <x:c r="J27" s="83" t="str"/>
    </x:row>
    <x:row r="28" ht="40.5" customHeight="1">
      <x:c r="A28" s="74" t="n">
        <x:v>24</x:v>
      </x:c>
      <x:c r="B28" s="74" t="str">
        <x:v>XP-024</x:v>
      </x:c>
      <x:c r="C28" s="74" t="str">
        <x:v>Aircraft spark plug</x:v>
      </x:c>
      <x:c r="D28" s="74" t="str">
        <x:v>Aircraft wreck</x:v>
      </x:c>
      <x:c r="E28" s="74" t="str">
        <x:v>Salvage Manifest v0.2</x:v>
      </x:c>
      <x:c r="F28" s="74" t="str">
        <x:v>H3</x:v>
      </x:c>
      <x:c r="G28" s="74" t="str">
        <x:v>Matched ignition repair; insulated feedthrough</x:v>
      </x:c>
      <x:c r="H28" s="74" t="str">
        <x:v>Proposed</x:v>
      </x:c>
      <x:c r="I28" s="86" t="str">
        <x:v>Needs Director review</x:v>
      </x:c>
      <x:c r="J28" s="83" t="str"/>
    </x:row>
    <x:row r="29" ht="40.5" customHeight="1">
      <x:c r="A29" s="74" t="n">
        <x:v>25</x:v>
      </x:c>
      <x:c r="B29" s="74" t="str">
        <x:v>XP-025</x:v>
      </x:c>
      <x:c r="C29" s="74" t="str">
        <x:v>Aircraft starter motor</x:v>
      </x:c>
      <x:c r="D29" s="74" t="str">
        <x:v>Aircraft wreck</x:v>
      </x:c>
      <x:c r="E29" s="74" t="str">
        <x:v>Salvage Manifest v0.2</x:v>
      </x:c>
      <x:c r="F29" s="74" t="str">
        <x:v>H5</x:v>
      </x:c>
      <x:c r="G29" s="74" t="str">
        <x:v>High-power motor; generator experiment; winch drive</x:v>
      </x:c>
      <x:c r="H29" s="74" t="str">
        <x:v>Proposed</x:v>
      </x:c>
      <x:c r="I29" s="86" t="str">
        <x:v>Needs Director review</x:v>
      </x:c>
      <x:c r="J29" s="83" t="str"/>
    </x:row>
    <x:row r="30" ht="40.5" customHeight="1">
      <x:c r="A30" s="74" t="n">
        <x:v>26</x:v>
      </x:c>
      <x:c r="B30" s="74" t="str">
        <x:v>XP-026</x:v>
      </x:c>
      <x:c r="C30" s="74" t="str">
        <x:v>Aircraft stringer</x:v>
      </x:c>
      <x:c r="D30" s="74" t="str">
        <x:v>Aircraft wreck</x:v>
      </x:c>
      <x:c r="E30" s="74" t="str">
        <x:v>Salvage Manifest v0.2</x:v>
      </x:c>
      <x:c r="F30" s="74" t="str">
        <x:v>H3</x:v>
      </x:c>
      <x:c r="G30" s="74" t="str">
        <x:v>Long stiffener; rail; rack; solar frame</x:v>
      </x:c>
      <x:c r="H30" s="74" t="str">
        <x:v>Proposed</x:v>
      </x:c>
      <x:c r="I30" s="86" t="str">
        <x:v>Needs Director review</x:v>
      </x:c>
      <x:c r="J30" s="83" t="str"/>
    </x:row>
    <x:row r="31" ht="40.5" customHeight="1">
      <x:c r="A31" s="74" t="n">
        <x:v>27</x:v>
      </x:c>
      <x:c r="B31" s="74" t="str">
        <x:v>XP-027</x:v>
      </x:c>
      <x:c r="C31" s="74" t="str">
        <x:v>Aircraft wheel and tire</x:v>
      </x:c>
      <x:c r="D31" s="74" t="str">
        <x:v>Aircraft wreck</x:v>
      </x:c>
      <x:c r="E31" s="74" t="str">
        <x:v>Salvage Manifest v0.2</x:v>
      </x:c>
      <x:c r="F31" s="74" t="str">
        <x:v>H5</x:v>
      </x:c>
      <x:c r="G31" s="74" t="str">
        <x:v>Cart wheel; dock roller; air reservoir only as designed</x:v>
      </x:c>
      <x:c r="H31" s="74" t="str">
        <x:v>Proposed</x:v>
      </x:c>
      <x:c r="I31" s="86" t="str">
        <x:v>Needs Director review</x:v>
      </x:c>
      <x:c r="J31" s="83" t="str"/>
    </x:row>
    <x:row r="32" ht="40.5" customHeight="1">
      <x:c r="A32" s="74" t="n">
        <x:v>28</x:v>
      </x:c>
      <x:c r="B32" s="74" t="str">
        <x:v>XP-028</x:v>
      </x:c>
      <x:c r="C32" s="74" t="str">
        <x:v>Aluminum aircraft skin</x:v>
      </x:c>
      <x:c r="D32" s="74" t="str">
        <x:v>Aircraft wreck</x:v>
      </x:c>
      <x:c r="E32" s="74" t="str">
        <x:v>Salvage Manifest v0.2</x:v>
      </x:c>
      <x:c r="F32" s="74" t="str">
        <x:v>H3</x:v>
      </x:c>
      <x:c r="G32" s="74" t="str">
        <x:v>Roof; reflector; fairing; non-pressure tank patch</x:v>
      </x:c>
      <x:c r="H32" s="74" t="str">
        <x:v>Proposed</x:v>
      </x:c>
      <x:c r="I32" s="86" t="str">
        <x:v>Needs Director review</x:v>
      </x:c>
      <x:c r="J32" s="83" t="str"/>
    </x:row>
    <x:row r="33" ht="40.5" customHeight="1">
      <x:c r="A33" s="74" t="n">
        <x:v>29</x:v>
      </x:c>
      <x:c r="B33" s="74" t="str">
        <x:v>XP-029</x:v>
      </x:c>
      <x:c r="C33" s="74" t="str">
        <x:v>Brake caliper</x:v>
      </x:c>
      <x:c r="D33" s="74" t="str">
        <x:v>Aircraft wreck</x:v>
      </x:c>
      <x:c r="E33" s="74" t="str">
        <x:v>Salvage Manifest v0.2</x:v>
      </x:c>
      <x:c r="F33" s="74" t="str">
        <x:v>H5</x:v>
      </x:c>
      <x:c r="G33" s="74" t="str">
        <x:v>Clamp or brake after overhaul; piston donor</x:v>
      </x:c>
      <x:c r="H33" s="74" t="str">
        <x:v>Proposed</x:v>
      </x:c>
      <x:c r="I33" s="86" t="str">
        <x:v>Needs Director review</x:v>
      </x:c>
      <x:c r="J33" s="83" t="str"/>
    </x:row>
    <x:row r="34" ht="40.5" customHeight="1">
      <x:c r="A34" s="74" t="n">
        <x:v>30</x:v>
      </x:c>
      <x:c r="B34" s="74" t="str">
        <x:v>XP-030</x:v>
      </x:c>
      <x:c r="C34" s="74" t="str">
        <x:v>Brake disc</x:v>
      </x:c>
      <x:c r="D34" s="74" t="str">
        <x:v>Aircraft wreck</x:v>
      </x:c>
      <x:c r="E34" s="74" t="str">
        <x:v>Salvage Manifest v0.2</x:v>
      </x:c>
      <x:c r="F34" s="74" t="str">
        <x:v>H5</x:v>
      </x:c>
      <x:c r="G34" s="74" t="str">
        <x:v>Flywheel or friction surface after crack inspection</x:v>
      </x:c>
      <x:c r="H34" s="74" t="str">
        <x:v>Proposed</x:v>
      </x:c>
      <x:c r="I34" s="86" t="str">
        <x:v>Needs Director review</x:v>
      </x:c>
      <x:c r="J34" s="83" t="str"/>
    </x:row>
    <x:row r="35" ht="40.5" customHeight="1">
      <x:c r="A35" s="74" t="n">
        <x:v>31</x:v>
      </x:c>
      <x:c r="B35" s="74" t="str">
        <x:v>XP-031</x:v>
      </x:c>
      <x:c r="C35" s="74" t="str">
        <x:v>Cable pulley</x:v>
      </x:c>
      <x:c r="D35" s="74" t="str">
        <x:v>Aircraft wreck</x:v>
      </x:c>
      <x:c r="E35" s="74" t="str">
        <x:v>Salvage Manifest v0.2</x:v>
      </x:c>
      <x:c r="F35" s="74" t="str">
        <x:v>H3</x:v>
      </x:c>
      <x:c r="G35" s="74" t="str">
        <x:v>Low-friction cable direction change; rigging</x:v>
      </x:c>
      <x:c r="H35" s="74" t="str">
        <x:v>Proposed</x:v>
      </x:c>
      <x:c r="I35" s="86" t="str">
        <x:v>Needs Director review</x:v>
      </x:c>
      <x:c r="J35" s="83" t="str"/>
    </x:row>
    <x:row r="36" ht="40.5" customHeight="1">
      <x:c r="A36" s="74" t="n">
        <x:v>32</x:v>
      </x:c>
      <x:c r="B36" s="74" t="str">
        <x:v>XP-032</x:v>
      </x:c>
      <x:c r="C36" s="74" t="str">
        <x:v>Cargo tie-down fitting</x:v>
      </x:c>
      <x:c r="D36" s="74" t="str">
        <x:v>Aircraft wreck</x:v>
      </x:c>
      <x:c r="E36" s="74" t="str">
        <x:v>Salvage Manifest v0.2</x:v>
      </x:c>
      <x:c r="F36" s="74" t="str">
        <x:v>H3</x:v>
      </x:c>
      <x:c r="G36" s="74" t="str">
        <x:v>Floor anchor; bench tie point; lifting only after proof</x:v>
      </x:c>
      <x:c r="H36" s="74" t="str">
        <x:v>Proposed</x:v>
      </x:c>
      <x:c r="I36" s="86" t="str">
        <x:v>Needs Director review</x:v>
      </x:c>
      <x:c r="J36" s="83" t="str"/>
    </x:row>
    <x:row r="37" ht="40.5" customHeight="1">
      <x:c r="A37" s="74" t="n">
        <x:v>33</x:v>
      </x:c>
      <x:c r="B37" s="74" t="str">
        <x:v>XP-033</x:v>
      </x:c>
      <x:c r="C37" s="74" t="str">
        <x:v>Composite fairing panel</x:v>
      </x:c>
      <x:c r="D37" s="74" t="str">
        <x:v>Aircraft wreck</x:v>
      </x:c>
      <x:c r="E37" s="74" t="str">
        <x:v>Salvage Manifest v0.2</x:v>
      </x:c>
      <x:c r="F37" s="74" t="str">
        <x:v>H4</x:v>
      </x:c>
      <x:c r="G37" s="74" t="str">
        <x:v>Weather shell; aerodynamic cover; light roof panel</x:v>
      </x:c>
      <x:c r="H37" s="74" t="str">
        <x:v>Proposed</x:v>
      </x:c>
      <x:c r="I37" s="86" t="str">
        <x:v>Needs Director review</x:v>
      </x:c>
      <x:c r="J37" s="83" t="str"/>
    </x:row>
    <x:row r="38" ht="40.5" customHeight="1">
      <x:c r="A38" s="74" t="n">
        <x:v>34</x:v>
      </x:c>
      <x:c r="B38" s="74" t="str">
        <x:v>XP-034</x:v>
      </x:c>
      <x:c r="C38" s="74" t="str">
        <x:v>Emergency locator transmitter</x:v>
      </x:c>
      <x:c r="D38" s="74" t="str">
        <x:v>Aircraft wreck</x:v>
      </x:c>
      <x:c r="E38" s="74" t="str">
        <x:v>Salvage Manifest v0.2</x:v>
      </x:c>
      <x:c r="F38" s="74" t="str">
        <x:v>H4</x:v>
      </x:c>
      <x:c r="G38" s="74" t="str">
        <x:v>Transmit rescue signal if legal and functional; beacon donor</x:v>
      </x:c>
      <x:c r="H38" s="74" t="str">
        <x:v>Proposed</x:v>
      </x:c>
      <x:c r="I38" s="86" t="str">
        <x:v>Needs Director review</x:v>
      </x:c>
      <x:c r="J38" s="83" t="str"/>
    </x:row>
    <x:row r="39" ht="40.5" customHeight="1">
      <x:c r="A39" s="74" t="n">
        <x:v>35</x:v>
      </x:c>
      <x:c r="B39" s="74" t="str">
        <x:v>XP-035</x:v>
      </x:c>
      <x:c r="C39" s="74" t="str">
        <x:v>Fire extinguisher</x:v>
      </x:c>
      <x:c r="D39" s="74" t="str">
        <x:v>Aircraft wreck</x:v>
      </x:c>
      <x:c r="E39" s="74" t="str">
        <x:v>Salvage Manifest v0.2</x:v>
      </x:c>
      <x:c r="F39" s="74" t="str">
        <x:v>H6</x:v>
      </x:c>
      <x:c r="G39" s="74" t="str">
        <x:v>Fire protection if gauge and agent are valid</x:v>
      </x:c>
      <x:c r="H39" s="74" t="str">
        <x:v>Proposed</x:v>
      </x:c>
      <x:c r="I39" s="86" t="str">
        <x:v>Needs Director review</x:v>
      </x:c>
      <x:c r="J39" s="83" t="str"/>
    </x:row>
    <x:row r="40" ht="40.5" customHeight="1">
      <x:c r="A40" s="74" t="n">
        <x:v>36</x:v>
      </x:c>
      <x:c r="B40" s="74" t="str">
        <x:v>XP-036</x:v>
      </x:c>
      <x:c r="C40" s="74" t="str">
        <x:v>Honeycomb sandwich panel</x:v>
      </x:c>
      <x:c r="D40" s="74" t="str">
        <x:v>Aircraft wreck</x:v>
      </x:c>
      <x:c r="E40" s="74" t="str">
        <x:v>Salvage Manifest v0.2</x:v>
      </x:c>
      <x:c r="F40" s="74" t="str">
        <x:v>H3</x:v>
      </x:c>
      <x:c r="G40" s="74" t="str">
        <x:v>Light door; table; insulation panel</x:v>
      </x:c>
      <x:c r="H40" s="74" t="str">
        <x:v>Proposed</x:v>
      </x:c>
      <x:c r="I40" s="86" t="str">
        <x:v>Needs Director review</x:v>
      </x:c>
      <x:c r="J40" s="83" t="str"/>
    </x:row>
    <x:row r="41" ht="40.5" customHeight="1">
      <x:c r="A41" s="74" t="n">
        <x:v>37</x:v>
      </x:c>
      <x:c r="B41" s="74" t="str">
        <x:v>XP-037</x:v>
      </x:c>
      <x:c r="C41" s="74" t="str">
        <x:v>Instrument gauge</x:v>
      </x:c>
      <x:c r="D41" s="74" t="str">
        <x:v>Aircraft wreck</x:v>
      </x:c>
      <x:c r="E41" s="74" t="str">
        <x:v>Salvage Manifest v0.2</x:v>
      </x:c>
      <x:c r="F41" s="74" t="str">
        <x:v>H5</x:v>
      </x:c>
      <x:c r="G41" s="74" t="str">
        <x:v>Measure pressure; temperature; speed only after identifying and calibrating</x:v>
      </x:c>
      <x:c r="H41" s="74" t="str">
        <x:v>Proposed</x:v>
      </x:c>
      <x:c r="I41" s="86" t="str">
        <x:v>Needs Director review</x:v>
      </x:c>
      <x:c r="J41" s="83" t="str"/>
    </x:row>
    <x:row r="42" ht="40.5" customHeight="1">
      <x:c r="A42" s="74" t="n">
        <x:v>38</x:v>
      </x:c>
      <x:c r="B42" s="74" t="str">
        <x:v>XP-038</x:v>
      </x:c>
      <x:c r="C42" s="74" t="str">
        <x:v>Magnesium casting</x:v>
      </x:c>
      <x:c r="D42" s="74" t="str">
        <x:v>Aircraft wreck</x:v>
      </x:c>
      <x:c r="E42" s="74" t="str">
        <x:v>Salvage Manifest v0.2</x:v>
      </x:c>
      <x:c r="F42" s="74" t="str">
        <x:v>H6</x:v>
      </x:c>
      <x:c r="G42" s="74" t="str">
        <x:v>Specialist machine part if intact; lightweight donor</x:v>
      </x:c>
      <x:c r="H42" s="74" t="str">
        <x:v>Proposed</x:v>
      </x:c>
      <x:c r="I42" s="86" t="str">
        <x:v>Needs Director review</x:v>
      </x:c>
      <x:c r="J42" s="83" t="str"/>
    </x:row>
    <x:row r="43" ht="40.5" customHeight="1">
      <x:c r="A43" s="74" t="n">
        <x:v>39</x:v>
      </x:c>
      <x:c r="B43" s="74" t="str">
        <x:v>XP-039</x:v>
      </x:c>
      <x:c r="C43" s="74" t="str">
        <x:v>Oleo strut</x:v>
      </x:c>
      <x:c r="D43" s="74" t="str">
        <x:v>Aircraft wreck</x:v>
      </x:c>
      <x:c r="E43" s="74" t="str">
        <x:v>Salvage Manifest v0.2</x:v>
      </x:c>
      <x:c r="F43" s="74" t="str">
        <x:v>H6</x:v>
      </x:c>
      <x:c r="G43" s="74" t="str">
        <x:v>Structural tube only after expert depressurization; suspension donor</x:v>
      </x:c>
      <x:c r="H43" s="74" t="str">
        <x:v>Proposed</x:v>
      </x:c>
      <x:c r="I43" s="86" t="str">
        <x:v>Needs Director review</x:v>
      </x:c>
      <x:c r="J43" s="83" t="str"/>
    </x:row>
    <x:row r="44" ht="40.5" customHeight="1">
      <x:c r="A44" s="74" t="n">
        <x:v>40</x:v>
      </x:c>
      <x:c r="B44" s="74" t="str">
        <x:v>XP-040</x:v>
      </x:c>
      <x:c r="C44" s="74" t="str">
        <x:v>Oxygen cylinder</x:v>
      </x:c>
      <x:c r="D44" s="74" t="str">
        <x:v>Aircraft wreck</x:v>
      </x:c>
      <x:c r="E44" s="74" t="str">
        <x:v>Salvage Manifest v0.2</x:v>
      </x:c>
      <x:c r="F44" s="74" t="str">
        <x:v>H7</x:v>
      </x:c>
      <x:c r="G44" s="74" t="str">
        <x:v>Medical or combustion support only under expert control</x:v>
      </x:c>
      <x:c r="H44" s="74" t="str">
        <x:v>Proposed</x:v>
      </x:c>
      <x:c r="I44" s="86" t="str">
        <x:v>Needs Director review</x:v>
      </x:c>
      <x:c r="J44" s="83" t="str"/>
    </x:row>
    <x:row r="45" ht="40.5" customHeight="1">
      <x:c r="A45" s="74" t="n">
        <x:v>41</x:v>
      </x:c>
      <x:c r="B45" s="74" t="str">
        <x:v>XP-041</x:v>
      </x:c>
      <x:c r="C45" s="74" t="str">
        <x:v>Pitot tube</x:v>
      </x:c>
      <x:c r="D45" s="74" t="str">
        <x:v>Aircraft wreck</x:v>
      </x:c>
      <x:c r="E45" s="74" t="str">
        <x:v>Salvage Manifest v0.2</x:v>
      </x:c>
      <x:c r="F45" s="74" t="str">
        <x:v>H3</x:v>
      </x:c>
      <x:c r="G45" s="74" t="str">
        <x:v>Airflow experiment; small nozzle; calibrated tube donor</x:v>
      </x:c>
      <x:c r="H45" s="74" t="str">
        <x:v>Proposed</x:v>
      </x:c>
      <x:c r="I45" s="86" t="str">
        <x:v>Needs Director review</x:v>
      </x:c>
      <x:c r="J45" s="83" t="str"/>
    </x:row>
    <x:row r="46" ht="40.5" customHeight="1">
      <x:c r="A46" s="74" t="n">
        <x:v>42</x:v>
      </x:c>
      <x:c r="B46" s="74" t="str">
        <x:v>XP-042</x:v>
      </x:c>
      <x:c r="C46" s="74" t="str">
        <x:v>Propeller blade</x:v>
      </x:c>
      <x:c r="D46" s="74" t="str">
        <x:v>Aircraft wreck</x:v>
      </x:c>
      <x:c r="E46" s="74" t="str">
        <x:v>Salvage Manifest v0.2</x:v>
      </x:c>
      <x:c r="F46" s="74" t="str">
        <x:v>H5</x:v>
      </x:c>
      <x:c r="G46" s="74" t="str">
        <x:v>Display clue; wind rotor experiment only after engineering and balance proof</x:v>
      </x:c>
      <x:c r="H46" s="74" t="str">
        <x:v>Proposed</x:v>
      </x:c>
      <x:c r="I46" s="86" t="str">
        <x:v>Needs Director review</x:v>
      </x:c>
      <x:c r="J46" s="83" t="str"/>
    </x:row>
    <x:row r="47" ht="40.5" customHeight="1">
      <x:c r="A47" s="74" t="n">
        <x:v>43</x:v>
      </x:c>
      <x:c r="B47" s="74" t="str">
        <x:v>XP-043</x:v>
      </x:c>
      <x:c r="C47" s="74" t="str">
        <x:v>Rod-end bearing</x:v>
      </x:c>
      <x:c r="D47" s="74" t="str">
        <x:v>Aircraft wreck</x:v>
      </x:c>
      <x:c r="E47" s="74" t="str">
        <x:v>Salvage Manifest v0.2</x:v>
      </x:c>
      <x:c r="F47" s="74" t="str">
        <x:v>H4</x:v>
      </x:c>
      <x:c r="G47" s="74" t="str">
        <x:v>Articulated linkage; steering; machine joint</x:v>
      </x:c>
      <x:c r="H47" s="74" t="str">
        <x:v>Proposed</x:v>
      </x:c>
      <x:c r="I47" s="86" t="str">
        <x:v>Needs Director review</x:v>
      </x:c>
      <x:c r="J47" s="83" t="str"/>
    </x:row>
    <x:row r="48" ht="40.5" customHeight="1">
      <x:c r="A48" s="74" t="n">
        <x:v>44</x:v>
      </x:c>
      <x:c r="B48" s="74" t="str">
        <x:v>XP-044</x:v>
      </x:c>
      <x:c r="C48" s="74" t="str">
        <x:v>Shielded aircraft cable</x:v>
      </x:c>
      <x:c r="D48" s="74" t="str">
        <x:v>Aircraft wreck</x:v>
      </x:c>
      <x:c r="E48" s="74" t="str">
        <x:v>Salvage Manifest v0.2</x:v>
      </x:c>
      <x:c r="F48" s="74" t="str">
        <x:v>H3</x:v>
      </x:c>
      <x:c r="G48" s="74" t="str">
        <x:v>Signal wire; antenna feed; low-noise sensor connection</x:v>
      </x:c>
      <x:c r="H48" s="74" t="str">
        <x:v>Proposed</x:v>
      </x:c>
      <x:c r="I48" s="86" t="str">
        <x:v>Needs Director review</x:v>
      </x:c>
      <x:c r="J48" s="83" t="str"/>
    </x:row>
    <x:row r="49" ht="40.5" customHeight="1">
      <x:c r="A49" s="74" t="n">
        <x:v>45</x:v>
      </x:c>
      <x:c r="B49" s="74" t="str">
        <x:v>XP-045</x:v>
      </x:c>
      <x:c r="C49" s="74" t="str">
        <x:v>Stainless firewall panel</x:v>
      </x:c>
      <x:c r="D49" s="74" t="str">
        <x:v>Aircraft wreck</x:v>
      </x:c>
      <x:c r="E49" s="74" t="str">
        <x:v>Salvage Manifest v0.2</x:v>
      </x:c>
      <x:c r="F49" s="74" t="str">
        <x:v>H4</x:v>
      </x:c>
      <x:c r="G49" s="74" t="str">
        <x:v>Heat shield; stove baffle; fireproof work surface</x:v>
      </x:c>
      <x:c r="H49" s="74" t="str">
        <x:v>Proposed</x:v>
      </x:c>
      <x:c r="I49" s="86" t="str">
        <x:v>Needs Director review</x:v>
      </x:c>
      <x:c r="J49" s="83" t="str"/>
    </x:row>
    <x:row r="50" ht="40.5" customHeight="1">
      <x:c r="A50" s="74" t="n">
        <x:v>46</x:v>
      </x:c>
      <x:c r="B50" s="74" t="str">
        <x:v>XP-046</x:v>
      </x:c>
      <x:c r="C50" s="74" t="str">
        <x:v>Steel aircraft fitting</x:v>
      </x:c>
      <x:c r="D50" s="74" t="str">
        <x:v>Aircraft wreck</x:v>
      </x:c>
      <x:c r="E50" s="74" t="str">
        <x:v>Salvage Manifest v0.2</x:v>
      </x:c>
      <x:c r="F50" s="74" t="str">
        <x:v>H4</x:v>
      </x:c>
      <x:c r="G50" s="74" t="str">
        <x:v>Bracket; hinge; repair only after identification</x:v>
      </x:c>
      <x:c r="H50" s="74" t="str">
        <x:v>Proposed</x:v>
      </x:c>
      <x:c r="I50" s="86" t="str">
        <x:v>Needs Director review</x:v>
      </x:c>
      <x:c r="J50" s="83" t="str"/>
    </x:row>
    <x:row r="51" ht="40.5" customHeight="1">
      <x:c r="A51" s="74" t="n">
        <x:v>47</x:v>
      </x:c>
      <x:c r="B51" s="74" t="str">
        <x:v>XP-047</x:v>
      </x:c>
      <x:c r="C51" s="74" t="str">
        <x:v>Cabin upholstery cloth</x:v>
      </x:c>
      <x:c r="D51" s="74" t="str">
        <x:v>Boat cabin</x:v>
      </x:c>
      <x:c r="E51" s="74" t="str">
        <x:v>Salvage Manifest v0.2</x:v>
      </x:c>
      <x:c r="F51" s="74" t="str">
        <x:v>H1</x:v>
      </x:c>
      <x:c r="G51" s="74" t="str">
        <x:v>Patches; bags; shade; insulation layer</x:v>
      </x:c>
      <x:c r="H51" s="74" t="str">
        <x:v>Proposed</x:v>
      </x:c>
      <x:c r="I51" s="86" t="str">
        <x:v>Needs Director review</x:v>
      </x:c>
      <x:c r="J51" s="83" t="str"/>
    </x:row>
    <x:row r="52" ht="40.5" customHeight="1">
      <x:c r="A52" s="74" t="n">
        <x:v>48</x:v>
      </x:c>
      <x:c r="B52" s="74" t="str">
        <x:v>XP-048</x:v>
      </x:c>
      <x:c r="C52" s="74" t="str">
        <x:v>Closed-cell foam cushion</x:v>
      </x:c>
      <x:c r="D52" s="74" t="str">
        <x:v>Boat cabin</x:v>
      </x:c>
      <x:c r="E52" s="74" t="str">
        <x:v>Salvage Manifest v0.2</x:v>
      </x:c>
      <x:c r="F52" s="74" t="str">
        <x:v>H2</x:v>
      </x:c>
      <x:c r="G52" s="74" t="str">
        <x:v>Flotation after proof; insulation; padding</x:v>
      </x:c>
      <x:c r="H52" s="74" t="str">
        <x:v>Proposed</x:v>
      </x:c>
      <x:c r="I52" s="86" t="str">
        <x:v>Needs Director review</x:v>
      </x:c>
      <x:c r="J52" s="83" t="str"/>
    </x:row>
    <x:row r="53" ht="40.5" customHeight="1">
      <x:c r="A53" s="74" t="n">
        <x:v>49</x:v>
      </x:c>
      <x:c r="B53" s="74" t="str">
        <x:v>XP-049</x:v>
      </x:c>
      <x:c r="C53" s="74" t="str">
        <x:v>Leather strap</x:v>
      </x:c>
      <x:c r="D53" s="74" t="str">
        <x:v>Boat cabin</x:v>
      </x:c>
      <x:c r="E53" s="74" t="str">
        <x:v>Salvage Manifest v0.2</x:v>
      </x:c>
      <x:c r="F53" s="74" t="str">
        <x:v>H1</x:v>
      </x:c>
      <x:c r="G53" s="74" t="str">
        <x:v>Belt; hinge; tool sheath; gasket</x:v>
      </x:c>
      <x:c r="H53" s="74" t="str">
        <x:v>Proposed</x:v>
      </x:c>
      <x:c r="I53" s="86" t="str">
        <x:v>Needs Director review</x:v>
      </x:c>
      <x:c r="J53" s="83" t="str"/>
    </x:row>
    <x:row r="54" ht="40.5" customHeight="1">
      <x:c r="A54" s="74" t="n">
        <x:v>50</x:v>
      </x:c>
      <x:c r="B54" s="74" t="str">
        <x:v>XP-050</x:v>
      </x:c>
      <x:c r="C54" s="74" t="str">
        <x:v>Alternator</x:v>
      </x:c>
      <x:c r="D54" s="74" t="str">
        <x:v>Boat electrical</x:v>
      </x:c>
      <x:c r="E54" s="74" t="str">
        <x:v>Salvage Manifest v0.2</x:v>
      </x:c>
      <x:c r="F54" s="74" t="str">
        <x:v>H4</x:v>
      </x:c>
      <x:c r="G54" s="74" t="str">
        <x:v>Generate electricity from engine; waterwheel; wind rotor</x:v>
      </x:c>
      <x:c r="H54" s="74" t="str">
        <x:v>Proposed</x:v>
      </x:c>
      <x:c r="I54" s="86" t="str">
        <x:v>Needs Director review</x:v>
      </x:c>
      <x:c r="J54" s="83" t="str"/>
    </x:row>
    <x:row r="55" ht="40.5" customHeight="1">
      <x:c r="A55" s="74" t="n">
        <x:v>51</x:v>
      </x:c>
      <x:c r="B55" s="74" t="str">
        <x:v>XP-051</x:v>
      </x:c>
      <x:c r="C55" s="74" t="str">
        <x:v>Cable connector</x:v>
      </x:c>
      <x:c r="D55" s="74" t="str">
        <x:v>Boat electrical</x:v>
      </x:c>
      <x:c r="E55" s="74" t="str">
        <x:v>Salvage Manifest v0.2</x:v>
      </x:c>
      <x:c r="F55" s="74" t="str">
        <x:v>H3</x:v>
      </x:c>
      <x:c r="G55" s="74" t="str">
        <x:v>Modular connection; waterproof pass-through</x:v>
      </x:c>
      <x:c r="H55" s="74" t="str">
        <x:v>Proposed</x:v>
      </x:c>
      <x:c r="I55" s="86" t="str">
        <x:v>Needs Director review</x:v>
      </x:c>
      <x:c r="J55" s="83" t="str"/>
    </x:row>
    <x:row r="56" ht="40.5" customHeight="1">
      <x:c r="A56" s="74" t="n">
        <x:v>52</x:v>
      </x:c>
      <x:c r="B56" s="74" t="str">
        <x:v>XP-052</x:v>
      </x:c>
      <x:c r="C56" s="74" t="str">
        <x:v>Circuit breaker</x:v>
      </x:c>
      <x:c r="D56" s="74" t="str">
        <x:v>Boat electrical</x:v>
      </x:c>
      <x:c r="E56" s="74" t="str">
        <x:v>Salvage Manifest v0.2</x:v>
      </x:c>
      <x:c r="F56" s="74" t="str">
        <x:v>H4</x:v>
      </x:c>
      <x:c r="G56" s="74" t="str">
        <x:v>Resettable overcurrent protection after test</x:v>
      </x:c>
      <x:c r="H56" s="74" t="str">
        <x:v>Proposed</x:v>
      </x:c>
      <x:c r="I56" s="86" t="str">
        <x:v>Needs Director review</x:v>
      </x:c>
      <x:c r="J56" s="83" t="str"/>
    </x:row>
    <x:row r="57" ht="40.5" customHeight="1">
      <x:c r="A57" s="74" t="n">
        <x:v>53</x:v>
      </x:c>
      <x:c r="B57" s="74" t="str">
        <x:v>XP-053</x:v>
      </x:c>
      <x:c r="C57" s="74" t="str">
        <x:v>DC motor</x:v>
      </x:c>
      <x:c r="D57" s="74" t="str">
        <x:v>Boat electrical</x:v>
      </x:c>
      <x:c r="E57" s="74" t="str">
        <x:v>Salvage Manifest v0.2</x:v>
      </x:c>
      <x:c r="F57" s="74" t="str">
        <x:v>H4</x:v>
      </x:c>
      <x:c r="G57" s="74" t="str">
        <x:v>Fan; pump; lathe; generator experiment</x:v>
      </x:c>
      <x:c r="H57" s="74" t="str">
        <x:v>Proposed</x:v>
      </x:c>
      <x:c r="I57" s="86" t="str">
        <x:v>Needs Director review</x:v>
      </x:c>
      <x:c r="J57" s="83" t="str"/>
    </x:row>
    <x:row r="58" ht="40.5" customHeight="1">
      <x:c r="A58" s="74" t="n">
        <x:v>54</x:v>
      </x:c>
      <x:c r="B58" s="74" t="str">
        <x:v>XP-054</x:v>
      </x:c>
      <x:c r="C58" s="74" t="str">
        <x:v>Electrical switch</x:v>
      </x:c>
      <x:c r="D58" s="74" t="str">
        <x:v>Boat electrical</x:v>
      </x:c>
      <x:c r="E58" s="74" t="str">
        <x:v>Salvage Manifest v0.2</x:v>
      </x:c>
      <x:c r="F58" s="74" t="str">
        <x:v>H2</x:v>
      </x:c>
      <x:c r="G58" s="74" t="str">
        <x:v>Control lights; pumps; test circuits</x:v>
      </x:c>
      <x:c r="H58" s="74" t="str">
        <x:v>Proposed</x:v>
      </x:c>
      <x:c r="I58" s="86" t="str">
        <x:v>Needs Director review</x:v>
      </x:c>
      <x:c r="J58" s="83" t="str"/>
    </x:row>
    <x:row r="59" ht="40.5" customHeight="1">
      <x:c r="A59" s="74" t="n">
        <x:v>55</x:v>
      </x:c>
      <x:c r="B59" s="74" t="str">
        <x:v>XP-055</x:v>
      </x:c>
      <x:c r="C59" s="74" t="str">
        <x:v>Fuse assortment</x:v>
      </x:c>
      <x:c r="D59" s="74" t="str">
        <x:v>Boat electrical</x:v>
      </x:c>
      <x:c r="E59" s="74" t="str">
        <x:v>Salvage Manifest v0.2</x:v>
      </x:c>
      <x:c r="F59" s="74" t="str">
        <x:v>H3</x:v>
      </x:c>
      <x:c r="G59" s="74" t="str">
        <x:v>Overcurrent protection when rating is legible</x:v>
      </x:c>
      <x:c r="H59" s="74" t="str">
        <x:v>Proposed</x:v>
      </x:c>
      <x:c r="I59" s="86" t="str">
        <x:v>Needs Director review</x:v>
      </x:c>
      <x:c r="J59" s="83" t="str"/>
    </x:row>
    <x:row r="60" ht="40.5" customHeight="1">
      <x:c r="A60" s="74" t="n">
        <x:v>56</x:v>
      </x:c>
      <x:c r="B60" s="74" t="str">
        <x:v>XP-056</x:v>
      </x:c>
      <x:c r="C60" s="74" t="str">
        <x:v>Lead-acid battery</x:v>
      </x:c>
      <x:c r="D60" s="74" t="str">
        <x:v>Boat electrical</x:v>
      </x:c>
      <x:c r="E60" s="74" t="str">
        <x:v>Salvage Manifest v0.2</x:v>
      </x:c>
      <x:c r="F60" s="74" t="str">
        <x:v>H5</x:v>
      </x:c>
      <x:c r="G60" s="74" t="str">
        <x:v>Electrical storage if intact and tested</x:v>
      </x:c>
      <x:c r="H60" s="74" t="str">
        <x:v>Proposed</x:v>
      </x:c>
      <x:c r="I60" s="86" t="str">
        <x:v>Needs Director review</x:v>
      </x:c>
      <x:c r="J60" s="83" t="str"/>
    </x:row>
    <x:row r="61" ht="40.5" customHeight="1">
      <x:c r="A61" s="74" t="n">
        <x:v>57</x:v>
      </x:c>
      <x:c r="B61" s="74" t="str">
        <x:v>XP-057</x:v>
      </x:c>
      <x:c r="C61" s="74" t="str">
        <x:v>Magneto</x:v>
      </x:c>
      <x:c r="D61" s="74" t="str">
        <x:v>Boat electrical</x:v>
      </x:c>
      <x:c r="E61" s="74" t="str">
        <x:v>Salvage Manifest v0.2</x:v>
      </x:c>
      <x:c r="F61" s="74" t="str">
        <x:v>H4</x:v>
      </x:c>
      <x:c r="G61" s="74" t="str">
        <x:v>Ignition source; small generator experiment</x:v>
      </x:c>
      <x:c r="H61" s="74" t="str">
        <x:v>Proposed</x:v>
      </x:c>
      <x:c r="I61" s="86" t="str">
        <x:v>Needs Director review</x:v>
      </x:c>
      <x:c r="J61" s="83" t="str"/>
    </x:row>
    <x:row r="62" ht="40.5" customHeight="1">
      <x:c r="A62" s="74" t="n">
        <x:v>58</x:v>
      </x:c>
      <x:c r="B62" s="74" t="str">
        <x:v>XP-058</x:v>
      </x:c>
      <x:c r="C62" s="74" t="str">
        <x:v>Navigation lamp</x:v>
      </x:c>
      <x:c r="D62" s="74" t="str">
        <x:v>Boat electrical</x:v>
      </x:c>
      <x:c r="E62" s="74" t="str">
        <x:v>Salvage Manifest v0.2</x:v>
      </x:c>
      <x:c r="F62" s="74" t="str">
        <x:v>H2</x:v>
      </x:c>
      <x:c r="G62" s="74" t="str">
        <x:v>Shelter light; signal light; lens donor</x:v>
      </x:c>
      <x:c r="H62" s="74" t="str">
        <x:v>Proposed</x:v>
      </x:c>
      <x:c r="I62" s="86" t="str">
        <x:v>Needs Director review</x:v>
      </x:c>
      <x:c r="J62" s="83" t="str"/>
    </x:row>
    <x:row r="63" ht="40.5" customHeight="1">
      <x:c r="A63" s="74" t="n">
        <x:v>59</x:v>
      </x:c>
      <x:c r="B63" s="74" t="str">
        <x:v>XP-059</x:v>
      </x:c>
      <x:c r="C63" s="74" t="str">
        <x:v>Starter motor</x:v>
      </x:c>
      <x:c r="D63" s="74" t="str">
        <x:v>Boat electrical</x:v>
      </x:c>
      <x:c r="E63" s="74" t="str">
        <x:v>Salvage Manifest v0.2</x:v>
      </x:c>
      <x:c r="F63" s="74" t="str">
        <x:v>H4</x:v>
      </x:c>
      <x:c r="G63" s="74" t="str">
        <x:v>Repair as motor; high-current winch drive; generator experiment</x:v>
      </x:c>
      <x:c r="H63" s="74" t="str">
        <x:v>Proposed</x:v>
      </x:c>
      <x:c r="I63" s="86" t="str">
        <x:v>Needs Director review</x:v>
      </x:c>
      <x:c r="J63" s="83" t="str"/>
    </x:row>
    <x:row r="64" ht="40.5" customHeight="1">
      <x:c r="A64" s="74" t="n">
        <x:v>60</x:v>
      </x:c>
      <x:c r="B64" s="74" t="str">
        <x:v>XP-060</x:v>
      </x:c>
      <x:c r="C64" s="74" t="str">
        <x:v>Wire harness</x:v>
      </x:c>
      <x:c r="D64" s="74" t="str">
        <x:v>Boat electrical</x:v>
      </x:c>
      <x:c r="E64" s="74" t="str">
        <x:v>Salvage Manifest v0.2</x:v>
      </x:c>
      <x:c r="F64" s="74" t="str">
        <x:v>H3</x:v>
      </x:c>
      <x:c r="G64" s="74" t="str">
        <x:v>Reusable labelled circuits; low-voltage distribution</x:v>
      </x:c>
      <x:c r="H64" s="74" t="str">
        <x:v>Proposed</x:v>
      </x:c>
      <x:c r="I64" s="86" t="str">
        <x:v>Needs Director review</x:v>
      </x:c>
      <x:c r="J64" s="83" t="str"/>
    </x:row>
    <x:row r="65" ht="40.5" customHeight="1">
      <x:c r="A65" s="74" t="n">
        <x:v>61</x:v>
      </x:c>
      <x:c r="B65" s="74" t="str">
        <x:v>XP-061</x:v>
      </x:c>
      <x:c r="C65" s="74" t="str">
        <x:v>Angle bracket</x:v>
      </x:c>
      <x:c r="D65" s="74" t="str">
        <x:v>Boat hardware</x:v>
      </x:c>
      <x:c r="E65" s="74" t="str">
        <x:v>Salvage Manifest v0.2</x:v>
      </x:c>
      <x:c r="F65" s="74" t="str">
        <x:v>H2</x:v>
      </x:c>
      <x:c r="G65" s="74" t="str">
        <x:v>Join frames; mount shelf; stiffen machine base</x:v>
      </x:c>
      <x:c r="H65" s="74" t="str">
        <x:v>Proposed</x:v>
      </x:c>
      <x:c r="I65" s="86" t="str">
        <x:v>Needs Director review</x:v>
      </x:c>
      <x:c r="J65" s="83" t="str"/>
    </x:row>
    <x:row r="66" ht="40.5" customHeight="1">
      <x:c r="A66" s="74" t="n">
        <x:v>62</x:v>
      </x:c>
      <x:c r="B66" s="74" t="str">
        <x:v>XP-062</x:v>
      </x:c>
      <x:c r="C66" s="74" t="str">
        <x:v>Blind rivet assortment</x:v>
      </x:c>
      <x:c r="D66" s="74" t="str">
        <x:v>Boat hardware</x:v>
      </x:c>
      <x:c r="E66" s="74" t="str">
        <x:v>Salvage Manifest v0.2</x:v>
      </x:c>
      <x:c r="F66" s="74" t="str">
        <x:v>H3</x:v>
      </x:c>
      <x:c r="G66" s="74" t="str">
        <x:v>One-side sheet repair with hand riveter</x:v>
      </x:c>
      <x:c r="H66" s="74" t="str">
        <x:v>Proposed</x:v>
      </x:c>
      <x:c r="I66" s="86" t="str">
        <x:v>Needs Director review</x:v>
      </x:c>
      <x:c r="J66" s="83" t="str"/>
    </x:row>
    <x:row r="67" ht="40.5" customHeight="1">
      <x:c r="A67" s="74" t="n">
        <x:v>63</x:v>
      </x:c>
      <x:c r="B67" s="74" t="str">
        <x:v>XP-063</x:v>
      </x:c>
      <x:c r="C67" s="74" t="str">
        <x:v>Bolt assortment</x:v>
      </x:c>
      <x:c r="D67" s="74" t="str">
        <x:v>Boat hardware</x:v>
      </x:c>
      <x:c r="E67" s="74" t="str">
        <x:v>Salvage Manifest v0.2</x:v>
      </x:c>
      <x:c r="F67" s="74" t="str">
        <x:v>H2</x:v>
      </x:c>
      <x:c r="G67" s="74" t="str">
        <x:v>Structural fastening when matched with nuts and washers</x:v>
      </x:c>
      <x:c r="H67" s="74" t="str">
        <x:v>Proposed</x:v>
      </x:c>
      <x:c r="I67" s="86" t="str">
        <x:v>Needs Director review</x:v>
      </x:c>
      <x:c r="J67" s="83" t="str"/>
    </x:row>
    <x:row r="68" ht="40.5" customHeight="1">
      <x:c r="A68" s="74" t="n">
        <x:v>64</x:v>
      </x:c>
      <x:c r="B68" s="74" t="str">
        <x:v>XP-064</x:v>
      </x:c>
      <x:c r="C68" s="74" t="str">
        <x:v>Cotter pin</x:v>
      </x:c>
      <x:c r="D68" s="74" t="str">
        <x:v>Boat hardware</x:v>
      </x:c>
      <x:c r="E68" s="74" t="str">
        <x:v>Salvage Manifest v0.2</x:v>
      </x:c>
      <x:c r="F68" s="74" t="str">
        <x:v>H2</x:v>
      </x:c>
      <x:c r="G68" s="74" t="str">
        <x:v>Lock castellated nut; hinge pin retainer</x:v>
      </x:c>
      <x:c r="H68" s="74" t="str">
        <x:v>Proposed</x:v>
      </x:c>
      <x:c r="I68" s="86" t="str">
        <x:v>Needs Director review</x:v>
      </x:c>
      <x:c r="J68" s="83" t="str"/>
    </x:row>
    <x:row r="69" ht="40.5" customHeight="1">
      <x:c r="A69" s="74" t="n">
        <x:v>65</x:v>
      </x:c>
      <x:c r="B69" s="74" t="str">
        <x:v>XP-065</x:v>
      </x:c>
      <x:c r="C69" s="74" t="str">
        <x:v>Eye bolt</x:v>
      </x:c>
      <x:c r="D69" s="74" t="str">
        <x:v>Boat hardware</x:v>
      </x:c>
      <x:c r="E69" s="74" t="str">
        <x:v>Salvage Manifest v0.2</x:v>
      </x:c>
      <x:c r="F69" s="74" t="str">
        <x:v>H2</x:v>
      </x:c>
      <x:c r="G69" s="74" t="str">
        <x:v>Anchor point after load proof; hanging; hinge pin</x:v>
      </x:c>
      <x:c r="H69" s="74" t="str">
        <x:v>Proposed</x:v>
      </x:c>
      <x:c r="I69" s="86" t="str">
        <x:v>Needs Director review</x:v>
      </x:c>
      <x:c r="J69" s="83" t="str"/>
    </x:row>
    <x:row r="70" ht="40.5" customHeight="1">
      <x:c r="A70" s="74" t="n">
        <x:v>66</x:v>
      </x:c>
      <x:c r="B70" s="74" t="str">
        <x:v>XP-066</x:v>
      </x:c>
      <x:c r="C70" s="74" t="str">
        <x:v>Flat bar bracket</x:v>
      </x:c>
      <x:c r="D70" s="74" t="str">
        <x:v>Boat hardware</x:v>
      </x:c>
      <x:c r="E70" s="74" t="str">
        <x:v>Salvage Manifest v0.2</x:v>
      </x:c>
      <x:c r="F70" s="74" t="str">
        <x:v>H2</x:v>
      </x:c>
      <x:c r="G70" s="74" t="str">
        <x:v>Strap joint; reinforcement; tool blank</x:v>
      </x:c>
      <x:c r="H70" s="74" t="str">
        <x:v>Proposed</x:v>
      </x:c>
      <x:c r="I70" s="86" t="str">
        <x:v>Needs Director review</x:v>
      </x:c>
      <x:c r="J70" s="83" t="str"/>
    </x:row>
    <x:row r="71" ht="40.5" customHeight="1">
      <x:c r="A71" s="74" t="n">
        <x:v>67</x:v>
      </x:c>
      <x:c r="B71" s="74" t="str">
        <x:v>XP-067</x:v>
      </x:c>
      <x:c r="C71" s="74" t="str">
        <x:v>Hinge</x:v>
      </x:c>
      <x:c r="D71" s="74" t="str">
        <x:v>Boat hardware</x:v>
      </x:c>
      <x:c r="E71" s="74" t="str">
        <x:v>Salvage Manifest v0.2</x:v>
      </x:c>
      <x:c r="F71" s="74" t="str">
        <x:v>H1</x:v>
      </x:c>
      <x:c r="G71" s="74" t="str">
        <x:v>Doors; lids; folding jigs; rudder prototype</x:v>
      </x:c>
      <x:c r="H71" s="74" t="str">
        <x:v>Proposed</x:v>
      </x:c>
      <x:c r="I71" s="86" t="str">
        <x:v>Needs Director review</x:v>
      </x:c>
      <x:c r="J71" s="83" t="str"/>
    </x:row>
    <x:row r="72" ht="40.5" customHeight="1">
      <x:c r="A72" s="74" t="n">
        <x:v>68</x:v>
      </x:c>
      <x:c r="B72" s="74" t="str">
        <x:v>XP-068</x:v>
      </x:c>
      <x:c r="C72" s="74" t="str">
        <x:v>Hose clamp</x:v>
      </x:c>
      <x:c r="D72" s="74" t="str">
        <x:v>Boat hardware</x:v>
      </x:c>
      <x:c r="E72" s="74" t="str">
        <x:v>Salvage Manifest v0.2</x:v>
      </x:c>
      <x:c r="F72" s="74" t="str">
        <x:v>H1</x:v>
      </x:c>
      <x:c r="G72" s="74" t="str">
        <x:v>Secure hose; band clamp; small bracket</x:v>
      </x:c>
      <x:c r="H72" s="74" t="str">
        <x:v>Proposed</x:v>
      </x:c>
      <x:c r="I72" s="86" t="str">
        <x:v>Needs Director review</x:v>
      </x:c>
      <x:c r="J72" s="83" t="str"/>
    </x:row>
    <x:row r="73" ht="40.5" customHeight="1">
      <x:c r="A73" s="74" t="n">
        <x:v>69</x:v>
      </x:c>
      <x:c r="B73" s="74" t="str">
        <x:v>XP-069</x:v>
      </x:c>
      <x:c r="C73" s="74" t="str">
        <x:v>Latch</x:v>
      </x:c>
      <x:c r="D73" s="74" t="str">
        <x:v>Boat hardware</x:v>
      </x:c>
      <x:c r="E73" s="74" t="str">
        <x:v>Salvage Manifest v0.2</x:v>
      </x:c>
      <x:c r="F73" s="74" t="str">
        <x:v>H1</x:v>
      </x:c>
      <x:c r="G73" s="74" t="str">
        <x:v>Secure box; door; panel</x:v>
      </x:c>
      <x:c r="H73" s="74" t="str">
        <x:v>Proposed</x:v>
      </x:c>
      <x:c r="I73" s="86" t="str">
        <x:v>Needs Director review</x:v>
      </x:c>
      <x:c r="J73" s="83" t="str"/>
    </x:row>
    <x:row r="74" ht="40.5" customHeight="1">
      <x:c r="A74" s="74" t="n">
        <x:v>70</x:v>
      </x:c>
      <x:c r="B74" s="74" t="str">
        <x:v>XP-070</x:v>
      </x:c>
      <x:c r="C74" s="74" t="str">
        <x:v>Nut assortment</x:v>
      </x:c>
      <x:c r="D74" s="74" t="str">
        <x:v>Boat hardware</x:v>
      </x:c>
      <x:c r="E74" s="74" t="str">
        <x:v>Salvage Manifest v0.2</x:v>
      </x:c>
      <x:c r="F74" s="74" t="str">
        <x:v>H2</x:v>
      </x:c>
      <x:c r="G74" s="74" t="str">
        <x:v>Matched reusable threaded fasteners</x:v>
      </x:c>
      <x:c r="H74" s="74" t="str">
        <x:v>Proposed</x:v>
      </x:c>
      <x:c r="I74" s="86" t="str">
        <x:v>Needs Director review</x:v>
      </x:c>
      <x:c r="J74" s="83" t="str"/>
    </x:row>
    <x:row r="75" ht="40.5" customHeight="1">
      <x:c r="A75" s="74" t="n">
        <x:v>71</x:v>
      </x:c>
      <x:c r="B75" s="74" t="str">
        <x:v>XP-071</x:v>
      </x:c>
      <x:c r="C75" s="74" t="str">
        <x:v>Rubber gasket</x:v>
      </x:c>
      <x:c r="D75" s="74" t="str">
        <x:v>Boat hardware</x:v>
      </x:c>
      <x:c r="E75" s="74" t="str">
        <x:v>Salvage Manifest v0.2</x:v>
      </x:c>
      <x:c r="F75" s="74" t="str">
        <x:v>H2</x:v>
      </x:c>
      <x:c r="G75" s="74" t="str">
        <x:v>Seal lid; pump; pipe; vibration mount</x:v>
      </x:c>
      <x:c r="H75" s="74" t="str">
        <x:v>Proposed</x:v>
      </x:c>
      <x:c r="I75" s="86" t="str">
        <x:v>Needs Director review</x:v>
      </x:c>
      <x:c r="J75" s="83" t="str"/>
    </x:row>
    <x:row r="76" ht="40.5" customHeight="1">
      <x:c r="A76" s="74" t="n">
        <x:v>72</x:v>
      </x:c>
      <x:c r="B76" s="74" t="str">
        <x:v>XP-072</x:v>
      </x:c>
      <x:c r="C76" s="74" t="str">
        <x:v>Screw assortment</x:v>
      </x:c>
      <x:c r="D76" s="74" t="str">
        <x:v>Boat hardware</x:v>
      </x:c>
      <x:c r="E76" s="74" t="str">
        <x:v>Salvage Manifest v0.2</x:v>
      </x:c>
      <x:c r="F76" s="74" t="str">
        <x:v>H2</x:v>
      </x:c>
      <x:c r="G76" s="74" t="str">
        <x:v>Reusable fastening when head; thread; material match</x:v>
      </x:c>
      <x:c r="H76" s="74" t="str">
        <x:v>Proposed</x:v>
      </x:c>
      <x:c r="I76" s="86" t="str">
        <x:v>Needs Director review</x:v>
      </x:c>
      <x:c r="J76" s="83" t="str"/>
    </x:row>
    <x:row r="77" ht="40.5" customHeight="1">
      <x:c r="A77" s="74" t="n">
        <x:v>73</x:v>
      </x:c>
      <x:c r="B77" s="74" t="str">
        <x:v>XP-073</x:v>
      </x:c>
      <x:c r="C77" s="74" t="str">
        <x:v>Solid rivet assortment</x:v>
      </x:c>
      <x:c r="D77" s="74" t="str">
        <x:v>Boat hardware</x:v>
      </x:c>
      <x:c r="E77" s="74" t="str">
        <x:v>Salvage Manifest v0.2</x:v>
      </x:c>
      <x:c r="F77" s="74" t="str">
        <x:v>H3</x:v>
      </x:c>
      <x:c r="G77" s="74" t="str">
        <x:v>Sheet fastening with correct set and access</x:v>
      </x:c>
      <x:c r="H77" s="74" t="str">
        <x:v>Proposed</x:v>
      </x:c>
      <x:c r="I77" s="86" t="str">
        <x:v>Needs Director review</x:v>
      </x:c>
      <x:c r="J77" s="83" t="str"/>
    </x:row>
    <x:row r="78" ht="40.5" customHeight="1">
      <x:c r="A78" s="74" t="n">
        <x:v>74</x:v>
      </x:c>
      <x:c r="B78" s="74" t="str">
        <x:v>XP-074</x:v>
      </x:c>
      <x:c r="C78" s="74" t="str">
        <x:v>U-bolt</x:v>
      </x:c>
      <x:c r="D78" s="74" t="str">
        <x:v>Boat hardware</x:v>
      </x:c>
      <x:c r="E78" s="74" t="str">
        <x:v>Salvage Manifest v0.2</x:v>
      </x:c>
      <x:c r="F78" s="74" t="str">
        <x:v>H2</x:v>
      </x:c>
      <x:c r="G78" s="74" t="str">
        <x:v>Clamp pipe; axle; mast; frame</x:v>
      </x:c>
      <x:c r="H78" s="74" t="str">
        <x:v>Proposed</x:v>
      </x:c>
      <x:c r="I78" s="86" t="str">
        <x:v>Needs Director review</x:v>
      </x:c>
      <x:c r="J78" s="83" t="str"/>
    </x:row>
    <x:row r="79" ht="40.5" customHeight="1">
      <x:c r="A79" s="74" t="n">
        <x:v>75</x:v>
      </x:c>
      <x:c r="B79" s="74" t="str">
        <x:v>XP-075</x:v>
      </x:c>
      <x:c r="C79" s="74" t="str">
        <x:v>Washer assortment</x:v>
      </x:c>
      <x:c r="D79" s="74" t="str">
        <x:v>Boat hardware</x:v>
      </x:c>
      <x:c r="E79" s="74" t="str">
        <x:v>Salvage Manifest v0.2</x:v>
      </x:c>
      <x:c r="F79" s="74" t="str">
        <x:v>H1</x:v>
      </x:c>
      <x:c r="G79" s="74" t="str">
        <x:v>Spread load; shim; electrical terminal; spacer</x:v>
      </x:c>
      <x:c r="H79" s="74" t="str">
        <x:v>Proposed</x:v>
      </x:c>
      <x:c r="I79" s="86" t="str">
        <x:v>Needs Director review</x:v>
      </x:c>
      <x:c r="J79" s="83" t="str"/>
    </x:row>
    <x:row r="80" ht="40.5" customHeight="1">
      <x:c r="A80" s="74" t="n">
        <x:v>76</x:v>
      </x:c>
      <x:c r="B80" s="74" t="str">
        <x:v>XP-076</x:v>
      </x:c>
      <x:c r="C80" s="74" t="str">
        <x:v>Ball bearing</x:v>
      </x:c>
      <x:c r="D80" s="74" t="str">
        <x:v>Boat machinery</x:v>
      </x:c>
      <x:c r="E80" s="74" t="str">
        <x:v>Salvage Manifest v0.2</x:v>
      </x:c>
      <x:c r="F80" s="74" t="str">
        <x:v>H3</x:v>
      </x:c>
      <x:c r="G80" s="74" t="str">
        <x:v>Low-friction shaft support</x:v>
      </x:c>
      <x:c r="H80" s="74" t="str">
        <x:v>Proposed</x:v>
      </x:c>
      <x:c r="I80" s="86" t="str">
        <x:v>Needs Director review</x:v>
      </x:c>
      <x:c r="J80" s="83" t="str"/>
    </x:row>
    <x:row r="81" ht="40.5" customHeight="1">
      <x:c r="A81" s="74" t="n">
        <x:v>77</x:v>
      </x:c>
      <x:c r="B81" s="74" t="str">
        <x:v>XP-077</x:v>
      </x:c>
      <x:c r="C81" s="74" t="str">
        <x:v>Belt pulley</x:v>
      </x:c>
      <x:c r="D81" s="74" t="str">
        <x:v>Boat machinery</x:v>
      </x:c>
      <x:c r="E81" s="74" t="str">
        <x:v>Salvage Manifest v0.2</x:v>
      </x:c>
      <x:c r="F81" s="74" t="str">
        <x:v>H3</x:v>
      </x:c>
      <x:c r="G81" s="74" t="str">
        <x:v>Transmit power; idler; rope sheave if compatible</x:v>
      </x:c>
      <x:c r="H81" s="74" t="str">
        <x:v>Proposed</x:v>
      </x:c>
      <x:c r="I81" s="86" t="str">
        <x:v>Needs Director review</x:v>
      </x:c>
      <x:c r="J81" s="83" t="str"/>
    </x:row>
    <x:row r="82" ht="40.5" customHeight="1">
      <x:c r="A82" s="74" t="n">
        <x:v>78</x:v>
      </x:c>
      <x:c r="B82" s="74" t="str">
        <x:v>XP-078</x:v>
      </x:c>
      <x:c r="C82" s="74" t="str">
        <x:v>Carburetor</x:v>
      </x:c>
      <x:c r="D82" s="74" t="str">
        <x:v>Boat machinery</x:v>
      </x:c>
      <x:c r="E82" s="74" t="str">
        <x:v>Salvage Manifest v0.2</x:v>
      </x:c>
      <x:c r="F82" s="74" t="str">
        <x:v>H4</x:v>
      </x:c>
      <x:c r="G82" s="74" t="str">
        <x:v>Engine repair; throttle and float donor</x:v>
      </x:c>
      <x:c r="H82" s="74" t="str">
        <x:v>Proposed</x:v>
      </x:c>
      <x:c r="I82" s="86" t="str">
        <x:v>Needs Director review</x:v>
      </x:c>
      <x:c r="J82" s="83" t="str"/>
    </x:row>
    <x:row r="83" ht="40.5" customHeight="1">
      <x:c r="A83" s="74" t="n">
        <x:v>79</x:v>
      </x:c>
      <x:c r="B83" s="74" t="str">
        <x:v>XP-079</x:v>
      </x:c>
      <x:c r="C83" s="74" t="str">
        <x:v>Connecting rod</x:v>
      </x:c>
      <x:c r="D83" s="74" t="str">
        <x:v>Boat machinery</x:v>
      </x:c>
      <x:c r="E83" s="74" t="str">
        <x:v>Salvage Manifest v0.2</x:v>
      </x:c>
      <x:c r="F83" s="74" t="str">
        <x:v>H4</x:v>
      </x:c>
      <x:c r="G83" s="74" t="str">
        <x:v>Engine repair; crank linkage; press lever</x:v>
      </x:c>
      <x:c r="H83" s="74" t="str">
        <x:v>Proposed</x:v>
      </x:c>
      <x:c r="I83" s="86" t="str">
        <x:v>Needs Director review</x:v>
      </x:c>
      <x:c r="J83" s="83" t="str"/>
    </x:row>
    <x:row r="84" ht="40.5" customHeight="1">
      <x:c r="A84" s="74" t="n">
        <x:v>80</x:v>
      </x:c>
      <x:c r="B84" s="74" t="str">
        <x:v>XP-080</x:v>
      </x:c>
      <x:c r="C84" s="74" t="str">
        <x:v>Crankshaft</x:v>
      </x:c>
      <x:c r="D84" s="74" t="str">
        <x:v>Boat machinery</x:v>
      </x:c>
      <x:c r="E84" s="74" t="str">
        <x:v>Salvage Manifest v0.2</x:v>
      </x:c>
      <x:c r="F84" s="74" t="str">
        <x:v>H5</x:v>
      </x:c>
      <x:c r="G84" s="74" t="str">
        <x:v>Engine core; crank drive; heavy flywheel axle</x:v>
      </x:c>
      <x:c r="H84" s="74" t="str">
        <x:v>Proposed</x:v>
      </x:c>
      <x:c r="I84" s="86" t="str">
        <x:v>Needs Director review</x:v>
      </x:c>
      <x:c r="J84" s="83" t="str"/>
    </x:row>
    <x:row r="85" ht="40.5" customHeight="1">
      <x:c r="A85" s="74" t="n">
        <x:v>81</x:v>
      </x:c>
      <x:c r="B85" s="74" t="str">
        <x:v>XP-081</x:v>
      </x:c>
      <x:c r="C85" s="74" t="str">
        <x:v>Cylinder head</x:v>
      </x:c>
      <x:c r="D85" s="74" t="str">
        <x:v>Boat machinery</x:v>
      </x:c>
      <x:c r="E85" s="74" t="str">
        <x:v>Salvage Manifest v0.2</x:v>
      </x:c>
      <x:c r="F85" s="74" t="str">
        <x:v>H5</x:v>
      </x:c>
      <x:c r="G85" s="74" t="str">
        <x:v>Engine repair; valve and chamber donor</x:v>
      </x:c>
      <x:c r="H85" s="74" t="str">
        <x:v>Proposed</x:v>
      </x:c>
      <x:c r="I85" s="86" t="str">
        <x:v>Needs Director review</x:v>
      </x:c>
      <x:c r="J85" s="83" t="str"/>
    </x:row>
    <x:row r="86" ht="40.5" customHeight="1">
      <x:c r="A86" s="74" t="n">
        <x:v>82</x:v>
      </x:c>
      <x:c r="B86" s="74" t="str">
        <x:v>XP-082</x:v>
      </x:c>
      <x:c r="C86" s="74" t="str">
        <x:v>Electric bilge pump</x:v>
      </x:c>
      <x:c r="D86" s="74" t="str">
        <x:v>Boat machinery</x:v>
      </x:c>
      <x:c r="E86" s="74" t="str">
        <x:v>Salvage Manifest v0.2</x:v>
      </x:c>
      <x:c r="F86" s="74" t="str">
        <x:v>H4</x:v>
      </x:c>
      <x:c r="G86" s="74" t="str">
        <x:v>Low-voltage water pumping if repaired</x:v>
      </x:c>
      <x:c r="H86" s="74" t="str">
        <x:v>Proposed</x:v>
      </x:c>
      <x:c r="I86" s="86" t="str">
        <x:v>Needs Director review</x:v>
      </x:c>
      <x:c r="J86" s="83" t="str"/>
    </x:row>
    <x:row r="87" ht="40.5" customHeight="1">
      <x:c r="A87" s="74" t="n">
        <x:v>83</x:v>
      </x:c>
      <x:c r="B87" s="74" t="str">
        <x:v>XP-083</x:v>
      </x:c>
      <x:c r="C87" s="74" t="str">
        <x:v>Engine block</x:v>
      </x:c>
      <x:c r="D87" s="74" t="str">
        <x:v>Boat machinery</x:v>
      </x:c>
      <x:c r="E87" s="74" t="str">
        <x:v>Salvage Manifest v0.2</x:v>
      </x:c>
      <x:c r="F87" s="74" t="str">
        <x:v>H5</x:v>
      </x:c>
      <x:c r="G87" s="74" t="str">
        <x:v>Machine base; repairable engine core if intact</x:v>
      </x:c>
      <x:c r="H87" s="74" t="str">
        <x:v>Proposed</x:v>
      </x:c>
      <x:c r="I87" s="86" t="str">
        <x:v>Needs Director review</x:v>
      </x:c>
      <x:c r="J87" s="83" t="str"/>
    </x:row>
    <x:row r="88" ht="40.5" customHeight="1">
      <x:c r="A88" s="74" t="n">
        <x:v>84</x:v>
      </x:c>
      <x:c r="B88" s="74" t="str">
        <x:v>XP-084</x:v>
      </x:c>
      <x:c r="C88" s="74" t="str">
        <x:v>Filter housing</x:v>
      </x:c>
      <x:c r="D88" s="74" t="str">
        <x:v>Boat machinery</x:v>
      </x:c>
      <x:c r="E88" s="74" t="str">
        <x:v>Salvage Manifest v0.2</x:v>
      </x:c>
      <x:c r="F88" s="74" t="str">
        <x:v>H3</x:v>
      </x:c>
      <x:c r="G88" s="74" t="str">
        <x:v>Water; oil; or fuel filter system if identified</x:v>
      </x:c>
      <x:c r="H88" s="74" t="str">
        <x:v>Proposed</x:v>
      </x:c>
      <x:c r="I88" s="86" t="str">
        <x:v>Needs Director review</x:v>
      </x:c>
      <x:c r="J88" s="83" t="str"/>
    </x:row>
    <x:row r="89" ht="40.5" customHeight="1">
      <x:c r="A89" s="74" t="n">
        <x:v>85</x:v>
      </x:c>
      <x:c r="B89" s="74" t="str">
        <x:v>XP-085</x:v>
      </x:c>
      <x:c r="C89" s="74" t="str">
        <x:v>Flexible coupling</x:v>
      </x:c>
      <x:c r="D89" s="74" t="str">
        <x:v>Boat machinery</x:v>
      </x:c>
      <x:c r="E89" s="74" t="str">
        <x:v>Salvage Manifest v0.2</x:v>
      </x:c>
      <x:c r="F89" s="74" t="str">
        <x:v>H4</x:v>
      </x:c>
      <x:c r="G89" s="74" t="str">
        <x:v>Join misaligned shafts; engine-generator connection</x:v>
      </x:c>
      <x:c r="H89" s="74" t="str">
        <x:v>Proposed</x:v>
      </x:c>
      <x:c r="I89" s="86" t="str">
        <x:v>Needs Director review</x:v>
      </x:c>
      <x:c r="J89" s="83" t="str"/>
    </x:row>
    <x:row r="90" ht="40.5" customHeight="1">
      <x:c r="A90" s="74" t="n">
        <x:v>86</x:v>
      </x:c>
      <x:c r="B90" s="74" t="str">
        <x:v>XP-086</x:v>
      </x:c>
      <x:c r="C90" s="74" t="str">
        <x:v>Flywheel</x:v>
      </x:c>
      <x:c r="D90" s="74" t="str">
        <x:v>Boat machinery</x:v>
      </x:c>
      <x:c r="E90" s="74" t="str">
        <x:v>Salvage Manifest v0.2</x:v>
      </x:c>
      <x:c r="F90" s="74" t="str">
        <x:v>H5</x:v>
      </x:c>
      <x:c r="G90" s="74" t="str">
        <x:v>Smooth engine; treadle; generator drive</x:v>
      </x:c>
      <x:c r="H90" s="74" t="str">
        <x:v>Proposed</x:v>
      </x:c>
      <x:c r="I90" s="86" t="str">
        <x:v>Needs Director review</x:v>
      </x:c>
      <x:c r="J90" s="83" t="str"/>
    </x:row>
    <x:row r="91" ht="40.5" customHeight="1">
      <x:c r="A91" s="74" t="n">
        <x:v>87</x:v>
      </x:c>
      <x:c r="B91" s="74" t="str">
        <x:v>XP-087</x:v>
      </x:c>
      <x:c r="C91" s="74" t="str">
        <x:v>Fuel injector</x:v>
      </x:c>
      <x:c r="D91" s="74" t="str">
        <x:v>Boat machinery</x:v>
      </x:c>
      <x:c r="E91" s="74" t="str">
        <x:v>Salvage Manifest v0.2</x:v>
      </x:c>
      <x:c r="F91" s="74" t="str">
        <x:v>H5</x:v>
      </x:c>
      <x:c r="G91" s="74" t="str">
        <x:v>Matched engine repair only</x:v>
      </x:c>
      <x:c r="H91" s="74" t="str">
        <x:v>Proposed</x:v>
      </x:c>
      <x:c r="I91" s="86" t="str">
        <x:v>Needs Director review</x:v>
      </x:c>
      <x:c r="J91" s="83" t="str"/>
    </x:row>
    <x:row r="92" ht="40.5" customHeight="1">
      <x:c r="A92" s="74" t="n">
        <x:v>88</x:v>
      </x:c>
      <x:c r="B92" s="74" t="str">
        <x:v>XP-088</x:v>
      </x:c>
      <x:c r="C92" s="74" t="str">
        <x:v>Gear</x:v>
      </x:c>
      <x:c r="D92" s="74" t="str">
        <x:v>Boat machinery</x:v>
      </x:c>
      <x:c r="E92" s="74" t="str">
        <x:v>Salvage Manifest v0.2</x:v>
      </x:c>
      <x:c r="F92" s="74" t="str">
        <x:v>H4</x:v>
      </x:c>
      <x:c r="G92" s="74" t="str">
        <x:v>Transmission; hand winch; timer; pump</x:v>
      </x:c>
      <x:c r="H92" s="74" t="str">
        <x:v>Proposed</x:v>
      </x:c>
      <x:c r="I92" s="86" t="str">
        <x:v>Needs Director review</x:v>
      </x:c>
      <x:c r="J92" s="83" t="str"/>
    </x:row>
    <x:row r="93" ht="40.5" customHeight="1">
      <x:c r="A93" s="74" t="n">
        <x:v>89</x:v>
      </x:c>
      <x:c r="B93" s="74" t="str">
        <x:v>XP-089</x:v>
      </x:c>
      <x:c r="C93" s="74" t="str">
        <x:v>Hand bilge pump</x:v>
      </x:c>
      <x:c r="D93" s="74" t="str">
        <x:v>Boat machinery</x:v>
      </x:c>
      <x:c r="E93" s="74" t="str">
        <x:v>Salvage Manifest v0.2</x:v>
      </x:c>
      <x:c r="F93" s="74" t="str">
        <x:v>H2</x:v>
      </x:c>
      <x:c r="G93" s="74" t="str">
        <x:v>Move water; drain pit; firefighting reserve</x:v>
      </x:c>
      <x:c r="H93" s="74" t="str">
        <x:v>Proposed</x:v>
      </x:c>
      <x:c r="I93" s="86" t="str">
        <x:v>Needs Director review</x:v>
      </x:c>
      <x:c r="J93" s="83" t="str"/>
    </x:row>
    <x:row r="94" ht="40.5" customHeight="1">
      <x:c r="A94" s="74" t="n">
        <x:v>90</x:v>
      </x:c>
      <x:c r="B94" s="74" t="str">
        <x:v>XP-090</x:v>
      </x:c>
      <x:c r="C94" s="74" t="str">
        <x:v>Piston</x:v>
      </x:c>
      <x:c r="D94" s="74" t="str">
        <x:v>Boat machinery</x:v>
      </x:c>
      <x:c r="E94" s="74" t="str">
        <x:v>Salvage Manifest v0.2</x:v>
      </x:c>
      <x:c r="F94" s="74" t="str">
        <x:v>H4</x:v>
      </x:c>
      <x:c r="G94" s="74" t="str">
        <x:v>Engine repair; pump piston prototype</x:v>
      </x:c>
      <x:c r="H94" s="74" t="str">
        <x:v>Proposed</x:v>
      </x:c>
      <x:c r="I94" s="86" t="str">
        <x:v>Needs Director review</x:v>
      </x:c>
      <x:c r="J94" s="83" t="str"/>
    </x:row>
    <x:row r="95" ht="40.5" customHeight="1">
      <x:c r="A95" s="74" t="n">
        <x:v>91</x:v>
      </x:c>
      <x:c r="B95" s="74" t="str">
        <x:v>XP-091</x:v>
      </x:c>
      <x:c r="C95" s="74" t="str">
        <x:v>Piston ring set</x:v>
      </x:c>
      <x:c r="D95" s="74" t="str">
        <x:v>Boat machinery</x:v>
      </x:c>
      <x:c r="E95" s="74" t="str">
        <x:v>Salvage Manifest v0.2</x:v>
      </x:c>
      <x:c r="F95" s="74" t="str">
        <x:v>H4</x:v>
      </x:c>
      <x:c r="G95" s="74" t="str">
        <x:v>Matched engine repair; sealing experiments</x:v>
      </x:c>
      <x:c r="H95" s="74" t="str">
        <x:v>Proposed</x:v>
      </x:c>
      <x:c r="I95" s="86" t="str">
        <x:v>Needs Director review</x:v>
      </x:c>
      <x:c r="J95" s="83" t="str"/>
    </x:row>
    <x:row r="96" ht="40.5" customHeight="1">
      <x:c r="A96" s="74" t="n">
        <x:v>92</x:v>
      </x:c>
      <x:c r="B96" s="74" t="str">
        <x:v>XP-092</x:v>
      </x:c>
      <x:c r="C96" s="74" t="str">
        <x:v>Plain bushing</x:v>
      </x:c>
      <x:c r="D96" s="74" t="str">
        <x:v>Boat machinery</x:v>
      </x:c>
      <x:c r="E96" s="74" t="str">
        <x:v>Salvage Manifest v0.2</x:v>
      </x:c>
      <x:c r="F96" s="74" t="str">
        <x:v>H3</x:v>
      </x:c>
      <x:c r="G96" s="74" t="str">
        <x:v>Shaft bearing; hinge; spacer</x:v>
      </x:c>
      <x:c r="H96" s="74" t="str">
        <x:v>Proposed</x:v>
      </x:c>
      <x:c r="I96" s="86" t="str">
        <x:v>Needs Director review</x:v>
      </x:c>
      <x:c r="J96" s="83" t="str"/>
    </x:row>
    <x:row r="97" ht="40.5" customHeight="1">
      <x:c r="A97" s="74" t="n">
        <x:v>93</x:v>
      </x:c>
      <x:c r="B97" s="74" t="str">
        <x:v>XP-093</x:v>
      </x:c>
      <x:c r="C97" s="74" t="str">
        <x:v>Propeller</x:v>
      </x:c>
      <x:c r="D97" s="74" t="str">
        <x:v>Boat machinery</x:v>
      </x:c>
      <x:c r="E97" s="74" t="str">
        <x:v>Salvage Manifest v0.2</x:v>
      </x:c>
      <x:c r="F97" s="74" t="str">
        <x:v>H4</x:v>
      </x:c>
      <x:c r="G97" s="74" t="str">
        <x:v>Boat propulsion if matched; fan or turbine experiment after balancing</x:v>
      </x:c>
      <x:c r="H97" s="74" t="str">
        <x:v>Proposed</x:v>
      </x:c>
      <x:c r="I97" s="86" t="str">
        <x:v>Needs Director review</x:v>
      </x:c>
      <x:c r="J97" s="83" t="str"/>
    </x:row>
    <x:row r="98" ht="40.5" customHeight="1">
      <x:c r="A98" s="74" t="n">
        <x:v>94</x:v>
      </x:c>
      <x:c r="B98" s="74" t="str">
        <x:v>XP-094</x:v>
      </x:c>
      <x:c r="C98" s="74" t="str">
        <x:v>Pump impeller</x:v>
      </x:c>
      <x:c r="D98" s="74" t="str">
        <x:v>Boat machinery</x:v>
      </x:c>
      <x:c r="E98" s="74" t="str">
        <x:v>Salvage Manifest v0.2</x:v>
      </x:c>
      <x:c r="F98" s="74" t="str">
        <x:v>H3</x:v>
      </x:c>
      <x:c r="G98" s="74" t="str">
        <x:v>Repair pump; small turbine experiment</x:v>
      </x:c>
      <x:c r="H98" s="74" t="str">
        <x:v>Proposed</x:v>
      </x:c>
      <x:c r="I98" s="86" t="str">
        <x:v>Needs Director review</x:v>
      </x:c>
      <x:c r="J98" s="83" t="str"/>
    </x:row>
    <x:row r="99" ht="40.5" customHeight="1">
      <x:c r="A99" s="74" t="n">
        <x:v>95</x:v>
      </x:c>
      <x:c r="B99" s="74" t="str">
        <x:v>XP-095</x:v>
      </x:c>
      <x:c r="C99" s="74" t="str">
        <x:v>Roller chain</x:v>
      </x:c>
      <x:c r="D99" s="74" t="str">
        <x:v>Boat machinery</x:v>
      </x:c>
      <x:c r="E99" s="74" t="str">
        <x:v>Salvage Manifest v0.2</x:v>
      </x:c>
      <x:c r="F99" s="74" t="str">
        <x:v>H3</x:v>
      </x:c>
      <x:c r="G99" s="74" t="str">
        <x:v>Drive machinery; hoist only if rated and inspected</x:v>
      </x:c>
      <x:c r="H99" s="74" t="str">
        <x:v>Proposed</x:v>
      </x:c>
      <x:c r="I99" s="86" t="str">
        <x:v>Needs Director review</x:v>
      </x:c>
      <x:c r="J99" s="83" t="str"/>
    </x:row>
    <x:row r="100" ht="40.5" customHeight="1">
      <x:c r="A100" s="74" t="n">
        <x:v>96</x:v>
      </x:c>
      <x:c r="B100" s="74" t="str">
        <x:v>XP-096</x:v>
      </x:c>
      <x:c r="C100" s="74" t="str">
        <x:v>Shaft section</x:v>
      </x:c>
      <x:c r="D100" s="74" t="str">
        <x:v>Boat machinery</x:v>
      </x:c>
      <x:c r="E100" s="74" t="str">
        <x:v>Salvage Manifest v0.2</x:v>
      </x:c>
      <x:c r="F100" s="74" t="str">
        <x:v>H3</x:v>
      </x:c>
      <x:c r="G100" s="74" t="str">
        <x:v>Axle; lathe spindle; pump shaft; generator mount</x:v>
      </x:c>
      <x:c r="H100" s="74" t="str">
        <x:v>Proposed</x:v>
      </x:c>
      <x:c r="I100" s="86" t="str">
        <x:v>Needs Director review</x:v>
      </x:c>
      <x:c r="J100" s="83" t="str"/>
    </x:row>
    <x:row r="101" ht="40.5" customHeight="1">
      <x:c r="A101" s="74" t="n">
        <x:v>97</x:v>
      </x:c>
      <x:c r="B101" s="74" t="str">
        <x:v>XP-097</x:v>
      </x:c>
      <x:c r="C101" s="74" t="str">
        <x:v>Spark plug</x:v>
      </x:c>
      <x:c r="D101" s="74" t="str">
        <x:v>Boat machinery</x:v>
      </x:c>
      <x:c r="E101" s="74" t="str">
        <x:v>Salvage Manifest v0.2</x:v>
      </x:c>
      <x:c r="F101" s="74" t="str">
        <x:v>H3</x:v>
      </x:c>
      <x:c r="G101" s="74" t="str">
        <x:v>Ignition repair; insulated feedthrough experiment</x:v>
      </x:c>
      <x:c r="H101" s="74" t="str">
        <x:v>Proposed</x:v>
      </x:c>
      <x:c r="I101" s="86" t="str">
        <x:v>Needs Director review</x:v>
      </x:c>
      <x:c r="J101" s="83" t="str"/>
    </x:row>
    <x:row r="102" ht="40.5" customHeight="1">
      <x:c r="A102" s="74" t="n">
        <x:v>98</x:v>
      </x:c>
      <x:c r="B102" s="74" t="str">
        <x:v>XP-098</x:v>
      </x:c>
      <x:c r="C102" s="74" t="str">
        <x:v>Sprocket</x:v>
      </x:c>
      <x:c r="D102" s="74" t="str">
        <x:v>Boat machinery</x:v>
      </x:c>
      <x:c r="E102" s="74" t="str">
        <x:v>Salvage Manifest v0.2</x:v>
      </x:c>
      <x:c r="F102" s="74" t="str">
        <x:v>H3</x:v>
      </x:c>
      <x:c r="G102" s="74" t="str">
        <x:v>Chain drive; winch; conveyor; generator transmission</x:v>
      </x:c>
      <x:c r="H102" s="74" t="str">
        <x:v>Proposed</x:v>
      </x:c>
      <x:c r="I102" s="86" t="str">
        <x:v>Needs Director review</x:v>
      </x:c>
      <x:c r="J102" s="83" t="str"/>
    </x:row>
    <x:row r="103" ht="40.5" customHeight="1">
      <x:c r="A103" s="74" t="n">
        <x:v>99</x:v>
      </x:c>
      <x:c r="B103" s="74" t="str">
        <x:v>XP-099</x:v>
      </x:c>
      <x:c r="C103" s="74" t="str">
        <x:v>V-belt</x:v>
      </x:c>
      <x:c r="D103" s="74" t="str">
        <x:v>Boat machinery</x:v>
      </x:c>
      <x:c r="E103" s="74" t="str">
        <x:v>Salvage Manifest v0.2</x:v>
      </x:c>
      <x:c r="F103" s="74" t="str">
        <x:v>H3</x:v>
      </x:c>
      <x:c r="G103" s="74" t="str">
        <x:v>Drive alternator; pump; lathe; fan</x:v>
      </x:c>
      <x:c r="H103" s="74" t="str">
        <x:v>Proposed</x:v>
      </x:c>
      <x:c r="I103" s="86" t="str">
        <x:v>Needs Director review</x:v>
      </x:c>
      <x:c r="J103" s="83" t="str"/>
    </x:row>
    <x:row r="104" ht="40.5" customHeight="1">
      <x:c r="A104" s="74" t="n">
        <x:v>100</x:v>
      </x:c>
      <x:c r="B104" s="74" t="str">
        <x:v>XP-100</x:v>
      </x:c>
      <x:c r="C104" s="74" t="str">
        <x:v>Ball valve</x:v>
      </x:c>
      <x:c r="D104" s="74" t="str">
        <x:v>Boat plumbing</x:v>
      </x:c>
      <x:c r="E104" s="74" t="str">
        <x:v>Salvage Manifest v0.2</x:v>
      </x:c>
      <x:c r="F104" s="74" t="str">
        <x:v>H3</x:v>
      </x:c>
      <x:c r="G104" s="74" t="str">
        <x:v>Quick water isolation; fuel only if identified</x:v>
      </x:c>
      <x:c r="H104" s="74" t="str">
        <x:v>Proposed</x:v>
      </x:c>
      <x:c r="I104" s="86" t="str">
        <x:v>Needs Director review</x:v>
      </x:c>
      <x:c r="J104" s="83" t="str"/>
    </x:row>
    <x:row r="105" ht="40.5" customHeight="1">
      <x:c r="A105" s="74" t="n">
        <x:v>101</x:v>
      </x:c>
      <x:c r="B105" s="74" t="str">
        <x:v>XP-101</x:v>
      </x:c>
      <x:c r="C105" s="74" t="str">
        <x:v>Braided hydraulic hose</x:v>
      </x:c>
      <x:c r="D105" s="74" t="str">
        <x:v>Boat plumbing</x:v>
      </x:c>
      <x:c r="E105" s="74" t="str">
        <x:v>Salvage Manifest v0.2</x:v>
      </x:c>
      <x:c r="F105" s="74" t="str">
        <x:v>H5</x:v>
      </x:c>
      <x:c r="G105" s="74" t="str">
        <x:v>Matched hydraulic repair only; protective sleeve</x:v>
      </x:c>
      <x:c r="H105" s="74" t="str">
        <x:v>Proposed</x:v>
      </x:c>
      <x:c r="I105" s="86" t="str">
        <x:v>Needs Director review</x:v>
      </x:c>
      <x:c r="J105" s="83" t="str"/>
    </x:row>
    <x:row r="106" ht="40.5" customHeight="1">
      <x:c r="A106" s="74" t="n">
        <x:v>102</x:v>
      </x:c>
      <x:c r="B106" s="74" t="str">
        <x:v>XP-102</x:v>
      </x:c>
      <x:c r="C106" s="74" t="str">
        <x:v>Check valve</x:v>
      </x:c>
      <x:c r="D106" s="74" t="str">
        <x:v>Boat plumbing</x:v>
      </x:c>
      <x:c r="E106" s="74" t="str">
        <x:v>Salvage Manifest v0.2</x:v>
      </x:c>
      <x:c r="F106" s="74" t="str">
        <x:v>H4</x:v>
      </x:c>
      <x:c r="G106" s="74" t="str">
        <x:v>Prevent backflow in pump and boiler feed route</x:v>
      </x:c>
      <x:c r="H106" s="74" t="str">
        <x:v>Proposed</x:v>
      </x:c>
      <x:c r="I106" s="86" t="str">
        <x:v>Needs Director review</x:v>
      </x:c>
      <x:c r="J106" s="83" t="str"/>
    </x:row>
    <x:row r="107" ht="40.5" customHeight="1">
      <x:c r="A107" s="74" t="n">
        <x:v>103</x:v>
      </x:c>
      <x:c r="B107" s="74" t="str">
        <x:v>XP-103</x:v>
      </x:c>
      <x:c r="C107" s="74" t="str">
        <x:v>Copper tube</x:v>
      </x:c>
      <x:c r="D107" s="74" t="str">
        <x:v>Boat plumbing</x:v>
      </x:c>
      <x:c r="E107" s="74" t="str">
        <x:v>Salvage Manifest v0.2</x:v>
      </x:c>
      <x:c r="F107" s="74" t="str">
        <x:v>H3</x:v>
      </x:c>
      <x:c r="G107" s="74" t="str">
        <x:v>Condenser coil; heat exchanger; potable line after proof; conductor</x:v>
      </x:c>
      <x:c r="H107" s="74" t="str">
        <x:v>Proposed</x:v>
      </x:c>
      <x:c r="I107" s="86" t="str">
        <x:v>Needs Director review</x:v>
      </x:c>
      <x:c r="J107" s="83" t="str"/>
    </x:row>
    <x:row r="108" ht="40.5" customHeight="1">
      <x:c r="A108" s="74" t="n">
        <x:v>104</x:v>
      </x:c>
      <x:c r="B108" s="74" t="str">
        <x:v>XP-104</x:v>
      </x:c>
      <x:c r="C108" s="74" t="str">
        <x:v>Fuel tank</x:v>
      </x:c>
      <x:c r="D108" s="74" t="str">
        <x:v>Boat plumbing</x:v>
      </x:c>
      <x:c r="E108" s="74" t="str">
        <x:v>Salvage Manifest v0.2</x:v>
      </x:c>
      <x:c r="F108" s="74" t="str">
        <x:v>H6</x:v>
      </x:c>
      <x:c r="G108" s="74" t="str">
        <x:v>Fuel storage only after safe recovery; never immediate cookware or boiler</x:v>
      </x:c>
      <x:c r="H108" s="74" t="str">
        <x:v>Proposed</x:v>
      </x:c>
      <x:c r="I108" s="86" t="str">
        <x:v>Needs Director review</x:v>
      </x:c>
      <x:c r="J108" s="83" t="str"/>
    </x:row>
    <x:row r="109" ht="40.5" customHeight="1">
      <x:c r="A109" s="74" t="n">
        <x:v>105</x:v>
      </x:c>
      <x:c r="B109" s="74" t="str">
        <x:v>XP-105</x:v>
      </x:c>
      <x:c r="C109" s="74" t="str">
        <x:v>Gate valve</x:v>
      </x:c>
      <x:c r="D109" s="74" t="str">
        <x:v>Boat plumbing</x:v>
      </x:c>
      <x:c r="E109" s="74" t="str">
        <x:v>Salvage Manifest v0.2</x:v>
      </x:c>
      <x:c r="F109" s="74" t="str">
        <x:v>H4</x:v>
      </x:c>
      <x:c r="G109" s="74" t="str">
        <x:v>Isolate water or steam only after rating proof</x:v>
      </x:c>
      <x:c r="H109" s="74" t="str">
        <x:v>Proposed</x:v>
      </x:c>
      <x:c r="I109" s="86" t="str">
        <x:v>Needs Director review</x:v>
      </x:c>
      <x:c r="J109" s="83" t="str"/>
    </x:row>
    <x:row r="110" ht="40.5" customHeight="1">
      <x:c r="A110" s="74" t="n">
        <x:v>106</x:v>
      </x:c>
      <x:c r="B110" s="74" t="str">
        <x:v>XP-106</x:v>
      </x:c>
      <x:c r="C110" s="74" t="str">
        <x:v>Pressure gauge</x:v>
      </x:c>
      <x:c r="D110" s="74" t="str">
        <x:v>Boat plumbing</x:v>
      </x:c>
      <x:c r="E110" s="74" t="str">
        <x:v>Salvage Manifest v0.2</x:v>
      </x:c>
      <x:c r="F110" s="74" t="str">
        <x:v>H5</x:v>
      </x:c>
      <x:c r="G110" s="74" t="str">
        <x:v>Measure tank; pump; or boiler pressure after calibration</x:v>
      </x:c>
      <x:c r="H110" s="74" t="str">
        <x:v>Proposed</x:v>
      </x:c>
      <x:c r="I110" s="86" t="str">
        <x:v>Needs Director review</x:v>
      </x:c>
      <x:c r="J110" s="83" t="str"/>
    </x:row>
    <x:row r="111" ht="40.5" customHeight="1">
      <x:c r="A111" s="74" t="n">
        <x:v>107</x:v>
      </x:c>
      <x:c r="B111" s="74" t="str">
        <x:v>XP-107</x:v>
      </x:c>
      <x:c r="C111" s="74" t="str">
        <x:v>Pressure-relief valve</x:v>
      </x:c>
      <x:c r="D111" s="74" t="str">
        <x:v>Boat plumbing</x:v>
      </x:c>
      <x:c r="E111" s="74" t="str">
        <x:v>Salvage Manifest v0.2</x:v>
      </x:c>
      <x:c r="F111" s="74" t="str">
        <x:v>H6</x:v>
      </x:c>
      <x:c r="G111" s="74" t="str">
        <x:v>Safety component only after inspection and calibrated test</x:v>
      </x:c>
      <x:c r="H111" s="74" t="str">
        <x:v>Proposed</x:v>
      </x:c>
      <x:c r="I111" s="86" t="str">
        <x:v>Needs Director review</x:v>
      </x:c>
      <x:c r="J111" s="83" t="str"/>
    </x:row>
    <x:row r="112" ht="40.5" customHeight="1">
      <x:c r="A112" s="74" t="n">
        <x:v>108</x:v>
      </x:c>
      <x:c r="B112" s="74" t="str">
        <x:v>XP-108</x:v>
      </x:c>
      <x:c r="C112" s="74" t="str">
        <x:v>Rubber hose</x:v>
      </x:c>
      <x:c r="D112" s="74" t="str">
        <x:v>Boat plumbing</x:v>
      </x:c>
      <x:c r="E112" s="74" t="str">
        <x:v>Salvage Manifest v0.2</x:v>
      </x:c>
      <x:c r="F112" s="74" t="str">
        <x:v>H2</x:v>
      </x:c>
      <x:c r="G112" s="74" t="str">
        <x:v>Water transfer or pump suction after service identification</x:v>
      </x:c>
      <x:c r="H112" s="74" t="str">
        <x:v>Proposed</x:v>
      </x:c>
      <x:c r="I112" s="86" t="str">
        <x:v>Needs Director review</x:v>
      </x:c>
      <x:c r="J112" s="83" t="str"/>
    </x:row>
    <x:row r="113" ht="40.5" customHeight="1">
      <x:c r="A113" s="74" t="n">
        <x:v>109</x:v>
      </x:c>
      <x:c r="B113" s="74" t="str">
        <x:v>XP-109</x:v>
      </x:c>
      <x:c r="C113" s="74" t="str">
        <x:v>Sight glass assembly</x:v>
      </x:c>
      <x:c r="D113" s="74" t="str">
        <x:v>Boat plumbing</x:v>
      </x:c>
      <x:c r="E113" s="74" t="str">
        <x:v>Salvage Manifest v0.2</x:v>
      </x:c>
      <x:c r="F113" s="74" t="str">
        <x:v>H5</x:v>
      </x:c>
      <x:c r="G113" s="74" t="str">
        <x:v>Show liquid level in tank or boiler</x:v>
      </x:c>
      <x:c r="H113" s="74" t="str">
        <x:v>Proposed</x:v>
      </x:c>
      <x:c r="I113" s="86" t="str">
        <x:v>Needs Director review</x:v>
      </x:c>
      <x:c r="J113" s="83" t="str"/>
    </x:row>
    <x:row r="114" ht="40.5" customHeight="1">
      <x:c r="A114" s="74" t="n">
        <x:v>110</x:v>
      </x:c>
      <x:c r="B114" s="74" t="str">
        <x:v>XP-110</x:v>
      </x:c>
      <x:c r="C114" s="74" t="str">
        <x:v>Steel pipe section</x:v>
      </x:c>
      <x:c r="D114" s="74" t="str">
        <x:v>Boat plumbing</x:v>
      </x:c>
      <x:c r="E114" s="74" t="str">
        <x:v>Salvage Manifest v0.2</x:v>
      </x:c>
      <x:c r="F114" s="74" t="str">
        <x:v>H3</x:v>
      </x:c>
      <x:c r="G114" s="74" t="str">
        <x:v>Frame; conduit; water or steam only if rated and clean</x:v>
      </x:c>
      <x:c r="H114" s="74" t="str">
        <x:v>Proposed</x:v>
      </x:c>
      <x:c r="I114" s="86" t="str">
        <x:v>Needs Director review</x:v>
      </x:c>
      <x:c r="J114" s="83" t="str"/>
    </x:row>
    <x:row r="115" ht="40.5" customHeight="1">
      <x:c r="A115" s="74" t="n">
        <x:v>111</x:v>
      </x:c>
      <x:c r="B115" s="74" t="str">
        <x:v>XP-111</x:v>
      </x:c>
      <x:c r="C115" s="74" t="str">
        <x:v>Water tank</x:v>
      </x:c>
      <x:c r="D115" s="74" t="str">
        <x:v>Boat plumbing</x:v>
      </x:c>
      <x:c r="E115" s="74" t="str">
        <x:v>Salvage Manifest v0.2</x:v>
      </x:c>
      <x:c r="F115" s="74" t="str">
        <x:v>H4</x:v>
      </x:c>
      <x:c r="G115" s="74" t="str">
        <x:v>Potable storage only after history and cleaning proof</x:v>
      </x:c>
      <x:c r="H115" s="74" t="str">
        <x:v>Proposed</x:v>
      </x:c>
      <x:c r="I115" s="86" t="str">
        <x:v>Needs Director review</x:v>
      </x:c>
      <x:c r="J115" s="83" t="str"/>
    </x:row>
    <x:row r="116" ht="40.5" customHeight="1">
      <x:c r="A116" s="74" t="n">
        <x:v>112</x:v>
      </x:c>
      <x:c r="B116" s="74" t="str">
        <x:v>XP-112</x:v>
      </x:c>
      <x:c r="C116" s="74" t="str">
        <x:v>Boom section</x:v>
      </x:c>
      <x:c r="D116" s="74" t="str">
        <x:v>Boat rig</x:v>
      </x:c>
      <x:c r="E116" s="74" t="str">
        <x:v>Salvage Manifest v0.2</x:v>
      </x:c>
      <x:c r="F116" s="74" t="str">
        <x:v>H2</x:v>
      </x:c>
      <x:c r="G116" s="74" t="str">
        <x:v>Crane arm; ridge beam; lever</x:v>
      </x:c>
      <x:c r="H116" s="74" t="str">
        <x:v>Proposed</x:v>
      </x:c>
      <x:c r="I116" s="86" t="str">
        <x:v>Needs Director review</x:v>
      </x:c>
      <x:c r="J116" s="83" t="str"/>
    </x:row>
    <x:row r="117" ht="40.5" customHeight="1">
      <x:c r="A117" s="74" t="n">
        <x:v>113</x:v>
      </x:c>
      <x:c r="B117" s="74" t="str">
        <x:v>XP-113</x:v>
      </x:c>
      <x:c r="C117" s="74" t="str">
        <x:v>Canvas cover</x:v>
      </x:c>
      <x:c r="D117" s="74" t="str">
        <x:v>Boat rig</x:v>
      </x:c>
      <x:c r="E117" s="74" t="str">
        <x:v>Salvage Manifest v0.2</x:v>
      </x:c>
      <x:c r="F117" s="74" t="str">
        <x:v>H1</x:v>
      </x:c>
      <x:c r="G117" s="74" t="str">
        <x:v>Tarp; pack; door; bucket cover</x:v>
      </x:c>
      <x:c r="H117" s="74" t="str">
        <x:v>Proposed</x:v>
      </x:c>
      <x:c r="I117" s="86" t="str">
        <x:v>Needs Director review</x:v>
      </x:c>
      <x:c r="J117" s="83" t="str"/>
    </x:row>
    <x:row r="118" ht="40.5" customHeight="1">
      <x:c r="A118" s="74" t="n">
        <x:v>114</x:v>
      </x:c>
      <x:c r="B118" s="74" t="str">
        <x:v>XP-114</x:v>
      </x:c>
      <x:c r="C118" s="74" t="str">
        <x:v>Deck cleat</x:v>
      </x:c>
      <x:c r="D118" s="74" t="str">
        <x:v>Boat rig</x:v>
      </x:c>
      <x:c r="E118" s="74" t="str">
        <x:v>Salvage Manifest v0.2</x:v>
      </x:c>
      <x:c r="F118" s="74" t="str">
        <x:v>H2</x:v>
      </x:c>
      <x:c r="G118" s="74" t="str">
        <x:v>Mooring point; bench tie point; handle</x:v>
      </x:c>
      <x:c r="H118" s="74" t="str">
        <x:v>Proposed</x:v>
      </x:c>
      <x:c r="I118" s="86" t="str">
        <x:v>Needs Director review</x:v>
      </x:c>
      <x:c r="J118" s="83" t="str"/>
    </x:row>
    <x:row r="119" ht="40.5" customHeight="1">
      <x:c r="A119" s="74" t="n">
        <x:v>115</x:v>
      </x:c>
      <x:c r="B119" s="74" t="str">
        <x:v>XP-115</x:v>
      </x:c>
      <x:c r="C119" s="74" t="str">
        <x:v>Fairlead</x:v>
      </x:c>
      <x:c r="D119" s="74" t="str">
        <x:v>Boat rig</x:v>
      </x:c>
      <x:c r="E119" s="74" t="str">
        <x:v>Salvage Manifest v0.2</x:v>
      </x:c>
      <x:c r="F119" s="74" t="str">
        <x:v>H2</x:v>
      </x:c>
      <x:c r="G119" s="74" t="str">
        <x:v>Guide rope; prevent chafe; cable pass-through</x:v>
      </x:c>
      <x:c r="H119" s="74" t="str">
        <x:v>Proposed</x:v>
      </x:c>
      <x:c r="I119" s="86" t="str">
        <x:v>Needs Director review</x:v>
      </x:c>
      <x:c r="J119" s="83" t="str"/>
    </x:row>
    <x:row r="120" ht="40.5" customHeight="1">
      <x:c r="A120" s="74" t="n">
        <x:v>116</x:v>
      </x:c>
      <x:c r="B120" s="74" t="str">
        <x:v>XP-116</x:v>
      </x:c>
      <x:c r="C120" s="74" t="str">
        <x:v>Mast section</x:v>
      </x:c>
      <x:c r="D120" s="74" t="str">
        <x:v>Boat rig</x:v>
      </x:c>
      <x:c r="E120" s="74" t="str">
        <x:v>Salvage Manifest v0.2</x:v>
      </x:c>
      <x:c r="F120" s="74" t="str">
        <x:v>H3</x:v>
      </x:c>
      <x:c r="G120" s="74" t="str">
        <x:v>Tower; derrick; antenna mast; long beam</x:v>
      </x:c>
      <x:c r="H120" s="74" t="str">
        <x:v>Proposed</x:v>
      </x:c>
      <x:c r="I120" s="86" t="str">
        <x:v>Needs Director review</x:v>
      </x:c>
      <x:c r="J120" s="83" t="str"/>
    </x:row>
    <x:row r="121" ht="40.5" customHeight="1">
      <x:c r="A121" s="74" t="n">
        <x:v>117</x:v>
      </x:c>
      <x:c r="B121" s="74" t="str">
        <x:v>XP-117</x:v>
      </x:c>
      <x:c r="C121" s="74" t="str">
        <x:v>Pulley sheave</x:v>
      </x:c>
      <x:c r="D121" s="74" t="str">
        <x:v>Boat rig</x:v>
      </x:c>
      <x:c r="E121" s="74" t="str">
        <x:v>Salvage Manifest v0.2</x:v>
      </x:c>
      <x:c r="F121" s="74" t="str">
        <x:v>H2</x:v>
      </x:c>
      <x:c r="G121" s="74" t="str">
        <x:v>Build pulley; belt idler; guide line</x:v>
      </x:c>
      <x:c r="H121" s="74" t="str">
        <x:v>Proposed</x:v>
      </x:c>
      <x:c r="I121" s="86" t="str">
        <x:v>Needs Director review</x:v>
      </x:c>
      <x:c r="J121" s="83" t="str"/>
    </x:row>
    <x:row r="122" ht="40.5" customHeight="1">
      <x:c r="A122" s="74" t="n">
        <x:v>118</x:v>
      </x:c>
      <x:c r="B122" s="74" t="str">
        <x:v>XP-118</x:v>
      </x:c>
      <x:c r="C122" s="74" t="str">
        <x:v>Rigging block</x:v>
      </x:c>
      <x:c r="D122" s="74" t="str">
        <x:v>Boat rig</x:v>
      </x:c>
      <x:c r="E122" s="74" t="str">
        <x:v>Salvage Manifest v0.2</x:v>
      </x:c>
      <x:c r="F122" s="74" t="str">
        <x:v>H2</x:v>
      </x:c>
      <x:c r="G122" s="74" t="str">
        <x:v>Pulley for lifting; water draw; workshop power transfer</x:v>
      </x:c>
      <x:c r="H122" s="74" t="str">
        <x:v>Proposed</x:v>
      </x:c>
      <x:c r="I122" s="86" t="str">
        <x:v>Needs Director review</x:v>
      </x:c>
      <x:c r="J122" s="83" t="str"/>
    </x:row>
    <x:row r="123" ht="40.5" customHeight="1">
      <x:c r="A123" s="74" t="n">
        <x:v>119</x:v>
      </x:c>
      <x:c r="B123" s="74" t="str">
        <x:v>XP-119</x:v>
      </x:c>
      <x:c r="C123" s="74" t="str">
        <x:v>Sailcloth panel</x:v>
      </x:c>
      <x:c r="D123" s="74" t="str">
        <x:v>Boat rig</x:v>
      </x:c>
      <x:c r="E123" s="74" t="str">
        <x:v>Salvage Manifest v0.2</x:v>
      </x:c>
      <x:c r="F123" s="74" t="str">
        <x:v>H1</x:v>
      </x:c>
      <x:c r="G123" s="74" t="str">
        <x:v>Sail repair; tarp; rain catch; shade</x:v>
      </x:c>
      <x:c r="H123" s="74" t="str">
        <x:v>Proposed</x:v>
      </x:c>
      <x:c r="I123" s="86" t="str">
        <x:v>Needs Director review</x:v>
      </x:c>
      <x:c r="J123" s="83" t="str"/>
    </x:row>
    <x:row r="124" ht="40.5" customHeight="1">
      <x:c r="A124" s="74" t="n">
        <x:v>120</x:v>
      </x:c>
      <x:c r="B124" s="74" t="str">
        <x:v>XP-120</x:v>
      </x:c>
      <x:c r="C124" s="74" t="str">
        <x:v>Seat-belt buckle</x:v>
      </x:c>
      <x:c r="D124" s="74" t="str">
        <x:v>Boat rig</x:v>
      </x:c>
      <x:c r="E124" s="74" t="str">
        <x:v>Salvage Manifest v0.2</x:v>
      </x:c>
      <x:c r="F124" s="74" t="str">
        <x:v>H2</x:v>
      </x:c>
      <x:c r="G124" s="74" t="str">
        <x:v>Quick-release strap hardware</x:v>
      </x:c>
      <x:c r="H124" s="74" t="str">
        <x:v>Proposed</x:v>
      </x:c>
      <x:c r="I124" s="86" t="str">
        <x:v>Needs Director review</x:v>
      </x:c>
      <x:c r="J124" s="83" t="str"/>
    </x:row>
    <x:row r="125" ht="40.5" customHeight="1">
      <x:c r="A125" s="74" t="n">
        <x:v>121</x:v>
      </x:c>
      <x:c r="B125" s="74" t="str">
        <x:v>XP-121</x:v>
      </x:c>
      <x:c r="C125" s="74" t="str">
        <x:v>Spring hook</x:v>
      </x:c>
      <x:c r="D125" s="74" t="str">
        <x:v>Boat rig</x:v>
      </x:c>
      <x:c r="E125" s="74" t="str">
        <x:v>Salvage Manifest v0.2</x:v>
      </x:c>
      <x:c r="F125" s="74" t="str">
        <x:v>H1</x:v>
      </x:c>
      <x:c r="G125" s="74" t="str">
        <x:v>Quick light attachment; tool tether</x:v>
      </x:c>
      <x:c r="H125" s="74" t="str">
        <x:v>Proposed</x:v>
      </x:c>
      <x:c r="I125" s="86" t="str">
        <x:v>Needs Director review</x:v>
      </x:c>
      <x:c r="J125" s="83" t="str"/>
    </x:row>
    <x:row r="126" ht="40.5" customHeight="1">
      <x:c r="A126" s="74" t="n">
        <x:v>122</x:v>
      </x:c>
      <x:c r="B126" s="74" t="str">
        <x:v>XP-122</x:v>
      </x:c>
      <x:c r="C126" s="74" t="str">
        <x:v>Turnbuckle</x:v>
      </x:c>
      <x:c r="D126" s="74" t="str">
        <x:v>Boat rig</x:v>
      </x:c>
      <x:c r="E126" s="74" t="str">
        <x:v>Salvage Manifest v0.2</x:v>
      </x:c>
      <x:c r="F126" s="74" t="str">
        <x:v>H3</x:v>
      </x:c>
      <x:c r="G126" s="74" t="str">
        <x:v>Tension guy; align frame; tune belt mount</x:v>
      </x:c>
      <x:c r="H126" s="74" t="str">
        <x:v>Proposed</x:v>
      </x:c>
      <x:c r="I126" s="86" t="str">
        <x:v>Needs Director review</x:v>
      </x:c>
      <x:c r="J126" s="83" t="str"/>
    </x:row>
    <x:row r="127" ht="40.5" customHeight="1">
      <x:c r="A127" s="74" t="n">
        <x:v>123</x:v>
      </x:c>
      <x:c r="B127" s="74" t="str">
        <x:v>XP-123</x:v>
      </x:c>
      <x:c r="C127" s="74" t="str">
        <x:v>Webbing strap</x:v>
      </x:c>
      <x:c r="D127" s="74" t="str">
        <x:v>Boat rig</x:v>
      </x:c>
      <x:c r="E127" s="74" t="str">
        <x:v>Salvage Manifest v0.2</x:v>
      </x:c>
      <x:c r="F127" s="74" t="str">
        <x:v>H1</x:v>
      </x:c>
      <x:c r="G127" s="74" t="str">
        <x:v>Tie-down; pack strap; belt; hinge</x:v>
      </x:c>
      <x:c r="H127" s="74" t="str">
        <x:v>Proposed</x:v>
      </x:c>
      <x:c r="I127" s="86" t="str">
        <x:v>Needs Director review</x:v>
      </x:c>
      <x:c r="J127" s="83" t="str"/>
    </x:row>
    <x:row r="128" ht="40.5" customHeight="1">
      <x:c r="A128" s="74" t="n">
        <x:v>124</x:v>
      </x:c>
      <x:c r="B128" s="74" t="str">
        <x:v>XP-124</x:v>
      </x:c>
      <x:c r="C128" s="74" t="str">
        <x:v>Wire rope</x:v>
      </x:c>
      <x:c r="D128" s="74" t="str">
        <x:v>Boat rig</x:v>
      </x:c>
      <x:c r="E128" s="74" t="str">
        <x:v>Salvage Manifest v0.2</x:v>
      </x:c>
      <x:c r="F128" s="74" t="str">
        <x:v>H3</x:v>
      </x:c>
      <x:c r="G128" s="74" t="str">
        <x:v>Guy line; winch cable only after inspection</x:v>
      </x:c>
      <x:c r="H128" s="74" t="str">
        <x:v>Proposed</x:v>
      </x:c>
      <x:c r="I128" s="86" t="str">
        <x:v>Needs Director review</x:v>
      </x:c>
      <x:c r="J128" s="83" t="str"/>
    </x:row>
    <x:row r="129" ht="40.5" customHeight="1">
      <x:c r="A129" s="74" t="n">
        <x:v>125</x:v>
      </x:c>
      <x:c r="B129" s="74" t="str">
        <x:v>XP-125</x:v>
      </x:c>
      <x:c r="C129" s="74" t="str">
        <x:v>Acrylic window</x:v>
      </x:c>
      <x:c r="D129" s="74" t="str">
        <x:v>Boat structure</x:v>
      </x:c>
      <x:c r="E129" s="74" t="str">
        <x:v>Salvage Manifest v0.2</x:v>
      </x:c>
      <x:c r="F129" s="74" t="str">
        <x:v>H2</x:v>
      </x:c>
      <x:c r="G129" s="74" t="str">
        <x:v>Glazing; light pipe; template; splash shield</x:v>
      </x:c>
      <x:c r="H129" s="74" t="str">
        <x:v>Proposed</x:v>
      </x:c>
      <x:c r="I129" s="86" t="str">
        <x:v>Needs Director review</x:v>
      </x:c>
      <x:c r="J129" s="83" t="str"/>
    </x:row>
    <x:row r="130" ht="40.5" customHeight="1">
      <x:c r="A130" s="74" t="n">
        <x:v>126</x:v>
      </x:c>
      <x:c r="B130" s="74" t="str">
        <x:v>XP-126</x:v>
      </x:c>
      <x:c r="C130" s="74" t="str">
        <x:v>Aluminum hull plate</x:v>
      </x:c>
      <x:c r="D130" s="74" t="str">
        <x:v>Boat structure</x:v>
      </x:c>
      <x:c r="E130" s="74" t="str">
        <x:v>Salvage Manifest v0.2</x:v>
      </x:c>
      <x:c r="F130" s="74" t="str">
        <x:v>H2</x:v>
      </x:c>
      <x:c r="G130" s="74" t="str">
        <x:v>Roofing; flashing; gutter; brackets; reflector</x:v>
      </x:c>
      <x:c r="H130" s="74" t="str">
        <x:v>Proposed</x:v>
      </x:c>
      <x:c r="I130" s="86" t="str">
        <x:v>Needs Director review</x:v>
      </x:c>
      <x:c r="J130" s="83" t="str"/>
    </x:row>
    <x:row r="131" ht="40.5" customHeight="1">
      <x:c r="A131" s="74" t="n">
        <x:v>127</x:v>
      </x:c>
      <x:c r="B131" s="74" t="str">
        <x:v>XP-127</x:v>
      </x:c>
      <x:c r="C131" s="74" t="str">
        <x:v>Bulkhead panel</x:v>
      </x:c>
      <x:c r="D131" s="74" t="str">
        <x:v>Boat structure</x:v>
      </x:c>
      <x:c r="E131" s="74" t="str">
        <x:v>Salvage Manifest v0.2</x:v>
      </x:c>
      <x:c r="F131" s="74" t="str">
        <x:v>H3</x:v>
      </x:c>
      <x:c r="G131" s="74" t="str">
        <x:v>Wall; door; bench top; windbreak</x:v>
      </x:c>
      <x:c r="H131" s="74" t="str">
        <x:v>Proposed</x:v>
      </x:c>
      <x:c r="I131" s="86" t="str">
        <x:v>Needs Director review</x:v>
      </x:c>
      <x:c r="J131" s="83" t="str"/>
    </x:row>
    <x:row r="132" ht="40.5" customHeight="1">
      <x:c r="A132" s="74" t="n">
        <x:v>128</x:v>
      </x:c>
      <x:c r="B132" s="74" t="str">
        <x:v>XP-128</x:v>
      </x:c>
      <x:c r="C132" s="74" t="str">
        <x:v>Cabin door</x:v>
      </x:c>
      <x:c r="D132" s="74" t="str">
        <x:v>Boat structure</x:v>
      </x:c>
      <x:c r="E132" s="74" t="str">
        <x:v>Salvage Manifest v0.2</x:v>
      </x:c>
      <x:c r="F132" s="74" t="str">
        <x:v>H2</x:v>
      </x:c>
      <x:c r="G132" s="74" t="str">
        <x:v>Shelter door; workbench top; raft deck</x:v>
      </x:c>
      <x:c r="H132" s="74" t="str">
        <x:v>Proposed</x:v>
      </x:c>
      <x:c r="I132" s="86" t="str">
        <x:v>Needs Director review</x:v>
      </x:c>
      <x:c r="J132" s="83" t="str"/>
    </x:row>
    <x:row r="133" ht="40.5" customHeight="1">
      <x:c r="A133" s="74" t="n">
        <x:v>129</x:v>
      </x:c>
      <x:c r="B133" s="74" t="str">
        <x:v>XP-129</x:v>
      </x:c>
      <x:c r="C133" s="74" t="str">
        <x:v>Deck board</x:v>
      </x:c>
      <x:c r="D133" s="74" t="str">
        <x:v>Boat structure</x:v>
      </x:c>
      <x:c r="E133" s="74" t="str">
        <x:v>Salvage Manifest v0.2</x:v>
      </x:c>
      <x:c r="F133" s="74" t="str">
        <x:v>H1</x:v>
      </x:c>
      <x:c r="G133" s="74" t="str">
        <x:v>Walkway; bench; drying rack</x:v>
      </x:c>
      <x:c r="H133" s="74" t="str">
        <x:v>Proposed</x:v>
      </x:c>
      <x:c r="I133" s="86" t="str">
        <x:v>Needs Director review</x:v>
      </x:c>
      <x:c r="J133" s="83" t="str"/>
    </x:row>
    <x:row r="134" ht="40.5" customHeight="1">
      <x:c r="A134" s="74" t="n">
        <x:v>130</x:v>
      </x:c>
      <x:c r="B134" s="74" t="str">
        <x:v>XP-130</x:v>
      </x:c>
      <x:c r="C134" s="74" t="str">
        <x:v>Fiberglass hull panel</x:v>
      </x:c>
      <x:c r="D134" s="74" t="str">
        <x:v>Boat structure</x:v>
      </x:c>
      <x:c r="E134" s="74" t="str">
        <x:v>Salvage Manifest v0.2</x:v>
      </x:c>
      <x:c r="F134" s="74" t="str">
        <x:v>H3</x:v>
      </x:c>
      <x:c r="G134" s="74" t="str">
        <x:v>Roof; windbreak; boat patch; rigid tray</x:v>
      </x:c>
      <x:c r="H134" s="74" t="str">
        <x:v>Proposed</x:v>
      </x:c>
      <x:c r="I134" s="86" t="str">
        <x:v>Needs Director review</x:v>
      </x:c>
      <x:c r="J134" s="83" t="str"/>
    </x:row>
    <x:row r="135" ht="40.5" customHeight="1">
      <x:c r="A135" s="74" t="n">
        <x:v>131</x:v>
      </x:c>
      <x:c r="B135" s="74" t="str">
        <x:v>XP-131</x:v>
      </x:c>
      <x:c r="C135" s="74" t="str">
        <x:v>Hatch lid</x:v>
      </x:c>
      <x:c r="D135" s="74" t="str">
        <x:v>Boat structure</x:v>
      </x:c>
      <x:c r="E135" s="74" t="str">
        <x:v>Salvage Manifest v0.2</x:v>
      </x:c>
      <x:c r="F135" s="74" t="str">
        <x:v>H2</x:v>
      </x:c>
      <x:c r="G135" s="74" t="str">
        <x:v>Storage lid; work surface; storm shutter</x:v>
      </x:c>
      <x:c r="H135" s="74" t="str">
        <x:v>Proposed</x:v>
      </x:c>
      <x:c r="I135" s="86" t="str">
        <x:v>Needs Director review</x:v>
      </x:c>
      <x:c r="J135" s="83" t="str"/>
    </x:row>
    <x:row r="136" ht="40.5" customHeight="1">
      <x:c r="A136" s="74" t="n">
        <x:v>132</x:v>
      </x:c>
      <x:c r="B136" s="74" t="str">
        <x:v>XP-132</x:v>
      </x:c>
      <x:c r="C136" s="74" t="str">
        <x:v>Hull frame or rib</x:v>
      </x:c>
      <x:c r="D136" s="74" t="str">
        <x:v>Boat structure</x:v>
      </x:c>
      <x:c r="E136" s="74" t="str">
        <x:v>Salvage Manifest v0.2</x:v>
      </x:c>
      <x:c r="F136" s="74" t="str">
        <x:v>H2</x:v>
      </x:c>
      <x:c r="G136" s="74" t="str">
        <x:v>Structural brace; jig; boat repair pattern</x:v>
      </x:c>
      <x:c r="H136" s="74" t="str">
        <x:v>Proposed</x:v>
      </x:c>
      <x:c r="I136" s="86" t="str">
        <x:v>Needs Director review</x:v>
      </x:c>
      <x:c r="J136" s="83" t="str"/>
    </x:row>
    <x:row r="137" ht="40.5" customHeight="1">
      <x:c r="A137" s="74" t="n">
        <x:v>133</x:v>
      </x:c>
      <x:c r="B137" s="74" t="str">
        <x:v>XP-133</x:v>
      </x:c>
      <x:c r="C137" s="74" t="str">
        <x:v>Hull plank</x:v>
      </x:c>
      <x:c r="D137" s="74" t="str">
        <x:v>Boat structure</x:v>
      </x:c>
      <x:c r="E137" s="74" t="str">
        <x:v>Salvage Manifest v0.2</x:v>
      </x:c>
      <x:c r="F137" s="74" t="str">
        <x:v>H1</x:v>
      </x:c>
      <x:c r="G137" s="74" t="str">
        <x:v>Shelter panel; bench; repair patch after grading</x:v>
      </x:c>
      <x:c r="H137" s="74" t="str">
        <x:v>Proposed</x:v>
      </x:c>
      <x:c r="I137" s="86" t="str">
        <x:v>Needs Director review</x:v>
      </x:c>
      <x:c r="J137" s="83" t="str"/>
    </x:row>
    <x:row r="138" ht="40.5" customHeight="1">
      <x:c r="A138" s="74" t="n">
        <x:v>134</x:v>
      </x:c>
      <x:c r="B138" s="74" t="str">
        <x:v>XP-134</x:v>
      </x:c>
      <x:c r="C138" s="74" t="str">
        <x:v>Marine plywood panel</x:v>
      </x:c>
      <x:c r="D138" s="74" t="str">
        <x:v>Boat structure</x:v>
      </x:c>
      <x:c r="E138" s="74" t="str">
        <x:v>Salvage Manifest v0.2</x:v>
      </x:c>
      <x:c r="F138" s="74" t="str">
        <x:v>H2</x:v>
      </x:c>
      <x:c r="G138" s="74" t="str">
        <x:v>Roof; floor; box; jig base</x:v>
      </x:c>
      <x:c r="H138" s="74" t="str">
        <x:v>Proposed</x:v>
      </x:c>
      <x:c r="I138" s="86" t="str">
        <x:v>Needs Director review</x:v>
      </x:c>
      <x:c r="J138" s="83" t="str"/>
    </x:row>
    <x:row r="139" ht="40.5" customHeight="1">
      <x:c r="A139" s="74" t="n">
        <x:v>135</x:v>
      </x:c>
      <x:c r="B139" s="74" t="str">
        <x:v>XP-135</x:v>
      </x:c>
      <x:c r="C139" s="74" t="str">
        <x:v>Steel hull plate</x:v>
      </x:c>
      <x:c r="D139" s="74" t="str">
        <x:v>Boat structure</x:v>
      </x:c>
      <x:c r="E139" s="74" t="str">
        <x:v>Salvage Manifest v0.2</x:v>
      </x:c>
      <x:c r="F139" s="74" t="str">
        <x:v>H3</x:v>
      </x:c>
      <x:c r="G139" s="74" t="str">
        <x:v>Stove body; forge plate; brackets; anvil surface</x:v>
      </x:c>
      <x:c r="H139" s="74" t="str">
        <x:v>Proposed</x:v>
      </x:c>
      <x:c r="I139" s="86" t="str">
        <x:v>Needs Director review</x:v>
      </x:c>
      <x:c r="J139" s="83" t="str"/>
    </x:row>
    <x:row r="140" ht="40.5" customHeight="1">
      <x:c r="A140" s="74" t="n">
        <x:v>136</x:v>
      </x:c>
      <x:c r="B140" s="74" t="str">
        <x:v>XP-136</x:v>
      </x:c>
      <x:c r="C140" s="74" t="str">
        <x:v>Stringer section</x:v>
      </x:c>
      <x:c r="D140" s="74" t="str">
        <x:v>Boat structure</x:v>
      </x:c>
      <x:c r="E140" s="74" t="str">
        <x:v>Salvage Manifest v0.2</x:v>
      </x:c>
      <x:c r="F140" s="74" t="str">
        <x:v>H2</x:v>
      </x:c>
      <x:c r="G140" s="74" t="str">
        <x:v>Long stiffener; rail; machine base</x:v>
      </x:c>
      <x:c r="H140" s="74" t="str">
        <x:v>Proposed</x:v>
      </x:c>
      <x:c r="I140" s="86" t="str">
        <x:v>Needs Director review</x:v>
      </x:c>
      <x:c r="J140" s="83" t="str"/>
    </x:row>
    <x:row r="141" ht="40.5" customHeight="1">
      <x:c r="A141" s="74" t="n">
        <x:v>137</x:v>
      </x:c>
      <x:c r="B141" s="74" t="str">
        <x:v>XP-137</x:v>
      </x:c>
      <x:c r="C141" s="74" t="str">
        <x:v>Tempered glass pane</x:v>
      </x:c>
      <x:c r="D141" s="74" t="str">
        <x:v>Boat structure</x:v>
      </x:c>
      <x:c r="E141" s="74" t="str">
        <x:v>Salvage Manifest v0.2</x:v>
      </x:c>
      <x:c r="F141" s="74" t="str">
        <x:v>H3</x:v>
      </x:c>
      <x:c r="G141" s="74" t="str">
        <x:v>Window if intact; flat working reference</x:v>
      </x:c>
      <x:c r="H141" s="74" t="str">
        <x:v>Proposed</x:v>
      </x:c>
      <x:c r="I141" s="86" t="str">
        <x:v>Needs Director review</x:v>
      </x:c>
      <x:c r="J141" s="83" t="str"/>
    </x:row>
    <x:row r="142" ht="40.5" customHeight="1">
      <x:c r="A142" s="74" t="n">
        <x:v>138</x:v>
      </x:c>
      <x:c r="B142" s="74" t="str">
        <x:v>XP-138</x:v>
      </x:c>
      <x:c r="C142" s="74" t="str">
        <x:v>Food can</x:v>
      </x:c>
      <x:c r="D142" s="74" t="str">
        <x:v>Cargo drift</x:v>
      </x:c>
      <x:c r="E142" s="74" t="str">
        <x:v>Salvage Manifest v0.2</x:v>
      </x:c>
      <x:c r="F142" s="74" t="str">
        <x:v>H1</x:v>
      </x:c>
      <x:c r="G142" s="74" t="str">
        <x:v>Cook or store only while coating intact and identified; cut template</x:v>
      </x:c>
      <x:c r="H142" s="74" t="str">
        <x:v>Proposed</x:v>
      </x:c>
      <x:c r="I142" s="86" t="str">
        <x:v>Needs Director review</x:v>
      </x:c>
      <x:c r="J142" s="83" t="str"/>
    </x:row>
    <x:row r="143" ht="40.5" customHeight="1">
      <x:c r="A143" s="74" t="n">
        <x:v>139</x:v>
      </x:c>
      <x:c r="B143" s="74" t="str">
        <x:v>XP-139</x:v>
      </x:c>
      <x:c r="C143" s="74" t="str">
        <x:v>Food-grade barrel</x:v>
      </x:c>
      <x:c r="D143" s="74" t="str">
        <x:v>Cargo drift</x:v>
      </x:c>
      <x:c r="E143" s="74" t="str">
        <x:v>Salvage Manifest v0.2</x:v>
      </x:c>
      <x:c r="F143" s="74" t="str">
        <x:v>H3</x:v>
      </x:c>
      <x:c r="G143" s="74" t="str">
        <x:v>Water catch; dry storage; fermenter after proof</x:v>
      </x:c>
      <x:c r="H143" s="74" t="str">
        <x:v>Proposed</x:v>
      </x:c>
      <x:c r="I143" s="86" t="str">
        <x:v>Needs Director review</x:v>
      </x:c>
      <x:c r="J143" s="83" t="str"/>
    </x:row>
    <x:row r="144" ht="40.5" customHeight="1">
      <x:c r="A144" s="74" t="n">
        <x:v>140</x:v>
      </x:c>
      <x:c r="B144" s="74" t="str">
        <x:v>XP-140</x:v>
      </x:c>
      <x:c r="C144" s="74" t="str">
        <x:v>Glass bottle</x:v>
      </x:c>
      <x:c r="D144" s="74" t="str">
        <x:v>Cargo drift</x:v>
      </x:c>
      <x:c r="E144" s="74" t="str">
        <x:v>Salvage Manifest v0.2</x:v>
      </x:c>
      <x:c r="F144" s="74" t="str">
        <x:v>H1</x:v>
      </x:c>
      <x:c r="G144" s="74" t="str">
        <x:v>Water storage after cleaning; lamp; float marker</x:v>
      </x:c>
      <x:c r="H144" s="74" t="str">
        <x:v>Proposed</x:v>
      </x:c>
      <x:c r="I144" s="86" t="str">
        <x:v>Needs Director review</x:v>
      </x:c>
      <x:c r="J144" s="83" t="str"/>
    </x:row>
    <x:row r="145" ht="40.5" customHeight="1">
      <x:c r="A145" s="74" t="n">
        <x:v>141</x:v>
      </x:c>
      <x:c r="B145" s="74" t="str">
        <x:v>XP-141</x:v>
      </x:c>
      <x:c r="C145" s="74" t="str">
        <x:v>Glass jar</x:v>
      </x:c>
      <x:c r="D145" s="74" t="str">
        <x:v>Cargo drift</x:v>
      </x:c>
      <x:c r="E145" s="74" t="str">
        <x:v>Salvage Manifest v0.2</x:v>
      </x:c>
      <x:c r="F145" s="74" t="str">
        <x:v>H1</x:v>
      </x:c>
      <x:c r="G145" s="74" t="str">
        <x:v>Dry storage; fermentation; measurement; seed bank</x:v>
      </x:c>
      <x:c r="H145" s="74" t="str">
        <x:v>Proposed</x:v>
      </x:c>
      <x:c r="I145" s="86" t="str">
        <x:v>Needs Director review</x:v>
      </x:c>
      <x:c r="J145" s="83" t="str"/>
    </x:row>
    <x:row r="146" ht="40.5" customHeight="1">
      <x:c r="A146" s="74" t="n">
        <x:v>142</x:v>
      </x:c>
      <x:c r="B146" s="74" t="str">
        <x:v>XP-142</x:v>
      </x:c>
      <x:c r="C146" s="74" t="str">
        <x:v>Jerry can</x:v>
      </x:c>
      <x:c r="D146" s="74" t="str">
        <x:v>Cargo drift</x:v>
      </x:c>
      <x:c r="E146" s="74" t="str">
        <x:v>Salvage Manifest v0.2</x:v>
      </x:c>
      <x:c r="F146" s="74" t="str">
        <x:v>H3</x:v>
      </x:c>
      <x:c r="G146" s="74" t="str">
        <x:v>Dedicated fuel or water can only if provenance proves it</x:v>
      </x:c>
      <x:c r="H146" s="74" t="str">
        <x:v>Proposed</x:v>
      </x:c>
      <x:c r="I146" s="86" t="str">
        <x:v>Needs Director review</x:v>
      </x:c>
      <x:c r="J146" s="83" t="str"/>
    </x:row>
    <x:row r="147" ht="40.5" customHeight="1">
      <x:c r="A147" s="74" t="n">
        <x:v>143</x:v>
      </x:c>
      <x:c r="B147" s="74" t="str">
        <x:v>XP-143</x:v>
      </x:c>
      <x:c r="C147" s="74" t="str">
        <x:v>Plastic bucket</x:v>
      </x:c>
      <x:c r="D147" s="74" t="str">
        <x:v>Cargo drift</x:v>
      </x:c>
      <x:c r="E147" s="74" t="str">
        <x:v>Salvage Manifest v0.2</x:v>
      </x:c>
      <x:c r="F147" s="74" t="str">
        <x:v>H1</x:v>
      </x:c>
      <x:c r="G147" s="74" t="str">
        <x:v>Non-potable carrier; wash basin; trap; storage</x:v>
      </x:c>
      <x:c r="H147" s="74" t="str">
        <x:v>Proposed</x:v>
      </x:c>
      <x:c r="I147" s="86" t="str">
        <x:v>Needs Director review</x:v>
      </x:c>
      <x:c r="J147" s="83" t="str"/>
    </x:row>
    <x:row r="148" ht="40.5" customHeight="1">
      <x:c r="A148" s="74" t="n">
        <x:v>144</x:v>
      </x:c>
      <x:c r="B148" s="74" t="str">
        <x:v>XP-144</x:v>
      </x:c>
      <x:c r="C148" s="74" t="str">
        <x:v>Tarpaulin</x:v>
      </x:c>
      <x:c r="D148" s="74" t="str">
        <x:v>Cargo drift</x:v>
      </x:c>
      <x:c r="E148" s="74" t="str">
        <x:v>Salvage Manifest v0.2</x:v>
      </x:c>
      <x:c r="F148" s="74" t="str">
        <x:v>H1</x:v>
      </x:c>
      <x:c r="G148" s="74" t="str">
        <x:v>Roof; rain catch; groundsheet; cargo wrap</x:v>
      </x:c>
      <x:c r="H148" s="74" t="str">
        <x:v>Proposed</x:v>
      </x:c>
      <x:c r="I148" s="86" t="str">
        <x:v>Needs Director review</x:v>
      </x:c>
      <x:c r="J148" s="83" t="str"/>
    </x:row>
    <x:row r="149" ht="40.5" customHeight="1">
      <x:c r="A149" s="74" t="n">
        <x:v>145</x:v>
      </x:c>
      <x:c r="B149" s="74" t="str">
        <x:v>XP-145</x:v>
      </x:c>
      <x:c r="C149" s="74" t="str">
        <x:v>Thermos flask</x:v>
      </x:c>
      <x:c r="D149" s="74" t="str">
        <x:v>Cargo drift</x:v>
      </x:c>
      <x:c r="E149" s="74" t="str">
        <x:v>Salvage Manifest v0.2</x:v>
      </x:c>
      <x:c r="F149" s="74" t="str">
        <x:v>H2</x:v>
      </x:c>
      <x:c r="G149" s="74" t="str">
        <x:v>Retain hot or cold liquid if intact</x:v>
      </x:c>
      <x:c r="H149" s="74" t="str">
        <x:v>Proposed</x:v>
      </x:c>
      <x:c r="I149" s="86" t="str">
        <x:v>Needs Director review</x:v>
      </x:c>
      <x:c r="J149" s="83" t="str"/>
    </x:row>
    <x:row r="150" ht="40.5" customHeight="1">
      <x:c r="A150" s="74" t="n">
        <x:v>146</x:v>
      </x:c>
      <x:c r="B150" s="74" t="str">
        <x:v>XP-146</x:v>
      </x:c>
      <x:c r="C150" s="74" t="str">
        <x:v>Fiber water prefilter</x:v>
      </x:c>
      <x:c r="D150" s="74" t="str">
        <x:v>Cooking and water tools</x:v>
      </x:c>
      <x:c r="E150" s="74" t="str">
        <x:v>Natural Tools v0.2</x:v>
      </x:c>
      <x:c r="F150" s="74" t="str">
        <x:v>H1</x:v>
      </x:c>
      <x:c r="G150" s="74" t="str">
        <x:v>Remove leaves and coarse sediment before treatment</x:v>
      </x:c>
      <x:c r="H150" s="74" t="str">
        <x:v>Proposed</x:v>
      </x:c>
      <x:c r="I150" s="86" t="str">
        <x:v>Needs Director review</x:v>
      </x:c>
      <x:c r="J150" s="83" t="str"/>
    </x:row>
    <x:row r="151" ht="40.5" customHeight="1">
      <x:c r="A151" s="74" t="n">
        <x:v>147</x:v>
      </x:c>
      <x:c r="B151" s="74" t="str">
        <x:v>XP-147</x:v>
      </x:c>
      <x:c r="C151" s="74" t="str">
        <x:v>Hot-stone basket cradle</x:v>
      </x:c>
      <x:c r="D151" s="74" t="str">
        <x:v>Cooking and water tools</x:v>
      </x:c>
      <x:c r="E151" s="74" t="str">
        <x:v>Natural Tools v0.2</x:v>
      </x:c>
      <x:c r="F151" s="74" t="str">
        <x:v>H2</x:v>
      </x:c>
      <x:c r="G151" s="74" t="str">
        <x:v>Support organic vessel; rotate heated stones; drain foods</x:v>
      </x:c>
      <x:c r="H151" s="74" t="str">
        <x:v>Proposed</x:v>
      </x:c>
      <x:c r="I151" s="86" t="str">
        <x:v>Needs Director review</x:v>
      </x:c>
      <x:c r="J151" s="83" t="str"/>
    </x:row>
    <x:row r="152" ht="40.5" customHeight="1">
      <x:c r="A152" s="74" t="n">
        <x:v>148</x:v>
      </x:c>
      <x:c r="B152" s="74" t="str">
        <x:v>XP-148</x:v>
      </x:c>
      <x:c r="C152" s="74" t="str">
        <x:v>Pot suspension tripod</x:v>
      </x:c>
      <x:c r="D152" s="74" t="str">
        <x:v>Cooking and water tools</x:v>
      </x:c>
      <x:c r="E152" s="74" t="str">
        <x:v>Natural Tools v0.2</x:v>
      </x:c>
      <x:c r="F152" s="74" t="str">
        <x:v>H1</x:v>
      </x:c>
      <x:c r="G152" s="74" t="str">
        <x:v>Suspend shell; hide vessel; or salvaged pot over heat</x:v>
      </x:c>
      <x:c r="H152" s="74" t="str">
        <x:v>Proposed</x:v>
      </x:c>
      <x:c r="I152" s="86" t="str">
        <x:v>Needs Director review</x:v>
      </x:c>
      <x:c r="J152" s="83" t="str"/>
    </x:row>
    <x:row r="153" ht="40.5" customHeight="1">
      <x:c r="A153" s="74" t="n">
        <x:v>149</x:v>
      </x:c>
      <x:c r="B153" s="74" t="str">
        <x:v>XP-149</x:v>
      </x:c>
      <x:c r="C153" s="74" t="str">
        <x:v>Rain-catch funnel</x:v>
      </x:c>
      <x:c r="D153" s="74" t="str">
        <x:v>Cooking and water tools</x:v>
      </x:c>
      <x:c r="E153" s="74" t="str">
        <x:v>Natural Tools v0.2</x:v>
      </x:c>
      <x:c r="F153" s="74" t="str">
        <x:v>H1</x:v>
      </x:c>
      <x:c r="G153" s="74" t="str">
        <x:v>Direct rain into shell; vessel; or tank</x:v>
      </x:c>
      <x:c r="H153" s="74" t="str">
        <x:v>Proposed</x:v>
      </x:c>
      <x:c r="I153" s="86" t="str">
        <x:v>Needs Director review</x:v>
      </x:c>
      <x:c r="J153" s="83" t="str"/>
    </x:row>
    <x:row r="154" ht="40.5" customHeight="1">
      <x:c r="A154" s="74" t="n">
        <x:v>150</x:v>
      </x:c>
      <x:c r="B154" s="74" t="str">
        <x:v>XP-150</x:v>
      </x:c>
      <x:c r="C154" s="74" t="str">
        <x:v>Stone-lined hearth</x:v>
      </x:c>
      <x:c r="D154" s="74" t="str">
        <x:v>Cooking and water tools</x:v>
      </x:c>
      <x:c r="E154" s="74" t="str">
        <x:v>Natural Tools v0.2</x:v>
      </x:c>
      <x:c r="F154" s="74" t="str">
        <x:v>H1</x:v>
      </x:c>
      <x:c r="G154" s="74" t="str">
        <x:v>Contain fire; support pots; retain heat</x:v>
      </x:c>
      <x:c r="H154" s="74" t="str">
        <x:v>Proposed</x:v>
      </x:c>
      <x:c r="I154" s="86" t="str">
        <x:v>Needs Director review</x:v>
      </x:c>
      <x:c r="J154" s="83" t="str"/>
    </x:row>
    <x:row r="155" ht="40.5" customHeight="1">
      <x:c r="A155" s="74" t="n">
        <x:v>151</x:v>
      </x:c>
      <x:c r="B155" s="74" t="str">
        <x:v>XP-151</x:v>
      </x:c>
      <x:c r="C155" s="74" t="str">
        <x:v>Digging stick</x:v>
      </x:c>
      <x:c r="D155" s="74" t="str">
        <x:v>Earthwork</x:v>
      </x:c>
      <x:c r="E155" s="74" t="str">
        <x:v>Natural Tools v0.2</x:v>
      </x:c>
      <x:c r="F155" s="74" t="str">
        <x:v>H0</x:v>
      </x:c>
      <x:c r="G155" s="74" t="str">
        <x:v>Dig tubers; plant; probe soil; open fire pits</x:v>
      </x:c>
      <x:c r="H155" s="74" t="str">
        <x:v>Proposed</x:v>
      </x:c>
      <x:c r="I155" s="86" t="str">
        <x:v>Needs Director review</x:v>
      </x:c>
      <x:c r="J155" s="83" t="str"/>
    </x:row>
    <x:row r="156" ht="40.5" customHeight="1">
      <x:c r="A156" s="74" t="n">
        <x:v>152</x:v>
      </x:c>
      <x:c r="B156" s="74" t="str">
        <x:v>XP-152</x:v>
      </x:c>
      <x:c r="C156" s="74" t="str">
        <x:v>Stone-edged hoe</x:v>
      </x:c>
      <x:c r="D156" s="74" t="str">
        <x:v>Earthwork</x:v>
      </x:c>
      <x:c r="E156" s="74" t="str">
        <x:v>Natural Tools v0.2</x:v>
      </x:c>
      <x:c r="F156" s="74" t="str">
        <x:v>H2</x:v>
      </x:c>
      <x:c r="G156" s="74" t="str">
        <x:v>Weed; loosen soil; scrape mud and shell deposits</x:v>
      </x:c>
      <x:c r="H156" s="74" t="str">
        <x:v>Proposed</x:v>
      </x:c>
      <x:c r="I156" s="86" t="str">
        <x:v>Needs Director review</x:v>
      </x:c>
      <x:c r="J156" s="83" t="str"/>
    </x:row>
    <x:row r="157" ht="40.5" customHeight="1">
      <x:c r="A157" s="74" t="n">
        <x:v>153</x:v>
      </x:c>
      <x:c r="B157" s="74" t="str">
        <x:v>XP-153</x:v>
      </x:c>
      <x:c r="C157" s="74" t="str">
        <x:v>Wooden rake</x:v>
      </x:c>
      <x:c r="D157" s="74" t="str">
        <x:v>Earthwork</x:v>
      </x:c>
      <x:c r="E157" s="74" t="str">
        <x:v>Natural Tools v0.2</x:v>
      </x:c>
      <x:c r="F157" s="74" t="str">
        <x:v>H1</x:v>
      </x:c>
      <x:c r="G157" s="74" t="str">
        <x:v>Gather leaves; seaweed; thatch; dry material</x:v>
      </x:c>
      <x:c r="H157" s="74" t="str">
        <x:v>Proposed</x:v>
      </x:c>
      <x:c r="I157" s="86" t="str">
        <x:v>Needs Director review</x:v>
      </x:c>
      <x:c r="J157" s="83" t="str"/>
    </x:row>
    <x:row r="158" ht="40.5" customHeight="1">
      <x:c r="A158" s="74" t="n">
        <x:v>154</x:v>
      </x:c>
      <x:c r="B158" s="74" t="str">
        <x:v>XP-154</x:v>
      </x:c>
      <x:c r="C158" s="74" t="str">
        <x:v>Wooden spade</x:v>
      </x:c>
      <x:c r="D158" s="74" t="str">
        <x:v>Earthwork</x:v>
      </x:c>
      <x:c r="E158" s="74" t="str">
        <x:v>Natural Tools v0.2</x:v>
      </x:c>
      <x:c r="F158" s="74" t="str">
        <x:v>H1</x:v>
      </x:c>
      <x:c r="G158" s="74" t="str">
        <x:v>Move loose soil; sand; ash; grain</x:v>
      </x:c>
      <x:c r="H158" s="74" t="str">
        <x:v>Proposed</x:v>
      </x:c>
      <x:c r="I158" s="86" t="str">
        <x:v>Needs Director review</x:v>
      </x:c>
      <x:c r="J158" s="83" t="str"/>
    </x:row>
    <x:row r="159" ht="40.5" customHeight="1">
      <x:c r="A159" s="74" t="n">
        <x:v>155</x:v>
      </x:c>
      <x:c r="B159" s="74" t="str">
        <x:v>XP-155</x:v>
      </x:c>
      <x:c r="C159" s="74" t="str">
        <x:v>Bandage roll</x:v>
      </x:c>
      <x:c r="D159" s="74" t="str">
        <x:v>Emergency gear</x:v>
      </x:c>
      <x:c r="E159" s="74" t="str">
        <x:v>Salvage Manifest v0.2</x:v>
      </x:c>
      <x:c r="F159" s="74" t="str">
        <x:v>H2</x:v>
      </x:c>
      <x:c r="G159" s="74" t="str">
        <x:v>Wound dressing if sealed and dry</x:v>
      </x:c>
      <x:c r="H159" s="74" t="str">
        <x:v>Proposed</x:v>
      </x:c>
      <x:c r="I159" s="86" t="str">
        <x:v>Needs Director review</x:v>
      </x:c>
      <x:c r="J159" s="83" t="str"/>
    </x:row>
    <x:row r="160" ht="40.5" customHeight="1">
      <x:c r="A160" s="74" t="n">
        <x:v>156</x:v>
      </x:c>
      <x:c r="B160" s="74" t="str">
        <x:v>XP-156</x:v>
      </x:c>
      <x:c r="C160" s="74" t="str">
        <x:v>Compass</x:v>
      </x:c>
      <x:c r="D160" s="74" t="str">
        <x:v>Emergency gear</x:v>
      </x:c>
      <x:c r="E160" s="74" t="str">
        <x:v>Salvage Manifest v0.2</x:v>
      </x:c>
      <x:c r="F160" s="74" t="str">
        <x:v>H2</x:v>
      </x:c>
      <x:c r="G160" s="74" t="str">
        <x:v>Navigation and mapping if checked</x:v>
      </x:c>
      <x:c r="H160" s="74" t="str">
        <x:v>Proposed</x:v>
      </x:c>
      <x:c r="I160" s="86" t="str">
        <x:v>Needs Director review</x:v>
      </x:c>
      <x:c r="J160" s="83" t="str"/>
    </x:row>
    <x:row r="161" ht="40.5" customHeight="1">
      <x:c r="A161" s="74" t="n">
        <x:v>157</x:v>
      </x:c>
      <x:c r="B161" s="74" t="str">
        <x:v>XP-157</x:v>
      </x:c>
      <x:c r="C161" s="74" t="str">
        <x:v>First-aid kit</x:v>
      </x:c>
      <x:c r="D161" s="74" t="str">
        <x:v>Emergency gear</x:v>
      </x:c>
      <x:c r="E161" s="74" t="str">
        <x:v>Salvage Manifest v0.2</x:v>
      </x:c>
      <x:c r="F161" s="74" t="str">
        <x:v>H2</x:v>
      </x:c>
      <x:c r="G161" s="74" t="str">
        <x:v>Treat injury according to training and expiry</x:v>
      </x:c>
      <x:c r="H161" s="74" t="str">
        <x:v>Proposed</x:v>
      </x:c>
      <x:c r="I161" s="86" t="str">
        <x:v>Needs Director review</x:v>
      </x:c>
      <x:c r="J161" s="83" t="str"/>
    </x:row>
    <x:row r="162" ht="40.5" customHeight="1">
      <x:c r="A162" s="74" t="n">
        <x:v>158</x:v>
      </x:c>
      <x:c r="B162" s="74" t="str">
        <x:v>XP-158</x:v>
      </x:c>
      <x:c r="C162" s="74" t="str">
        <x:v>Flashlight</x:v>
      </x:c>
      <x:c r="D162" s="74" t="str">
        <x:v>Emergency gear</x:v>
      </x:c>
      <x:c r="E162" s="74" t="str">
        <x:v>Salvage Manifest v0.2</x:v>
      </x:c>
      <x:c r="F162" s="74" t="str">
        <x:v>H2</x:v>
      </x:c>
      <x:c r="G162" s="74" t="str">
        <x:v>Portable light; signal</x:v>
      </x:c>
      <x:c r="H162" s="74" t="str">
        <x:v>Proposed</x:v>
      </x:c>
      <x:c r="I162" s="86" t="str">
        <x:v>Needs Director review</x:v>
      </x:c>
      <x:c r="J162" s="83" t="str"/>
    </x:row>
    <x:row r="163" ht="40.5" customHeight="1">
      <x:c r="A163" s="74" t="n">
        <x:v>159</x:v>
      </x:c>
      <x:c r="B163" s="74" t="str">
        <x:v>XP-159</x:v>
      </x:c>
      <x:c r="C163" s="74" t="str">
        <x:v>Medical scissors</x:v>
      </x:c>
      <x:c r="D163" s="74" t="str">
        <x:v>Emergency gear</x:v>
      </x:c>
      <x:c r="E163" s="74" t="str">
        <x:v>Salvage Manifest v0.2</x:v>
      </x:c>
      <x:c r="F163" s="74" t="str">
        <x:v>H2</x:v>
      </x:c>
      <x:c r="G163" s="74" t="str">
        <x:v>Cut dressings and cloth; blunt-tip seam work</x:v>
      </x:c>
      <x:c r="H163" s="74" t="str">
        <x:v>Proposed</x:v>
      </x:c>
      <x:c r="I163" s="86" t="str">
        <x:v>Needs Director review</x:v>
      </x:c>
      <x:c r="J163" s="83" t="str"/>
    </x:row>
    <x:row r="164" ht="40.5" customHeight="1">
      <x:c r="A164" s="74" t="n">
        <x:v>160</x:v>
      </x:c>
      <x:c r="B164" s="74" t="str">
        <x:v>XP-160</x:v>
      </x:c>
      <x:c r="C164" s="74" t="str">
        <x:v>Portable radio</x:v>
      </x:c>
      <x:c r="D164" s="74" t="str">
        <x:v>Emergency gear</x:v>
      </x:c>
      <x:c r="E164" s="74" t="str">
        <x:v>Salvage Manifest v0.2</x:v>
      </x:c>
      <x:c r="F164" s="74" t="str">
        <x:v>H3</x:v>
      </x:c>
      <x:c r="G164" s="74" t="str">
        <x:v>Receive information; repair beacon; donor components</x:v>
      </x:c>
      <x:c r="H164" s="74" t="str">
        <x:v>Proposed</x:v>
      </x:c>
      <x:c r="I164" s="86" t="str">
        <x:v>Needs Director review</x:v>
      </x:c>
      <x:c r="J164" s="83" t="str"/>
    </x:row>
    <x:row r="165" ht="40.5" customHeight="1">
      <x:c r="A165" s="74" t="n">
        <x:v>161</x:v>
      </x:c>
      <x:c r="B165" s="74" t="str">
        <x:v>XP-161</x:v>
      </x:c>
      <x:c r="C165" s="74" t="str">
        <x:v>Signal flare</x:v>
      </x:c>
      <x:c r="D165" s="74" t="str">
        <x:v>Emergency gear</x:v>
      </x:c>
      <x:c r="E165" s="74" t="str">
        <x:v>Salvage Manifest v0.2</x:v>
      </x:c>
      <x:c r="F165" s="74" t="str">
        <x:v>H5</x:v>
      </x:c>
      <x:c r="G165" s="74" t="str">
        <x:v>Emergency signaling only</x:v>
      </x:c>
      <x:c r="H165" s="74" t="str">
        <x:v>Proposed</x:v>
      </x:c>
      <x:c r="I165" s="86" t="str">
        <x:v>Needs Director review</x:v>
      </x:c>
      <x:c r="J165" s="83" t="str"/>
    </x:row>
    <x:row r="166" ht="40.5" customHeight="1">
      <x:c r="A166" s="74" t="n">
        <x:v>162</x:v>
      </x:c>
      <x:c r="B166" s="74" t="str">
        <x:v>XP-162</x:v>
      </x:c>
      <x:c r="C166" s="74" t="str">
        <x:v>Signal mirror</x:v>
      </x:c>
      <x:c r="D166" s="74" t="str">
        <x:v>Emergency gear</x:v>
      </x:c>
      <x:c r="E166" s="74" t="str">
        <x:v>Salvage Manifest v0.2</x:v>
      </x:c>
      <x:c r="F166" s="74" t="str">
        <x:v>H1</x:v>
      </x:c>
      <x:c r="G166" s="74" t="str">
        <x:v>Day signal; inspect blind spaces; align beam</x:v>
      </x:c>
      <x:c r="H166" s="74" t="str">
        <x:v>Proposed</x:v>
      </x:c>
      <x:c r="I166" s="86" t="str">
        <x:v>Needs Director review</x:v>
      </x:c>
      <x:c r="J166" s="83" t="str"/>
    </x:row>
    <x:row r="167" ht="40.5" customHeight="1">
      <x:c r="A167" s="74" t="n">
        <x:v>163</x:v>
      </x:c>
      <x:c r="B167" s="74" t="str">
        <x:v>XP-163</x:v>
      </x:c>
      <x:c r="C167" s="74" t="str">
        <x:v>Whistle</x:v>
      </x:c>
      <x:c r="D167" s="74" t="str">
        <x:v>Emergency gear</x:v>
      </x:c>
      <x:c r="E167" s="74" t="str">
        <x:v>Salvage Manifest v0.2</x:v>
      </x:c>
      <x:c r="F167" s="74" t="str">
        <x:v>H0</x:v>
      </x:c>
      <x:c r="G167" s="74" t="str">
        <x:v>Signal; team coordination; alarm</x:v>
      </x:c>
      <x:c r="H167" s="74" t="str">
        <x:v>Proposed</x:v>
      </x:c>
      <x:c r="I167" s="86" t="str">
        <x:v>Needs Director review</x:v>
      </x:c>
      <x:c r="J167" s="83" t="str"/>
    </x:row>
    <x:row r="168" ht="40.5" customHeight="1">
      <x:c r="A168" s="74" t="n">
        <x:v>164</x:v>
      </x:c>
      <x:c r="B168" s="74" t="str">
        <x:v>XP-164</x:v>
      </x:c>
      <x:c r="C168" s="74" t="str">
        <x:v>Basketmaker bodkin</x:v>
      </x:c>
      <x:c r="D168" s="74" t="str">
        <x:v>Fiber and textile tools</x:v>
      </x:c>
      <x:c r="E168" s="74" t="str">
        <x:v>Natural Tools v0.2</x:v>
      </x:c>
      <x:c r="F168" s="74" t="str">
        <x:v>H1</x:v>
      </x:c>
      <x:c r="G168" s="74" t="str">
        <x:v>Open weave; tuck fiber ends; untie knots</x:v>
      </x:c>
      <x:c r="H168" s="74" t="str">
        <x:v>Proposed</x:v>
      </x:c>
      <x:c r="I168" s="86" t="str">
        <x:v>Needs Director review</x:v>
      </x:c>
      <x:c r="J168" s="83" t="str"/>
    </x:row>
    <x:row r="169" ht="40.5" customHeight="1">
      <x:c r="A169" s="74" t="n">
        <x:v>165</x:v>
      </x:c>
      <x:c r="B169" s="74" t="str">
        <x:v>XP-165</x:v>
      </x:c>
      <x:c r="C169" s="74" t="str">
        <x:v>Drop spindle</x:v>
      </x:c>
      <x:c r="D169" s="74" t="str">
        <x:v>Fiber and textile tools</x:v>
      </x:c>
      <x:c r="E169" s="74" t="str">
        <x:v>Natural Tools v0.2</x:v>
      </x:c>
      <x:c r="F169" s="74" t="str">
        <x:v>H1</x:v>
      </x:c>
      <x:c r="G169" s="74" t="str">
        <x:v>Twist plant fiber into consistent yarn</x:v>
      </x:c>
      <x:c r="H169" s="74" t="str">
        <x:v>Proposed</x:v>
      </x:c>
      <x:c r="I169" s="86" t="str">
        <x:v>Needs Director review</x:v>
      </x:c>
      <x:c r="J169" s="83" t="str"/>
    </x:row>
    <x:row r="170" ht="40.5" customHeight="1">
      <x:c r="A170" s="74" t="n">
        <x:v>166</x:v>
      </x:c>
      <x:c r="B170" s="74" t="str">
        <x:v>XP-166</x:v>
      </x:c>
      <x:c r="C170" s="74" t="str">
        <x:v>Net gauge</x:v>
      </x:c>
      <x:c r="D170" s="74" t="str">
        <x:v>Fiber and textile tools</x:v>
      </x:c>
      <x:c r="E170" s="74" t="str">
        <x:v>Natural Tools v0.2</x:v>
      </x:c>
      <x:c r="F170" s="74" t="str">
        <x:v>H2</x:v>
      </x:c>
      <x:c r="G170" s="74" t="str">
        <x:v>Keep mesh size consistent</x:v>
      </x:c>
      <x:c r="H170" s="74" t="str">
        <x:v>Proposed</x:v>
      </x:c>
      <x:c r="I170" s="86" t="str">
        <x:v>Needs Director review</x:v>
      </x:c>
      <x:c r="J170" s="83" t="str"/>
    </x:row>
    <x:row r="171" ht="40.5" customHeight="1">
      <x:c r="A171" s="74" t="n">
        <x:v>167</x:v>
      </x:c>
      <x:c r="B171" s="74" t="str">
        <x:v>XP-167</x:v>
      </x:c>
      <x:c r="C171" s="74" t="str">
        <x:v>Netting shuttle</x:v>
      </x:c>
      <x:c r="D171" s="74" t="str">
        <x:v>Fiber and textile tools</x:v>
      </x:c>
      <x:c r="E171" s="74" t="str">
        <x:v>Natural Tools v0.2</x:v>
      </x:c>
      <x:c r="F171" s="74" t="str">
        <x:v>H1</x:v>
      </x:c>
      <x:c r="G171" s="74" t="str">
        <x:v>Carry twine through meshes rapidly</x:v>
      </x:c>
      <x:c r="H171" s="74" t="str">
        <x:v>Proposed</x:v>
      </x:c>
      <x:c r="I171" s="86" t="str">
        <x:v>Needs Director review</x:v>
      </x:c>
      <x:c r="J171" s="83" t="str"/>
    </x:row>
    <x:row r="172" ht="40.5" customHeight="1">
      <x:c r="A172" s="74" t="n">
        <x:v>168</x:v>
      </x:c>
      <x:c r="B172" s="74" t="str">
        <x:v>XP-168</x:v>
      </x:c>
      <x:c r="C172" s="74" t="str">
        <x:v>Rope-twisting hook</x:v>
      </x:c>
      <x:c r="D172" s="74" t="str">
        <x:v>Fiber and textile tools</x:v>
      </x:c>
      <x:c r="E172" s="74" t="str">
        <x:v>Natural Tools v0.2</x:v>
      </x:c>
      <x:c r="F172" s="74" t="str">
        <x:v>H2</x:v>
      </x:c>
      <x:c r="G172" s="74" t="str">
        <x:v>Lay multiple yarns into rope; maintain twist</x:v>
      </x:c>
      <x:c r="H172" s="74" t="str">
        <x:v>Proposed</x:v>
      </x:c>
      <x:c r="I172" s="86" t="str">
        <x:v>Needs Director review</x:v>
      </x:c>
      <x:c r="J172" s="83" t="str"/>
    </x:row>
    <x:row r="173" ht="40.5" customHeight="1">
      <x:c r="A173" s="74" t="n">
        <x:v>169</x:v>
      </x:c>
      <x:c r="B173" s="74" t="str">
        <x:v>XP-169</x:v>
      </x:c>
      <x:c r="C173" s="74" t="str">
        <x:v>Weaving beater</x:v>
      </x:c>
      <x:c r="D173" s="74" t="str">
        <x:v>Fiber and textile tools</x:v>
      </x:c>
      <x:c r="E173" s="74" t="str">
        <x:v>Natural Tools v0.2</x:v>
      </x:c>
      <x:c r="F173" s="74" t="str">
        <x:v>H1</x:v>
      </x:c>
      <x:c r="G173" s="74" t="str">
        <x:v>Pack fibers in mats; baskets; bark cloth panels</x:v>
      </x:c>
      <x:c r="H173" s="74" t="str">
        <x:v>Proposed</x:v>
      </x:c>
      <x:c r="I173" s="86" t="str">
        <x:v>Needs Director review</x:v>
      </x:c>
      <x:c r="J173" s="83" t="str"/>
    </x:row>
    <x:row r="174" ht="40.5" customHeight="1">
      <x:c r="A174" s="74" t="n">
        <x:v>170</x:v>
      </x:c>
      <x:c r="B174" s="74" t="str">
        <x:v>XP-170</x:v>
      </x:c>
      <x:c r="C174" s="74" t="str">
        <x:v>Wooden sewing needle</x:v>
      </x:c>
      <x:c r="D174" s="74" t="str">
        <x:v>Fiber and textile tools</x:v>
      </x:c>
      <x:c r="E174" s="74" t="str">
        <x:v>Natural Tools v0.2</x:v>
      </x:c>
      <x:c r="F174" s="74" t="str">
        <x:v>H1</x:v>
      </x:c>
      <x:c r="G174" s="74" t="str">
        <x:v>Stitch broad holes in mats; bark cloth; net repairs</x:v>
      </x:c>
      <x:c r="H174" s="74" t="str">
        <x:v>Proposed</x:v>
      </x:c>
      <x:c r="I174" s="86" t="str">
        <x:v>Needs Director review</x:v>
      </x:c>
      <x:c r="J174" s="83" t="str"/>
    </x:row>
    <x:row r="175" ht="40.5" customHeight="1">
      <x:c r="A175" s="74" t="n">
        <x:v>171</x:v>
      </x:c>
      <x:c r="B175" s="74" t="str">
        <x:v>XP-171</x:v>
      </x:c>
      <x:c r="C175" s="74" t="str">
        <x:v>Bait bucket</x:v>
      </x:c>
      <x:c r="D175" s="74" t="str">
        <x:v>Fishing gear</x:v>
      </x:c>
      <x:c r="E175" s="74" t="str">
        <x:v>Salvage Manifest v0.2</x:v>
      </x:c>
      <x:c r="F175" s="74" t="str">
        <x:v>H1</x:v>
      </x:c>
      <x:c r="G175" s="74" t="str">
        <x:v>Water carrier for non-potable use; bait well</x:v>
      </x:c>
      <x:c r="H175" s="74" t="str">
        <x:v>Proposed</x:v>
      </x:c>
      <x:c r="I175" s="86" t="str">
        <x:v>Needs Director review</x:v>
      </x:c>
      <x:c r="J175" s="83" t="str"/>
    </x:row>
    <x:row r="176" ht="40.5" customHeight="1">
      <x:c r="A176" s="74" t="n">
        <x:v>172</x:v>
      </x:c>
      <x:c r="B176" s="74" t="str">
        <x:v>XP-172</x:v>
      </x:c>
      <x:c r="C176" s="74" t="str">
        <x:v>Braided fishing line</x:v>
      </x:c>
      <x:c r="D176" s="74" t="str">
        <x:v>Fishing gear</x:v>
      </x:c>
      <x:c r="E176" s="74" t="str">
        <x:v>Salvage Manifest v0.2</x:v>
      </x:c>
      <x:c r="F176" s="74" t="str">
        <x:v>H1</x:v>
      </x:c>
      <x:c r="G176" s="74" t="str">
        <x:v>Fishing; whipping; fine high-strength cord</x:v>
      </x:c>
      <x:c r="H176" s="74" t="str">
        <x:v>Proposed</x:v>
      </x:c>
      <x:c r="I176" s="86" t="str">
        <x:v>Needs Director review</x:v>
      </x:c>
      <x:c r="J176" s="83" t="str"/>
    </x:row>
    <x:row r="177" ht="40.5" customHeight="1">
      <x:c r="A177" s="74" t="n">
        <x:v>173</x:v>
      </x:c>
      <x:c r="B177" s="74" t="str">
        <x:v>XP-173</x:v>
      </x:c>
      <x:c r="C177" s="74" t="str">
        <x:v>Chain length</x:v>
      </x:c>
      <x:c r="D177" s="74" t="str">
        <x:v>Fishing gear</x:v>
      </x:c>
      <x:c r="E177" s="74" t="str">
        <x:v>Salvage Manifest v0.2</x:v>
      </x:c>
      <x:c r="F177" s="74" t="str">
        <x:v>H2</x:v>
      </x:c>
      <x:c r="G177" s="74" t="str">
        <x:v>Anchor rode; security; ballast; pot weight</x:v>
      </x:c>
      <x:c r="H177" s="74" t="str">
        <x:v>Proposed</x:v>
      </x:c>
      <x:c r="I177" s="86" t="str">
        <x:v>Needs Director review</x:v>
      </x:c>
      <x:c r="J177" s="83" t="str"/>
    </x:row>
    <x:row r="178" ht="40.5" customHeight="1">
      <x:c r="A178" s="74" t="n">
        <x:v>174</x:v>
      </x:c>
      <x:c r="B178" s="74" t="str">
        <x:v>XP-174</x:v>
      </x:c>
      <x:c r="C178" s="74" t="str">
        <x:v>Cork net float</x:v>
      </x:c>
      <x:c r="D178" s="74" t="str">
        <x:v>Fishing gear</x:v>
      </x:c>
      <x:c r="E178" s="74" t="str">
        <x:v>Salvage Manifest v0.2</x:v>
      </x:c>
      <x:c r="F178" s="74" t="str">
        <x:v>H0</x:v>
      </x:c>
      <x:c r="G178" s="74" t="str">
        <x:v>Float; marker; gasket stock</x:v>
      </x:c>
      <x:c r="H178" s="74" t="str">
        <x:v>Proposed</x:v>
      </x:c>
      <x:c r="I178" s="86" t="str">
        <x:v>Needs Director review</x:v>
      </x:c>
      <x:c r="J178" s="83" t="str"/>
    </x:row>
    <x:row r="179" ht="40.5" customHeight="1">
      <x:c r="A179" s="74" t="n">
        <x:v>175</x:v>
      </x:c>
      <x:c r="B179" s="74" t="str">
        <x:v>XP-175</x:v>
      </x:c>
      <x:c r="C179" s="74" t="str">
        <x:v>Derelict fish pot</x:v>
      </x:c>
      <x:c r="D179" s="74" t="str">
        <x:v>Fishing gear</x:v>
      </x:c>
      <x:c r="E179" s="74" t="str">
        <x:v>Salvage Manifest v0.2</x:v>
      </x:c>
      <x:c r="F179" s="74" t="str">
        <x:v>H2</x:v>
      </x:c>
      <x:c r="G179" s="74" t="str">
        <x:v>Repairable trap; cage; rack</x:v>
      </x:c>
      <x:c r="H179" s="74" t="str">
        <x:v>Proposed</x:v>
      </x:c>
      <x:c r="I179" s="86" t="str">
        <x:v>Needs Director review</x:v>
      </x:c>
      <x:c r="J179" s="83" t="str"/>
    </x:row>
    <x:row r="180" ht="40.5" customHeight="1">
      <x:c r="A180" s="74" t="n">
        <x:v>176</x:v>
      </x:c>
      <x:c r="B180" s="74" t="str">
        <x:v>XP-176</x:v>
      </x:c>
      <x:c r="C180" s="74" t="str">
        <x:v>Fish crate</x:v>
      </x:c>
      <x:c r="D180" s="74" t="str">
        <x:v>Fishing gear</x:v>
      </x:c>
      <x:c r="E180" s="74" t="str">
        <x:v>Salvage Manifest v0.2</x:v>
      </x:c>
      <x:c r="F180" s="74" t="str">
        <x:v>H1</x:v>
      </x:c>
      <x:c r="G180" s="74" t="str">
        <x:v>Stackable storage; drying rack; trap body</x:v>
      </x:c>
      <x:c r="H180" s="74" t="str">
        <x:v>Proposed</x:v>
      </x:c>
      <x:c r="I180" s="86" t="str">
        <x:v>Needs Director review</x:v>
      </x:c>
      <x:c r="J180" s="83" t="str"/>
    </x:row>
    <x:row r="181" ht="40.5" customHeight="1">
      <x:c r="A181" s="74" t="n">
        <x:v>177</x:v>
      </x:c>
      <x:c r="B181" s="74" t="str">
        <x:v>XP-177</x:v>
      </x:c>
      <x:c r="C181" s="74" t="str">
        <x:v>Fish-trap entrance funnel</x:v>
      </x:c>
      <x:c r="D181" s="74" t="str">
        <x:v>Fishing gear</x:v>
      </x:c>
      <x:c r="E181" s="74" t="str">
        <x:v>Salvage Manifest v0.2</x:v>
      </x:c>
      <x:c r="F181" s="74" t="str">
        <x:v>H1</x:v>
      </x:c>
      <x:c r="G181" s="74" t="str">
        <x:v>Trap repair; one-way chute for storage bin</x:v>
      </x:c>
      <x:c r="H181" s="74" t="str">
        <x:v>Proposed</x:v>
      </x:c>
      <x:c r="I181" s="86" t="str">
        <x:v>Needs Director review</x:v>
      </x:c>
      <x:c r="J181" s="83" t="str"/>
    </x:row>
    <x:row r="182" ht="40.5" customHeight="1">
      <x:c r="A182" s="74" t="n">
        <x:v>178</x:v>
      </x:c>
      <x:c r="B182" s="74" t="str">
        <x:v>XP-178</x:v>
      </x:c>
      <x:c r="C182" s="74" t="str">
        <x:v>Fishing buoy</x:v>
      </x:c>
      <x:c r="D182" s="74" t="str">
        <x:v>Fishing gear</x:v>
      </x:c>
      <x:c r="E182" s="74" t="str">
        <x:v>Salvage Manifest v0.2</x:v>
      </x:c>
      <x:c r="F182" s="74" t="str">
        <x:v>H1</x:v>
      </x:c>
      <x:c r="G182" s="74" t="str">
        <x:v>Mooring marker; salvage cache marker</x:v>
      </x:c>
      <x:c r="H182" s="74" t="str">
        <x:v>Proposed</x:v>
      </x:c>
      <x:c r="I182" s="86" t="str">
        <x:v>Needs Director review</x:v>
      </x:c>
      <x:c r="J182" s="83" t="str"/>
    </x:row>
    <x:row r="183" ht="40.5" customHeight="1">
      <x:c r="A183" s="74" t="n">
        <x:v>179</x:v>
      </x:c>
      <x:c r="B183" s="74" t="str">
        <x:v>XP-179</x:v>
      </x:c>
      <x:c r="C183" s="74" t="str">
        <x:v>Fishing hook</x:v>
      </x:c>
      <x:c r="D183" s="74" t="str">
        <x:v>Fishing gear</x:v>
      </x:c>
      <x:c r="E183" s="74" t="str">
        <x:v>Salvage Manifest v0.2</x:v>
      </x:c>
      <x:c r="F183" s="74" t="str">
        <x:v>H1</x:v>
      </x:c>
      <x:c r="G183" s="74" t="str">
        <x:v>Fishing; sewing fid tip; small hanging hook</x:v>
      </x:c>
      <x:c r="H183" s="74" t="str">
        <x:v>Proposed</x:v>
      </x:c>
      <x:c r="I183" s="86" t="str">
        <x:v>Needs Director review</x:v>
      </x:c>
      <x:c r="J183" s="83" t="str"/>
    </x:row>
    <x:row r="184" ht="40.5" customHeight="1">
      <x:c r="A184" s="74" t="n">
        <x:v>180</x:v>
      </x:c>
      <x:c r="B184" s="74" t="str">
        <x:v>XP-180</x:v>
      </x:c>
      <x:c r="C184" s="74" t="str">
        <x:v>Fishing swivel</x:v>
      </x:c>
      <x:c r="D184" s="74" t="str">
        <x:v>Fishing gear</x:v>
      </x:c>
      <x:c r="E184" s="74" t="str">
        <x:v>Salvage Manifest v0.2</x:v>
      </x:c>
      <x:c r="F184" s="74" t="str">
        <x:v>H2</x:v>
      </x:c>
      <x:c r="G184" s="74" t="str">
        <x:v>Reduce line twist; rotating linkage</x:v>
      </x:c>
      <x:c r="H184" s="74" t="str">
        <x:v>Proposed</x:v>
      </x:c>
      <x:c r="I184" s="86" t="str">
        <x:v>Needs Director review</x:v>
      </x:c>
      <x:c r="J184" s="83" t="str"/>
    </x:row>
    <x:row r="185" ht="40.5" customHeight="1">
      <x:c r="A185" s="74" t="n">
        <x:v>181</x:v>
      </x:c>
      <x:c r="B185" s="74" t="str">
        <x:v>XP-181</x:v>
      </x:c>
      <x:c r="C185" s="74" t="str">
        <x:v>Gaff hook</x:v>
      </x:c>
      <x:c r="D185" s="74" t="str">
        <x:v>Fishing gear</x:v>
      </x:c>
      <x:c r="E185" s="74" t="str">
        <x:v>Salvage Manifest v0.2</x:v>
      </x:c>
      <x:c r="F185" s="74" t="str">
        <x:v>H2</x:v>
      </x:c>
      <x:c r="G185" s="74" t="str">
        <x:v>Land fish; retrieve floating objects</x:v>
      </x:c>
      <x:c r="H185" s="74" t="str">
        <x:v>Proposed</x:v>
      </x:c>
      <x:c r="I185" s="86" t="str">
        <x:v>Needs Director review</x:v>
      </x:c>
      <x:c r="J185" s="83" t="str"/>
    </x:row>
    <x:row r="186" ht="40.5" customHeight="1">
      <x:c r="A186" s="74" t="n">
        <x:v>182</x:v>
      </x:c>
      <x:c r="B186" s="74" t="str">
        <x:v>XP-182</x:v>
      </x:c>
      <x:c r="C186" s="74" t="str">
        <x:v>Gillnet section</x:v>
      </x:c>
      <x:c r="D186" s="74" t="str">
        <x:v>Fishing gear</x:v>
      </x:c>
      <x:c r="E186" s="74" t="str">
        <x:v>Salvage Manifest v0.2</x:v>
      </x:c>
      <x:c r="F186" s="74" t="str">
        <x:v>H2</x:v>
      </x:c>
      <x:c r="G186" s="74" t="str">
        <x:v>Donor mesh; marked controlled net only</x:v>
      </x:c>
      <x:c r="H186" s="74" t="str">
        <x:v>Proposed</x:v>
      </x:c>
      <x:c r="I186" s="86" t="str">
        <x:v>Needs Director review</x:v>
      </x:c>
      <x:c r="J186" s="83" t="str"/>
    </x:row>
    <x:row r="187" ht="40.5" customHeight="1">
      <x:c r="A187" s="74" t="n">
        <x:v>183</x:v>
      </x:c>
      <x:c r="B187" s="74" t="str">
        <x:v>XP-183</x:v>
      </x:c>
      <x:c r="C187" s="74" t="str">
        <x:v>Grapnel anchor</x:v>
      </x:c>
      <x:c r="D187" s="74" t="str">
        <x:v>Fishing gear</x:v>
      </x:c>
      <x:c r="E187" s="74" t="str">
        <x:v>Salvage Manifest v0.2</x:v>
      </x:c>
      <x:c r="F187" s="74" t="str">
        <x:v>H3</x:v>
      </x:c>
      <x:c r="G187" s="74" t="str">
        <x:v>Anchor small craft; drag for submerged salvage</x:v>
      </x:c>
      <x:c r="H187" s="74" t="str">
        <x:v>Proposed</x:v>
      </x:c>
      <x:c r="I187" s="86" t="str">
        <x:v>Needs Director review</x:v>
      </x:c>
      <x:c r="J187" s="83" t="str"/>
    </x:row>
    <x:row r="188" ht="40.5" customHeight="1">
      <x:c r="A188" s="74" t="n">
        <x:v>184</x:v>
      </x:c>
      <x:c r="B188" s="74" t="str">
        <x:v>XP-184</x:v>
      </x:c>
      <x:c r="C188" s="74" t="str">
        <x:v>Insulated fish box</x:v>
      </x:c>
      <x:c r="D188" s="74" t="str">
        <x:v>Fishing gear</x:v>
      </x:c>
      <x:c r="E188" s="74" t="str">
        <x:v>Salvage Manifest v0.2</x:v>
      </x:c>
      <x:c r="F188" s="74" t="str">
        <x:v>H1</x:v>
      </x:c>
      <x:c r="G188" s="74" t="str">
        <x:v>Cool box; dry storage; seat</x:v>
      </x:c>
      <x:c r="H188" s="74" t="str">
        <x:v>Proposed</x:v>
      </x:c>
      <x:c r="I188" s="86" t="str">
        <x:v>Needs Director review</x:v>
      </x:c>
      <x:c r="J188" s="83" t="str"/>
    </x:row>
    <x:row r="189" ht="40.5" customHeight="1">
      <x:c r="A189" s="74" t="n">
        <x:v>185</x:v>
      </x:c>
      <x:c r="B189" s="74" t="str">
        <x:v>XP-185</x:v>
      </x:c>
      <x:c r="C189" s="74" t="str">
        <x:v>Lead sinker</x:v>
      </x:c>
      <x:c r="D189" s="74" t="str">
        <x:v>Fishing gear</x:v>
      </x:c>
      <x:c r="E189" s="74" t="str">
        <x:v>Salvage Manifest v0.2</x:v>
      </x:c>
      <x:c r="F189" s="74" t="str">
        <x:v>H3</x:v>
      </x:c>
      <x:c r="G189" s="74" t="str">
        <x:v>Fishing weight; balance weight in sealed use</x:v>
      </x:c>
      <x:c r="H189" s="74" t="str">
        <x:v>Proposed</x:v>
      </x:c>
      <x:c r="I189" s="86" t="str">
        <x:v>Needs Director review</x:v>
      </x:c>
      <x:c r="J189" s="83" t="str"/>
    </x:row>
    <x:row r="190" ht="40.5" customHeight="1">
      <x:c r="A190" s="74" t="n">
        <x:v>186</x:v>
      </x:c>
      <x:c r="B190" s="74" t="str">
        <x:v>XP-186</x:v>
      </x:c>
      <x:c r="C190" s="74" t="str">
        <x:v>Longline branchline</x:v>
      </x:c>
      <x:c r="D190" s="74" t="str">
        <x:v>Fishing gear</x:v>
      </x:c>
      <x:c r="E190" s="74" t="str">
        <x:v>Salvage Manifest v0.2</x:v>
      </x:c>
      <x:c r="F190" s="74" t="str">
        <x:v>H1</x:v>
      </x:c>
      <x:c r="G190" s="74" t="str">
        <x:v>Fishing rig after inspection</x:v>
      </x:c>
      <x:c r="H190" s="74" t="str">
        <x:v>Proposed</x:v>
      </x:c>
      <x:c r="I190" s="86" t="str">
        <x:v>Needs Director review</x:v>
      </x:c>
      <x:c r="J190" s="83" t="str"/>
    </x:row>
    <x:row r="191" ht="40.5" customHeight="1">
      <x:c r="A191" s="74" t="n">
        <x:v>187</x:v>
      </x:c>
      <x:c r="B191" s="74" t="str">
        <x:v>XP-187</x:v>
      </x:c>
      <x:c r="C191" s="74" t="str">
        <x:v>Marker flag</x:v>
      </x:c>
      <x:c r="D191" s="74" t="str">
        <x:v>Fishing gear</x:v>
      </x:c>
      <x:c r="E191" s="74" t="str">
        <x:v>Salvage Manifest v0.2</x:v>
      </x:c>
      <x:c r="F191" s="74" t="str">
        <x:v>H0</x:v>
      </x:c>
      <x:c r="G191" s="74" t="str">
        <x:v>Signal; wind indicator; survey marker</x:v>
      </x:c>
      <x:c r="H191" s="74" t="str">
        <x:v>Proposed</x:v>
      </x:c>
      <x:c r="I191" s="86" t="str">
        <x:v>Needs Director review</x:v>
      </x:c>
      <x:c r="J191" s="83" t="str"/>
    </x:row>
    <x:row r="192" ht="40.5" customHeight="1">
      <x:c r="A192" s="74" t="n">
        <x:v>188</x:v>
      </x:c>
      <x:c r="B192" s="74" t="str">
        <x:v>XP-188</x:v>
      </x:c>
      <x:c r="C192" s="74" t="str">
        <x:v>Monofilament line</x:v>
      </x:c>
      <x:c r="D192" s="74" t="str">
        <x:v>Fishing gear</x:v>
      </x:c>
      <x:c r="E192" s="74" t="str">
        <x:v>Salvage Manifest v0.2</x:v>
      </x:c>
      <x:c r="F192" s="74" t="str">
        <x:v>H1</x:v>
      </x:c>
      <x:c r="G192" s="74" t="str">
        <x:v>Fishing leaders; sewing heavy sheet; snare trigger</x:v>
      </x:c>
      <x:c r="H192" s="74" t="str">
        <x:v>Proposed</x:v>
      </x:c>
      <x:c r="I192" s="86" t="str">
        <x:v>Needs Director review</x:v>
      </x:c>
      <x:c r="J192" s="83" t="str"/>
    </x:row>
    <x:row r="193" ht="40.5" customHeight="1">
      <x:c r="A193" s="74" t="n">
        <x:v>189</x:v>
      </x:c>
      <x:c r="B193" s="74" t="str">
        <x:v>XP-189</x:v>
      </x:c>
      <x:c r="C193" s="74" t="str">
        <x:v>Natural-fiber rope</x:v>
      </x:c>
      <x:c r="D193" s="74" t="str">
        <x:v>Fishing gear</x:v>
      </x:c>
      <x:c r="E193" s="74" t="str">
        <x:v>Salvage Manifest v0.2</x:v>
      </x:c>
      <x:c r="F193" s="74" t="str">
        <x:v>H0</x:v>
      </x:c>
      <x:c r="G193" s="74" t="str">
        <x:v>Lashings; handles; tinder when retired</x:v>
      </x:c>
      <x:c r="H193" s="74" t="str">
        <x:v>Proposed</x:v>
      </x:c>
      <x:c r="I193" s="86" t="str">
        <x:v>Needs Director review</x:v>
      </x:c>
      <x:c r="J193" s="83" t="str"/>
    </x:row>
    <x:row r="194" ht="40.5" customHeight="1">
      <x:c r="A194" s="74" t="n">
        <x:v>190</x:v>
      </x:c>
      <x:c r="B194" s="74" t="str">
        <x:v>XP-190</x:v>
      </x:c>
      <x:c r="C194" s="74" t="str">
        <x:v>Net panel</x:v>
      </x:c>
      <x:c r="D194" s="74" t="str">
        <x:v>Fishing gear</x:v>
      </x:c>
      <x:c r="E194" s="74" t="str">
        <x:v>Salvage Manifest v0.2</x:v>
      </x:c>
      <x:c r="F194" s="74" t="str">
        <x:v>H1</x:v>
      </x:c>
      <x:c r="G194" s="74" t="str">
        <x:v>Repairable fishing net; cargo hammock; fence</x:v>
      </x:c>
      <x:c r="H194" s="74" t="str">
        <x:v>Proposed</x:v>
      </x:c>
      <x:c r="I194" s="86" t="str">
        <x:v>Needs Director review</x:v>
      </x:c>
      <x:c r="J194" s="83" t="str"/>
    </x:row>
    <x:row r="195" ht="40.5" customHeight="1">
      <x:c r="A195" s="74" t="n">
        <x:v>191</x:v>
      </x:c>
      <x:c r="B195" s="74" t="str">
        <x:v>XP-191</x:v>
      </x:c>
      <x:c r="C195" s="74" t="str">
        <x:v>Netting needle</x:v>
      </x:c>
      <x:c r="D195" s="74" t="str">
        <x:v>Fishing gear</x:v>
      </x:c>
      <x:c r="E195" s="74" t="str">
        <x:v>Salvage Manifest v0.2</x:v>
      </x:c>
      <x:c r="F195" s="74" t="str">
        <x:v>H0</x:v>
      </x:c>
      <x:c r="G195" s="74" t="str">
        <x:v>Mend nets; organize cord</x:v>
      </x:c>
      <x:c r="H195" s="74" t="str">
        <x:v>Proposed</x:v>
      </x:c>
      <x:c r="I195" s="86" t="str">
        <x:v>Needs Director review</x:v>
      </x:c>
      <x:c r="J195" s="83" t="str"/>
    </x:row>
    <x:row r="196" ht="40.5" customHeight="1">
      <x:c r="A196" s="74" t="n">
        <x:v>192</x:v>
      </x:c>
      <x:c r="B196" s="74" t="str">
        <x:v>XP-192</x:v>
      </x:c>
      <x:c r="C196" s="74" t="str">
        <x:v>Nylon rope</x:v>
      </x:c>
      <x:c r="D196" s="74" t="str">
        <x:v>Fishing gear</x:v>
      </x:c>
      <x:c r="E196" s="74" t="str">
        <x:v>Salvage Manifest v0.2</x:v>
      </x:c>
      <x:c r="F196" s="74" t="str">
        <x:v>H1</x:v>
      </x:c>
      <x:c r="G196" s="74" t="str">
        <x:v>Shock-absorbing line; net repair</x:v>
      </x:c>
      <x:c r="H196" s="74" t="str">
        <x:v>Proposed</x:v>
      </x:c>
      <x:c r="I196" s="86" t="str">
        <x:v>Needs Director review</x:v>
      </x:c>
      <x:c r="J196" s="83" t="str"/>
    </x:row>
    <x:row r="197" ht="40.5" customHeight="1">
      <x:c r="A197" s="74" t="n">
        <x:v>193</x:v>
      </x:c>
      <x:c r="B197" s="74" t="str">
        <x:v>XP-193</x:v>
      </x:c>
      <x:c r="C197" s="74" t="str">
        <x:v>Plastic net float</x:v>
      </x:c>
      <x:c r="D197" s="74" t="str">
        <x:v>Fishing gear</x:v>
      </x:c>
      <x:c r="E197" s="74" t="str">
        <x:v>Salvage Manifest v0.2</x:v>
      </x:c>
      <x:c r="F197" s="74" t="str">
        <x:v>H1</x:v>
      </x:c>
      <x:c r="G197" s="74" t="str">
        <x:v>Marker; outrigger float; line winder</x:v>
      </x:c>
      <x:c r="H197" s="74" t="str">
        <x:v>Proposed</x:v>
      </x:c>
      <x:c r="I197" s="86" t="str">
        <x:v>Needs Director review</x:v>
      </x:c>
      <x:c r="J197" s="83" t="str"/>
    </x:row>
    <x:row r="198" ht="40.5" customHeight="1">
      <x:c r="A198" s="74" t="n">
        <x:v>194</x:v>
      </x:c>
      <x:c r="B198" s="74" t="str">
        <x:v>XP-194</x:v>
      </x:c>
      <x:c r="C198" s="74" t="str">
        <x:v>Polypropylene rope</x:v>
      </x:c>
      <x:c r="D198" s="74" t="str">
        <x:v>Fishing gear</x:v>
      </x:c>
      <x:c r="E198" s="74" t="str">
        <x:v>Salvage Manifest v0.2</x:v>
      </x:c>
      <x:c r="F198" s="74" t="str">
        <x:v>H1</x:v>
      </x:c>
      <x:c r="G198" s="74" t="str">
        <x:v>Rigging; hauling; mooring; rescue line after proof</x:v>
      </x:c>
      <x:c r="H198" s="74" t="str">
        <x:v>Proposed</x:v>
      </x:c>
      <x:c r="I198" s="86" t="str">
        <x:v>Needs Director review</x:v>
      </x:c>
      <x:c r="J198" s="83" t="str"/>
    </x:row>
    <x:row r="199" ht="40.5" customHeight="1">
      <x:c r="A199" s="74" t="n">
        <x:v>195</x:v>
      </x:c>
      <x:c r="B199" s="74" t="str">
        <x:v>XP-195</x:v>
      </x:c>
      <x:c r="C199" s="74" t="str">
        <x:v>Small shackle</x:v>
      </x:c>
      <x:c r="D199" s="74" t="str">
        <x:v>Fishing gear</x:v>
      </x:c>
      <x:c r="E199" s="74" t="str">
        <x:v>Salvage Manifest v0.2</x:v>
      </x:c>
      <x:c r="F199" s="74" t="str">
        <x:v>H2</x:v>
      </x:c>
      <x:c r="G199" s="74" t="str">
        <x:v>Join chain; rope eye; anchor gear</x:v>
      </x:c>
      <x:c r="H199" s="74" t="str">
        <x:v>Proposed</x:v>
      </x:c>
      <x:c r="I199" s="86" t="str">
        <x:v>Needs Director review</x:v>
      </x:c>
      <x:c r="J199" s="83" t="str"/>
    </x:row>
    <x:row r="200" ht="40.5" customHeight="1">
      <x:c r="A200" s="74" t="n">
        <x:v>196</x:v>
      </x:c>
      <x:c r="B200" s="74" t="str">
        <x:v>XP-196</x:v>
      </x:c>
      <x:c r="C200" s="74" t="str">
        <x:v>Snap clip</x:v>
      </x:c>
      <x:c r="D200" s="74" t="str">
        <x:v>Fishing gear</x:v>
      </x:c>
      <x:c r="E200" s="74" t="str">
        <x:v>Salvage Manifest v0.2</x:v>
      </x:c>
      <x:c r="F200" s="74" t="str">
        <x:v>H1</x:v>
      </x:c>
      <x:c r="G200" s="74" t="str">
        <x:v>Quick line connection; light hanging</x:v>
      </x:c>
      <x:c r="H200" s="74" t="str">
        <x:v>Proposed</x:v>
      </x:c>
      <x:c r="I200" s="86" t="str">
        <x:v>Needs Director review</x:v>
      </x:c>
      <x:c r="J200" s="83" t="str"/>
    </x:row>
    <x:row r="201" ht="40.5" customHeight="1">
      <x:c r="A201" s="74" t="n">
        <x:v>197</x:v>
      </x:c>
      <x:c r="B201" s="74" t="str">
        <x:v>XP-197</x:v>
      </x:c>
      <x:c r="C201" s="74" t="str">
        <x:v>Steel sinker</x:v>
      </x:c>
      <x:c r="D201" s="74" t="str">
        <x:v>Fishing gear</x:v>
      </x:c>
      <x:c r="E201" s="74" t="str">
        <x:v>Salvage Manifest v0.2</x:v>
      </x:c>
      <x:c r="F201" s="74" t="str">
        <x:v>H1</x:v>
      </x:c>
      <x:c r="G201" s="74" t="str">
        <x:v>Fishing weight; plumb bob; counterweight</x:v>
      </x:c>
      <x:c r="H201" s="74" t="str">
        <x:v>Proposed</x:v>
      </x:c>
      <x:c r="I201" s="86" t="str">
        <x:v>Needs Director review</x:v>
      </x:c>
      <x:c r="J201" s="83" t="str"/>
    </x:row>
    <x:row r="202" ht="40.5" customHeight="1">
      <x:c r="A202" s="74" t="n">
        <x:v>198</x:v>
      </x:c>
      <x:c r="B202" s="74" t="str">
        <x:v>XP-198</x:v>
      </x:c>
      <x:c r="C202" s="74" t="str">
        <x:v>Trawl net section</x:v>
      </x:c>
      <x:c r="D202" s="74" t="str">
        <x:v>Fishing gear</x:v>
      </x:c>
      <x:c r="E202" s="74" t="str">
        <x:v>Salvage Manifest v0.2</x:v>
      </x:c>
      <x:c r="F202" s="74" t="str">
        <x:v>H2</x:v>
      </x:c>
      <x:c r="G202" s="74" t="str">
        <x:v>Heavy cargo net; shade; donor twine</x:v>
      </x:c>
      <x:c r="H202" s="74" t="str">
        <x:v>Proposed</x:v>
      </x:c>
      <x:c r="I202" s="86" t="str">
        <x:v>Needs Director review</x:v>
      </x:c>
      <x:c r="J202" s="83" t="str"/>
    </x:row>
    <x:row r="203" ht="40.5" customHeight="1">
      <x:c r="A203" s="74" t="n">
        <x:v>199</x:v>
      </x:c>
      <x:c r="B203" s="74" t="str">
        <x:v>XP-199</x:v>
      </x:c>
      <x:c r="C203" s="74" t="str">
        <x:v>Treble hook</x:v>
      </x:c>
      <x:c r="D203" s="74" t="str">
        <x:v>Fishing gear</x:v>
      </x:c>
      <x:c r="E203" s="74" t="str">
        <x:v>Salvage Manifest v0.2</x:v>
      </x:c>
      <x:c r="F203" s="74" t="str">
        <x:v>H2</x:v>
      </x:c>
      <x:c r="G203" s="74" t="str">
        <x:v>Large-lure fishing only</x:v>
      </x:c>
      <x:c r="H203" s="74" t="str">
        <x:v>Proposed</x:v>
      </x:c>
      <x:c r="I203" s="86" t="str">
        <x:v>Needs Director review</x:v>
      </x:c>
      <x:c r="J203" s="83" t="str"/>
    </x:row>
    <x:row r="204" ht="40.5" customHeight="1">
      <x:c r="A204" s="74" t="n">
        <x:v>200</x:v>
      </x:c>
      <x:c r="B204" s="74" t="str">
        <x:v>XP-200</x:v>
      </x:c>
      <x:c r="C204" s="74" t="str">
        <x:v>Wire fish-trap frame</x:v>
      </x:c>
      <x:c r="D204" s="74" t="str">
        <x:v>Fishing gear</x:v>
      </x:c>
      <x:c r="E204" s="74" t="str">
        <x:v>Salvage Manifest v0.2</x:v>
      </x:c>
      <x:c r="F204" s="74" t="str">
        <x:v>H2</x:v>
      </x:c>
      <x:c r="G204" s="74" t="str">
        <x:v>Repairable trap; rack; cage</x:v>
      </x:c>
      <x:c r="H204" s="74" t="str">
        <x:v>Proposed</x:v>
      </x:c>
      <x:c r="I204" s="86" t="str">
        <x:v>Needs Director review</x:v>
      </x:c>
      <x:c r="J204" s="83" t="str"/>
    </x:row>
    <x:row r="205" ht="40.5" customHeight="1">
      <x:c r="A205" s="74" t="n">
        <x:v>201</x:v>
      </x:c>
      <x:c r="B205" s="74" t="str">
        <x:v>XP-201</x:v>
      </x:c>
      <x:c r="C205" s="74" t="str">
        <x:v>Crab pot</x:v>
      </x:c>
      <x:c r="D205" s="74" t="str">
        <x:v>Food and hunting tools</x:v>
      </x:c>
      <x:c r="E205" s="74" t="str">
        <x:v>Natural Tools v0.2</x:v>
      </x:c>
      <x:c r="F205" s="74" t="str">
        <x:v>H2</x:v>
      </x:c>
      <x:c r="G205" s="74" t="str">
        <x:v>Catch crabs; store shellfish temporarily</x:v>
      </x:c>
      <x:c r="H205" s="74" t="str">
        <x:v>Proposed</x:v>
      </x:c>
      <x:c r="I205" s="86" t="str">
        <x:v>Needs Director review</x:v>
      </x:c>
      <x:c r="J205" s="83" t="str"/>
    </x:row>
    <x:row r="206" ht="40.5" customHeight="1">
      <x:c r="A206" s="74" t="n">
        <x:v>202</x:v>
      </x:c>
      <x:c r="B206" s="74" t="str">
        <x:v>XP-202</x:v>
      </x:c>
      <x:c r="C206" s="74" t="str">
        <x:v>Fish trap basket</x:v>
      </x:c>
      <x:c r="D206" s="74" t="str">
        <x:v>Food and hunting tools</x:v>
      </x:c>
      <x:c r="E206" s="74" t="str">
        <x:v>Natural Tools v0.2</x:v>
      </x:c>
      <x:c r="F206" s="74" t="str">
        <x:v>H2</x:v>
      </x:c>
      <x:c r="G206" s="74" t="str">
        <x:v>Passive fish and crustacean capture</x:v>
      </x:c>
      <x:c r="H206" s="74" t="str">
        <x:v>Proposed</x:v>
      </x:c>
      <x:c r="I206" s="86" t="str">
        <x:v>Needs Director review</x:v>
      </x:c>
      <x:c r="J206" s="83" t="str"/>
    </x:row>
    <x:row r="207" ht="40.5" customHeight="1">
      <x:c r="A207" s="74" t="n">
        <x:v>203</x:v>
      </x:c>
      <x:c r="B207" s="74" t="str">
        <x:v>XP-203</x:v>
      </x:c>
      <x:c r="C207" s="74" t="str">
        <x:v>Fish-cleaning board</x:v>
      </x:c>
      <x:c r="D207" s="74" t="str">
        <x:v>Food and hunting tools</x:v>
      </x:c>
      <x:c r="E207" s="74" t="str">
        <x:v>Natural Tools v0.2</x:v>
      </x:c>
      <x:c r="F207" s="74" t="str">
        <x:v>H1</x:v>
      </x:c>
      <x:c r="G207" s="74" t="str">
        <x:v>Separate clean food work from dirty ground; pin fish</x:v>
      </x:c>
      <x:c r="H207" s="74" t="str">
        <x:v>Proposed</x:v>
      </x:c>
      <x:c r="I207" s="86" t="str">
        <x:v>Needs Director review</x:v>
      </x:c>
      <x:c r="J207" s="83" t="str"/>
    </x:row>
    <x:row r="208" ht="40.5" customHeight="1">
      <x:c r="A208" s="74" t="n">
        <x:v>204</x:v>
      </x:c>
      <x:c r="B208" s="74" t="str">
        <x:v>XP-204</x:v>
      </x:c>
      <x:c r="C208" s="74" t="str">
        <x:v>Four-prong fishing spear</x:v>
      </x:c>
      <x:c r="D208" s="74" t="str">
        <x:v>Food and hunting tools</x:v>
      </x:c>
      <x:c r="E208" s="74" t="str">
        <x:v>Natural Tools v0.2</x:v>
      </x:c>
      <x:c r="F208" s="74" t="str">
        <x:v>H1</x:v>
      </x:c>
      <x:c r="G208" s="74" t="str">
        <x:v>Pin fish in shallows; probe crevices</x:v>
      </x:c>
      <x:c r="H208" s="74" t="str">
        <x:v>Proposed</x:v>
      </x:c>
      <x:c r="I208" s="86" t="str">
        <x:v>Needs Director review</x:v>
      </x:c>
      <x:c r="J208" s="83" t="str"/>
    </x:row>
    <x:row r="209" ht="40.5" customHeight="1">
      <x:c r="A209" s="74" t="n">
        <x:v>205</x:v>
      </x:c>
      <x:c r="B209" s="74" t="str">
        <x:v>XP-205</x:v>
      </x:c>
      <x:c r="C209" s="74" t="str">
        <x:v>Snare trigger set</x:v>
      </x:c>
      <x:c r="D209" s="74" t="str">
        <x:v>Food and hunting tools</x:v>
      </x:c>
      <x:c r="E209" s="74" t="str">
        <x:v>Natural Tools v0.2</x:v>
      </x:c>
      <x:c r="F209" s="74" t="str">
        <x:v>H2</x:v>
      </x:c>
      <x:c r="G209" s="74" t="str">
        <x:v>Convert cordage into passive small-game trap</x:v>
      </x:c>
      <x:c r="H209" s="74" t="str">
        <x:v>Proposed</x:v>
      </x:c>
      <x:c r="I209" s="86" t="str">
        <x:v>Needs Director review</x:v>
      </x:c>
      <x:c r="J209" s="83" t="str"/>
    </x:row>
    <x:row r="210" ht="40.5" customHeight="1">
      <x:c r="A210" s="74" t="n">
        <x:v>206</x:v>
      </x:c>
      <x:c r="B210" s="74" t="str">
        <x:v>XP-206</x:v>
      </x:c>
      <x:c r="C210" s="74" t="str">
        <x:v>Can opener</x:v>
      </x:c>
      <x:c r="D210" s="74" t="str">
        <x:v>Galley drift</x:v>
      </x:c>
      <x:c r="E210" s="74" t="str">
        <x:v>Salvage Manifest v0.2</x:v>
      </x:c>
      <x:c r="F210" s="74" t="str">
        <x:v>H1</x:v>
      </x:c>
      <x:c r="G210" s="74" t="str">
        <x:v>Open cans cleanly; cut thin lids</x:v>
      </x:c>
      <x:c r="H210" s="74" t="str">
        <x:v>Proposed</x:v>
      </x:c>
      <x:c r="I210" s="86" t="str">
        <x:v>Needs Director review</x:v>
      </x:c>
      <x:c r="J210" s="83" t="str"/>
    </x:row>
    <x:row r="211" ht="40.5" customHeight="1">
      <x:c r="A211" s="74" t="n">
        <x:v>207</x:v>
      </x:c>
      <x:c r="B211" s="74" t="str">
        <x:v>XP-207</x:v>
      </x:c>
      <x:c r="C211" s="74" t="str">
        <x:v>Cutlery set</x:v>
      </x:c>
      <x:c r="D211" s="74" t="str">
        <x:v>Galley drift</x:v>
      </x:c>
      <x:c r="E211" s="74" t="str">
        <x:v>Salvage Manifest v0.2</x:v>
      </x:c>
      <x:c r="F211" s="74" t="str">
        <x:v>H0</x:v>
      </x:c>
      <x:c r="G211" s="74" t="str">
        <x:v>Eat; stir; carve; measure</x:v>
      </x:c>
      <x:c r="H211" s="74" t="str">
        <x:v>Proposed</x:v>
      </x:c>
      <x:c r="I211" s="86" t="str">
        <x:v>Needs Director review</x:v>
      </x:c>
      <x:c r="J211" s="83" t="str"/>
    </x:row>
    <x:row r="212" ht="40.5" customHeight="1">
      <x:c r="A212" s="74" t="n">
        <x:v>208</x:v>
      </x:c>
      <x:c r="B212" s="74" t="str">
        <x:v>XP-208</x:v>
      </x:c>
      <x:c r="C212" s="74" t="str">
        <x:v>Frying pan</x:v>
      </x:c>
      <x:c r="D212" s="74" t="str">
        <x:v>Galley drift</x:v>
      </x:c>
      <x:c r="E212" s="74" t="str">
        <x:v>Salvage Manifest v0.2</x:v>
      </x:c>
      <x:c r="F212" s="74" t="str">
        <x:v>H1</x:v>
      </x:c>
      <x:c r="G212" s="74" t="str">
        <x:v>Fry; roast; heat sand or salt for technical work</x:v>
      </x:c>
      <x:c r="H212" s="74" t="str">
        <x:v>Proposed</x:v>
      </x:c>
      <x:c r="I212" s="86" t="str">
        <x:v>Needs Director review</x:v>
      </x:c>
      <x:c r="J212" s="83" t="str"/>
    </x:row>
    <x:row r="213" ht="40.5" customHeight="1">
      <x:c r="A213" s="74" t="n">
        <x:v>209</x:v>
      </x:c>
      <x:c r="B213" s="74" t="str">
        <x:v>XP-209</x:v>
      </x:c>
      <x:c r="C213" s="74" t="str">
        <x:v>Kettle</x:v>
      </x:c>
      <x:c r="D213" s="74" t="str">
        <x:v>Galley drift</x:v>
      </x:c>
      <x:c r="E213" s="74" t="str">
        <x:v>Salvage Manifest v0.2</x:v>
      </x:c>
      <x:c r="F213" s="74" t="str">
        <x:v>H1</x:v>
      </x:c>
      <x:c r="G213" s="74" t="str">
        <x:v>Boil water; heat feedwater; pour safely</x:v>
      </x:c>
      <x:c r="H213" s="74" t="str">
        <x:v>Proposed</x:v>
      </x:c>
      <x:c r="I213" s="86" t="str">
        <x:v>Needs Director review</x:v>
      </x:c>
      <x:c r="J213" s="83" t="str"/>
    </x:row>
    <x:row r="214" ht="40.5" customHeight="1">
      <x:c r="A214" s="74" t="n">
        <x:v>210</x:v>
      </x:c>
      <x:c r="B214" s="74" t="str">
        <x:v>XP-210</x:v>
      </x:c>
      <x:c r="C214" s="74" t="str">
        <x:v>Metal bowl</x:v>
      </x:c>
      <x:c r="D214" s="74" t="str">
        <x:v>Galley drift</x:v>
      </x:c>
      <x:c r="E214" s="74" t="str">
        <x:v>Salvage Manifest v0.2</x:v>
      </x:c>
      <x:c r="F214" s="74" t="str">
        <x:v>H0</x:v>
      </x:c>
      <x:c r="G214" s="74" t="str">
        <x:v>Mix; wash; collect; reflect light</x:v>
      </x:c>
      <x:c r="H214" s="74" t="str">
        <x:v>Proposed</x:v>
      </x:c>
      <x:c r="I214" s="86" t="str">
        <x:v>Needs Director review</x:v>
      </x:c>
      <x:c r="J214" s="83" t="str"/>
    </x:row>
    <x:row r="215" ht="40.5" customHeight="1">
      <x:c r="A215" s="74" t="n">
        <x:v>211</x:v>
      </x:c>
      <x:c r="B215" s="74" t="str">
        <x:v>XP-211</x:v>
      </x:c>
      <x:c r="C215" s="74" t="str">
        <x:v>Stainless cooking pot</x:v>
      </x:c>
      <x:c r="D215" s="74" t="str">
        <x:v>Galley drift</x:v>
      </x:c>
      <x:c r="E215" s="74" t="str">
        <x:v>Salvage Manifest v0.2</x:v>
      </x:c>
      <x:c r="F215" s="74" t="str">
        <x:v>H1</x:v>
      </x:c>
      <x:c r="G215" s="74" t="str">
        <x:v>Boil; cook; sterilize; collect rain</x:v>
      </x:c>
      <x:c r="H215" s="74" t="str">
        <x:v>Proposed</x:v>
      </x:c>
      <x:c r="I215" s="86" t="str">
        <x:v>Needs Director review</x:v>
      </x:c>
      <x:c r="J215" s="83" t="str"/>
    </x:row>
    <x:row r="216" ht="40.5" customHeight="1">
      <x:c r="A216" s="74" t="n">
        <x:v>212</x:v>
      </x:c>
      <x:c r="B216" s="74" t="str">
        <x:v>XP-212</x:v>
      </x:c>
      <x:c r="C216" s="74" t="str">
        <x:v>Abrasive cord saw</x:v>
      </x:c>
      <x:c r="D216" s="74" t="str">
        <x:v>Hafted cutting tools</x:v>
      </x:c>
      <x:c r="E216" s="74" t="str">
        <x:v>Natural Tools v0.2</x:v>
      </x:c>
      <x:c r="F216" s="74" t="str">
        <x:v>H2</x:v>
      </x:c>
      <x:c r="G216" s="74" t="str">
        <x:v>Friction-cut shell; bone; soft wood; plastic salvage</x:v>
      </x:c>
      <x:c r="H216" s="74" t="str">
        <x:v>Proposed</x:v>
      </x:c>
      <x:c r="I216" s="86" t="str">
        <x:v>Needs Director review</x:v>
      </x:c>
      <x:c r="J216" s="83" t="str"/>
    </x:row>
    <x:row r="217" ht="40.5" customHeight="1">
      <x:c r="A217" s="74" t="n">
        <x:v>213</x:v>
      </x:c>
      <x:c r="B217" s="74" t="str">
        <x:v>XP-213</x:v>
      </x:c>
      <x:c r="C217" s="74" t="str">
        <x:v>Hafted stone adze</x:v>
      </x:c>
      <x:c r="D217" s="74" t="str">
        <x:v>Hafted cutting tools</x:v>
      </x:c>
      <x:c r="E217" s="74" t="str">
        <x:v>Natural Tools v0.2</x:v>
      </x:c>
      <x:c r="F217" s="74" t="str">
        <x:v>H2</x:v>
      </x:c>
      <x:c r="G217" s="74" t="str">
        <x:v>Hew faces; hollow troughs; flatten boards</x:v>
      </x:c>
      <x:c r="H217" s="74" t="str">
        <x:v>Proposed</x:v>
      </x:c>
      <x:c r="I217" s="86" t="str">
        <x:v>Needs Director review</x:v>
      </x:c>
      <x:c r="J217" s="83" t="str"/>
    </x:row>
    <x:row r="218" ht="40.5" customHeight="1">
      <x:c r="A218" s="74" t="n">
        <x:v>214</x:v>
      </x:c>
      <x:c r="B218" s="74" t="str">
        <x:v>XP-214</x:v>
      </x:c>
      <x:c r="C218" s="74" t="str">
        <x:v>Hafted stone axe</x:v>
      </x:c>
      <x:c r="D218" s="74" t="str">
        <x:v>Hafted cutting tools</x:v>
      </x:c>
      <x:c r="E218" s="74" t="str">
        <x:v>Natural Tools v0.2</x:v>
      </x:c>
      <x:c r="F218" s="74" t="str">
        <x:v>H2</x:v>
      </x:c>
      <x:c r="G218" s="74" t="str">
        <x:v>Fell small trees; limb; split; rough hew</x:v>
      </x:c>
      <x:c r="H218" s="74" t="str">
        <x:v>Proposed</x:v>
      </x:c>
      <x:c r="I218" s="86" t="str">
        <x:v>Needs Director review</x:v>
      </x:c>
      <x:c r="J218" s="83" t="str"/>
    </x:row>
    <x:row r="219" ht="40.5" customHeight="1">
      <x:c r="A219" s="74" t="n">
        <x:v>215</x:v>
      </x:c>
      <x:c r="B219" s="74" t="str">
        <x:v>XP-215</x:v>
      </x:c>
      <x:c r="C219" s="74" t="str">
        <x:v>Hand brace with stone bit</x:v>
      </x:c>
      <x:c r="D219" s="74" t="str">
        <x:v>Hafted cutting tools</x:v>
      </x:c>
      <x:c r="E219" s="74" t="str">
        <x:v>Natural Tools v0.2</x:v>
      </x:c>
      <x:c r="F219" s="74" t="str">
        <x:v>H2</x:v>
      </x:c>
      <x:c r="G219" s="74" t="str">
        <x:v>Bore aligned larger holes with two-hand control</x:v>
      </x:c>
      <x:c r="H219" s="74" t="str">
        <x:v>Proposed</x:v>
      </x:c>
      <x:c r="I219" s="86" t="str">
        <x:v>Needs Director review</x:v>
      </x:c>
      <x:c r="J219" s="83" t="str"/>
    </x:row>
    <x:row r="220" ht="40.5" customHeight="1">
      <x:c r="A220" s="74" t="n">
        <x:v>216</x:v>
      </x:c>
      <x:c r="B220" s="74" t="str">
        <x:v>XP-216</x:v>
      </x:c>
      <x:c r="C220" s="74" t="str">
        <x:v>Stone chisel</x:v>
      </x:c>
      <x:c r="D220" s="74" t="str">
        <x:v>Hafted cutting tools</x:v>
      </x:c>
      <x:c r="E220" s="74" t="str">
        <x:v>Natural Tools v0.2</x:v>
      </x:c>
      <x:c r="F220" s="74" t="str">
        <x:v>H1</x:v>
      </x:c>
      <x:c r="G220" s="74" t="str">
        <x:v>Cut mortises; split bone; score shell; remove corrosion scale</x:v>
      </x:c>
      <x:c r="H220" s="74" t="str">
        <x:v>Proposed</x:v>
      </x:c>
      <x:c r="I220" s="86" t="str">
        <x:v>Needs Director review</x:v>
      </x:c>
      <x:c r="J220" s="83" t="str"/>
    </x:row>
    <x:row r="221" ht="40.5" customHeight="1">
      <x:c r="A221" s="74" t="n">
        <x:v>217</x:v>
      </x:c>
      <x:c r="B221" s="74" t="str">
        <x:v>XP-217</x:v>
      </x:c>
      <x:c r="C221" s="74" t="str">
        <x:v>Stone drawknife</x:v>
      </x:c>
      <x:c r="D221" s="74" t="str">
        <x:v>Hafted cutting tools</x:v>
      </x:c>
      <x:c r="E221" s="74" t="str">
        <x:v>Natural Tools v0.2</x:v>
      </x:c>
      <x:c r="F221" s="74" t="str">
        <x:v>H2</x:v>
      </x:c>
      <x:c r="G221" s="74" t="str">
        <x:v>Peel bark; taper shafts; true handles</x:v>
      </x:c>
      <x:c r="H221" s="74" t="str">
        <x:v>Proposed</x:v>
      </x:c>
      <x:c r="I221" s="86" t="str">
        <x:v>Needs Director review</x:v>
      </x:c>
      <x:c r="J221" s="83" t="str"/>
    </x:row>
    <x:row r="222" ht="40.5" customHeight="1">
      <x:c r="A222" s="74" t="n">
        <x:v>218</x:v>
      </x:c>
      <x:c r="B222" s="74" t="str">
        <x:v>XP-218</x:v>
      </x:c>
      <x:c r="C222" s="74" t="str">
        <x:v>Stone gouge</x:v>
      </x:c>
      <x:c r="D222" s="74" t="str">
        <x:v>Hafted cutting tools</x:v>
      </x:c>
      <x:c r="E222" s="74" t="str">
        <x:v>Natural Tools v0.2</x:v>
      </x:c>
      <x:c r="F222" s="74" t="str">
        <x:v>H2</x:v>
      </x:c>
      <x:c r="G222" s="74" t="str">
        <x:v>Hollow bowls; channels; ladles; gutters</x:v>
      </x:c>
      <x:c r="H222" s="74" t="str">
        <x:v>Proposed</x:v>
      </x:c>
      <x:c r="I222" s="86" t="str">
        <x:v>Needs Director review</x:v>
      </x:c>
      <x:c r="J222" s="83" t="str"/>
    </x:row>
    <x:row r="223" ht="40.5" customHeight="1">
      <x:c r="A223" s="74" t="n">
        <x:v>219</x:v>
      </x:c>
      <x:c r="B223" s="74" t="str">
        <x:v>XP-219</x:v>
      </x:c>
      <x:c r="C223" s="74" t="str">
        <x:v>Stone pick and mattock</x:v>
      </x:c>
      <x:c r="D223" s="74" t="str">
        <x:v>Hafted cutting tools</x:v>
      </x:c>
      <x:c r="E223" s="74" t="str">
        <x:v>Natural Tools v0.2</x:v>
      </x:c>
      <x:c r="F223" s="74" t="str">
        <x:v>H2</x:v>
      </x:c>
      <x:c r="G223" s="74" t="str">
        <x:v>Break compact soil; pry roots; quarry clay and soft rock</x:v>
      </x:c>
      <x:c r="H223" s="74" t="str">
        <x:v>Proposed</x:v>
      </x:c>
      <x:c r="I223" s="86" t="str">
        <x:v>Needs Director review</x:v>
      </x:c>
      <x:c r="J223" s="83" t="str"/>
    </x:row>
    <x:row r="224" ht="40.5" customHeight="1">
      <x:c r="A224" s="74" t="n">
        <x:v>220</x:v>
      </x:c>
      <x:c r="B224" s="74" t="str">
        <x:v>XP-220</x:v>
      </x:c>
      <x:c r="C224" s="74" t="str">
        <x:v>Fiber-padded grip</x:v>
      </x:c>
      <x:c r="D224" s="74" t="str">
        <x:v>Holding and heat</x:v>
      </x:c>
      <x:c r="E224" s="74" t="str">
        <x:v>Natural Tools v0.2</x:v>
      </x:c>
      <x:c r="F224" s="74" t="str">
        <x:v>H0</x:v>
      </x:c>
      <x:c r="G224" s="74" t="str">
        <x:v>Back sharp flakes; improve tool grip; reduce blisters</x:v>
      </x:c>
      <x:c r="H224" s="74" t="str">
        <x:v>Proposed</x:v>
      </x:c>
      <x:c r="I224" s="86" t="str">
        <x:v>Needs Director review</x:v>
      </x:c>
      <x:c r="J224" s="83" t="str"/>
    </x:row>
    <x:row r="225" ht="40.5" customHeight="1">
      <x:c r="A225" s="74" t="n">
        <x:v>221</x:v>
      </x:c>
      <x:c r="B225" s="74" t="str">
        <x:v>XP-221</x:v>
      </x:c>
      <x:c r="C225" s="74" t="str">
        <x:v>Split-branch tongs</x:v>
      </x:c>
      <x:c r="D225" s="74" t="str">
        <x:v>Holding and heat</x:v>
      </x:c>
      <x:c r="E225" s="74" t="str">
        <x:v>Natural Tools v0.2</x:v>
      </x:c>
      <x:c r="F225" s="74" t="str">
        <x:v>H1</x:v>
      </x:c>
      <x:c r="G225" s="74" t="str">
        <x:v>Handle embers; lift hot stones; hold slippery objects</x:v>
      </x:c>
      <x:c r="H225" s="74" t="str">
        <x:v>Proposed</x:v>
      </x:c>
      <x:c r="I225" s="86" t="str">
        <x:v>Needs Director review</x:v>
      </x:c>
      <x:c r="J225" s="83" t="str"/>
    </x:row>
    <x:row r="226" ht="40.5" customHeight="1">
      <x:c r="A226" s="74" t="n">
        <x:v>222</x:v>
      </x:c>
      <x:c r="B226" s="74" t="str">
        <x:v>XP-222</x:v>
      </x:c>
      <x:c r="C226" s="74" t="str">
        <x:v>Message bottle</x:v>
      </x:c>
      <x:c r="D226" s="74" t="str">
        <x:v>Human trace</x:v>
      </x:c>
      <x:c r="E226" s="74" t="str">
        <x:v>Salvage Manifest v0.2</x:v>
      </x:c>
      <x:c r="F226" s="74" t="str">
        <x:v>H1</x:v>
      </x:c>
      <x:c r="G226" s="74" t="str">
        <x:v>Clue; sealed dry container; dated map fragment</x:v>
      </x:c>
      <x:c r="H226" s="74" t="str">
        <x:v>Proposed</x:v>
      </x:c>
      <x:c r="I226" s="86" t="str">
        <x:v>Needs Director review</x:v>
      </x:c>
      <x:c r="J226" s="83" t="str"/>
    </x:row>
    <x:row r="227" ht="40.5" customHeight="1">
      <x:c r="A227" s="74" t="n">
        <x:v>223</x:v>
      </x:c>
      <x:c r="B227" s="74" t="str">
        <x:v>XP-223</x:v>
      </x:c>
      <x:c r="C227" s="74" t="str">
        <x:v>Lithium battery pack</x:v>
      </x:c>
      <x:c r="D227" s="74" t="str">
        <x:v>Instrument drift</x:v>
      </x:c>
      <x:c r="E227" s="74" t="str">
        <x:v>Salvage Manifest v0.2</x:v>
      </x:c>
      <x:c r="F227" s="74" t="str">
        <x:v>H6</x:v>
      </x:c>
      <x:c r="G227" s="74" t="str">
        <x:v>Electrical storage only if intact and managed</x:v>
      </x:c>
      <x:c r="H227" s="74" t="str">
        <x:v>Proposed</x:v>
      </x:c>
      <x:c r="I227" s="86" t="str">
        <x:v>Needs Director review</x:v>
      </x:c>
      <x:c r="J227" s="83" t="str"/>
    </x:row>
    <x:row r="228" ht="40.5" customHeight="1">
      <x:c r="A228" s="74" t="n">
        <x:v>224</x:v>
      </x:c>
      <x:c r="B228" s="74" t="str">
        <x:v>XP-224</x:v>
      </x:c>
      <x:c r="C228" s="74" t="str">
        <x:v>Weather buoy fragment</x:v>
      </x:c>
      <x:c r="D228" s="74" t="str">
        <x:v>Instrument drift</x:v>
      </x:c>
      <x:c r="E228" s="74" t="str">
        <x:v>Salvage Manifest v0.2</x:v>
      </x:c>
      <x:c r="F228" s="74" t="str">
        <x:v>H3</x:v>
      </x:c>
      <x:c r="G228" s="74" t="str">
        <x:v>Marker; float; instrument donor</x:v>
      </x:c>
      <x:c r="H228" s="74" t="str">
        <x:v>Proposed</x:v>
      </x:c>
      <x:c r="I228" s="86" t="str">
        <x:v>Needs Director review</x:v>
      </x:c>
      <x:c r="J228" s="83" t="str"/>
    </x:row>
    <x:row r="229" ht="40.5" customHeight="1">
      <x:c r="A229" s="74" t="n">
        <x:v>225</x:v>
      </x:c>
      <x:c r="B229" s="74" t="str">
        <x:v>XP-225</x:v>
      </x:c>
      <x:c r="C229" s="74" t="str">
        <x:v>Permanent-magnet generator</x:v>
      </x:c>
      <x:c r="D229" s="74" t="str">
        <x:v>Instrument or boat drift</x:v>
      </x:c>
      <x:c r="E229" s="74" t="str">
        <x:v>Salvage Manifest v0.2</x:v>
      </x:c>
      <x:c r="F229" s="74" t="str">
        <x:v>H4</x:v>
      </x:c>
      <x:c r="G229" s="74" t="str">
        <x:v>Direct low-speed power source; charging system</x:v>
      </x:c>
      <x:c r="H229" s="74" t="str">
        <x:v>Proposed</x:v>
      </x:c>
      <x:c r="I229" s="86" t="str">
        <x:v>Needs Director review</x:v>
      </x:c>
      <x:c r="J229" s="83" t="str"/>
    </x:row>
    <x:row r="230" ht="40.5" customHeight="1">
      <x:c r="A230" s="74" t="n">
        <x:v>226</x:v>
      </x:c>
      <x:c r="B230" s="74" t="str">
        <x:v>XP-226</x:v>
      </x:c>
      <x:c r="C230" s="74" t="str">
        <x:v>Small solar panel</x:v>
      </x:c>
      <x:c r="D230" s="74" t="str">
        <x:v>Instrument or yacht drift</x:v>
      </x:c>
      <x:c r="E230" s="74" t="str">
        <x:v>Salvage Manifest v0.2</x:v>
      </x:c>
      <x:c r="F230" s="74" t="str">
        <x:v>H4</x:v>
      </x:c>
      <x:c r="G230" s="74" t="str">
        <x:v>Generate low-voltage electricity; charge battery through controller</x:v>
      </x:c>
      <x:c r="H230" s="74" t="str">
        <x:v>Proposed</x:v>
      </x:c>
      <x:c r="I230" s="86" t="str">
        <x:v>Needs Director review</x:v>
      </x:c>
      <x:c r="J230" s="83" t="str"/>
    </x:row>
    <x:row r="231" ht="40.5" customHeight="1">
      <x:c r="A231" s="74" t="n">
        <x:v>227</x:v>
      </x:c>
      <x:c r="B231" s="74" t="str">
        <x:v>XP-227</x:v>
      </x:c>
      <x:c r="C231" s="74" t="str">
        <x:v>Coconut shell bailer</x:v>
      </x:c>
      <x:c r="D231" s="74" t="str">
        <x:v>Maritime tools</x:v>
      </x:c>
      <x:c r="E231" s="74" t="str">
        <x:v>Natural Tools v0.2</x:v>
      </x:c>
      <x:c r="F231" s="74" t="str">
        <x:v>H0</x:v>
      </x:c>
      <x:c r="G231" s="74" t="str">
        <x:v>Remove water from raft; canoe; pit; or container</x:v>
      </x:c>
      <x:c r="H231" s="74" t="str">
        <x:v>Proposed</x:v>
      </x:c>
      <x:c r="I231" s="86" t="str">
        <x:v>Needs Director review</x:v>
      </x:c>
      <x:c r="J231" s="83" t="str"/>
    </x:row>
    <x:row r="232" ht="40.5" customHeight="1">
      <x:c r="A232" s="74" t="n">
        <x:v>228</x:v>
      </x:c>
      <x:c r="B232" s="74" t="str">
        <x:v>XP-228</x:v>
      </x:c>
      <x:c r="C232" s="74" t="str">
        <x:v>Paddle</x:v>
      </x:c>
      <x:c r="D232" s="74" t="str">
        <x:v>Maritime tools</x:v>
      </x:c>
      <x:c r="E232" s="74" t="str">
        <x:v>Natural Tools v0.2</x:v>
      </x:c>
      <x:c r="F232" s="74" t="str">
        <x:v>H2</x:v>
      </x:c>
      <x:c r="G232" s="74" t="str">
        <x:v>Propel raft or canoe; brace; steer</x:v>
      </x:c>
      <x:c r="H232" s="74" t="str">
        <x:v>Proposed</x:v>
      </x:c>
      <x:c r="I232" s="86" t="str">
        <x:v>Needs Director review</x:v>
      </x:c>
      <x:c r="J232" s="83" t="str"/>
    </x:row>
    <x:row r="233" ht="40.5" customHeight="1">
      <x:c r="A233" s="74" t="n">
        <x:v>229</x:v>
      </x:c>
      <x:c r="B233" s="74" t="str">
        <x:v>XP-229</x:v>
      </x:c>
      <x:c r="C233" s="74" t="str">
        <x:v>Pole hook</x:v>
      </x:c>
      <x:c r="D233" s="74" t="str">
        <x:v>Maritime tools</x:v>
      </x:c>
      <x:c r="E233" s="74" t="str">
        <x:v>Natural Tools v0.2</x:v>
      </x:c>
      <x:c r="F233" s="74" t="str">
        <x:v>H1</x:v>
      </x:c>
      <x:c r="G233" s="74" t="str">
        <x:v>Pull floating salvage; push off rocks; place lines</x:v>
      </x:c>
      <x:c r="H233" s="74" t="str">
        <x:v>Proposed</x:v>
      </x:c>
      <x:c r="I233" s="86" t="str">
        <x:v>Needs Director review</x:v>
      </x:c>
      <x:c r="J233" s="83" t="str"/>
    </x:row>
    <x:row r="234" ht="40.5" customHeight="1">
      <x:c r="A234" s="74" t="n">
        <x:v>230</x:v>
      </x:c>
      <x:c r="B234" s="74" t="str">
        <x:v>XP-230</x:v>
      </x:c>
      <x:c r="C234" s="74" t="str">
        <x:v>Raft lashing tensioner</x:v>
      </x:c>
      <x:c r="D234" s="74" t="str">
        <x:v>Maritime tools</x:v>
      </x:c>
      <x:c r="E234" s="74" t="str">
        <x:v>Natural Tools v0.2</x:v>
      </x:c>
      <x:c r="F234" s="74" t="str">
        <x:v>H2</x:v>
      </x:c>
      <x:c r="G234" s="74" t="str">
        <x:v>Tighten and retighten raft joints</x:v>
      </x:c>
      <x:c r="H234" s="74" t="str">
        <x:v>Proposed</x:v>
      </x:c>
      <x:c r="I234" s="86" t="str">
        <x:v>Needs Director review</x:v>
      </x:c>
      <x:c r="J234" s="83" t="str"/>
    </x:row>
    <x:row r="235" ht="40.5" customHeight="1">
      <x:c r="A235" s="74" t="n">
        <x:v>231</x:v>
      </x:c>
      <x:c r="B235" s="74" t="str">
        <x:v>XP-231</x:v>
      </x:c>
      <x:c r="C235" s="74" t="str">
        <x:v>Stone anchor</x:v>
      </x:c>
      <x:c r="D235" s="74" t="str">
        <x:v>Maritime tools</x:v>
      </x:c>
      <x:c r="E235" s="74" t="str">
        <x:v>Natural Tools v0.2</x:v>
      </x:c>
      <x:c r="F235" s="74" t="str">
        <x:v>H2</x:v>
      </x:c>
      <x:c r="G235" s="74" t="str">
        <x:v>Hold traps; raft; marker buoy; or line</x:v>
      </x:c>
      <x:c r="H235" s="74" t="str">
        <x:v>Proposed</x:v>
      </x:c>
      <x:c r="I235" s="86" t="str">
        <x:v>Needs Director review</x:v>
      </x:c>
      <x:c r="J235" s="83" t="str"/>
    </x:row>
    <x:row r="236" ht="40.5" customHeight="1">
      <x:c r="A236" s="74" t="n">
        <x:v>232</x:v>
      </x:c>
      <x:c r="B236" s="74" t="str">
        <x:v>XP-232</x:v>
      </x:c>
      <x:c r="C236" s="74" t="str">
        <x:v>alkaline mineral</x:v>
      </x:c>
      <x:c r="D236" s="74" t="str">
        <x:v>Material form</x:v>
      </x:c>
      <x:c r="E236" s="74" t="str">
        <x:v>Material Routes v0.2</x:v>
      </x:c>
      <x:c r="F236" s="74" t="str">
        <x:v>H2</x:v>
      </x:c>
      <x:c r="G236" s="74" t="str">
        <x:v>Clean greasy tools; amend acidic soil after testing; Lye route; soap; glass or glaze flux</x:v>
      </x:c>
      <x:c r="H236" s="74" t="str">
        <x:v>Proposed</x:v>
      </x:c>
      <x:c r="I236" s="86" t="str">
        <x:v>Needs Director review</x:v>
      </x:c>
      <x:c r="J236" s="83" t="str"/>
    </x:row>
    <x:row r="237" ht="40.5" customHeight="1">
      <x:c r="A237" s="74" t="n">
        <x:v>233</x:v>
      </x:c>
      <x:c r="B237" s="74" t="str">
        <x:v>XP-233</x:v>
      </x:c>
      <x:c r="C237" s="74" t="str">
        <x:v>animal fiber</x:v>
      </x:c>
      <x:c r="D237" s="74" t="str">
        <x:v>Material form</x:v>
      </x:c>
      <x:c r="E237" s="74" t="str">
        <x:v>Material Routes v0.2</x:v>
      </x:c>
      <x:c r="F237" s="74" t="str">
        <x:v>H1</x:v>
      </x:c>
      <x:c r="G237" s="74" t="str">
        <x:v>Insulation; stuffing; felt; Yarn; brush; cord blend</x:v>
      </x:c>
      <x:c r="H237" s="74" t="str">
        <x:v>Proposed</x:v>
      </x:c>
      <x:c r="I237" s="86" t="str">
        <x:v>Needs Director review</x:v>
      </x:c>
      <x:c r="J237" s="83" t="str"/>
    </x:row>
    <x:row r="238" ht="40.5" customHeight="1">
      <x:c r="A238" s="74" t="n">
        <x:v>234</x:v>
      </x:c>
      <x:c r="B238" s="74" t="str">
        <x:v>XP-234</x:v>
      </x:c>
      <x:c r="C238" s="74" t="str">
        <x:v>animal membrane</x:v>
      </x:c>
      <x:c r="D238" s="74" t="str">
        <x:v>Material form</x:v>
      </x:c>
      <x:c r="E238" s="74" t="str">
        <x:v>Material Routes v0.2</x:v>
      </x:c>
      <x:c r="F238" s="74" t="str">
        <x:v>H3</x:v>
      </x:c>
      <x:c r="G238" s="74" t="str">
        <x:v>Food casing where culturally and hygienically valid; Cord; bowstring; container membrane</x:v>
      </x:c>
      <x:c r="H238" s="74" t="str">
        <x:v>Proposed</x:v>
      </x:c>
      <x:c r="I238" s="86" t="str">
        <x:v>Needs Director review</x:v>
      </x:c>
      <x:c r="J238" s="83" t="str"/>
    </x:row>
    <x:row r="239" ht="40.5" customHeight="1">
      <x:c r="A239" s="74" t="n">
        <x:v>235</x:v>
      </x:c>
      <x:c r="B239" s="74" t="str">
        <x:v>XP-235</x:v>
      </x:c>
      <x:c r="C239" s="74" t="str">
        <x:v>animal membrane vessel</x:v>
      </x:c>
      <x:c r="D239" s="74" t="str">
        <x:v>Material form</x:v>
      </x:c>
      <x:c r="E239" s="74" t="str">
        <x:v>Material Routes v0.2</x:v>
      </x:c>
      <x:c r="F239" s="74" t="str">
        <x:v>H3</x:v>
      </x:c>
      <x:c r="G239" s="74" t="str">
        <x:v>Water or wet-cooking vessel after expert cleaning; Float; pouch; bellows membrane</x:v>
      </x:c>
      <x:c r="H239" s="74" t="str">
        <x:v>Proposed</x:v>
      </x:c>
      <x:c r="I239" s="86" t="str">
        <x:v>Needs Director review</x:v>
      </x:c>
      <x:c r="J239" s="83" t="str"/>
    </x:row>
    <x:row r="240" ht="40.5" customHeight="1">
      <x:c r="A240" s="74" t="n">
        <x:v>236</x:v>
      </x:c>
      <x:c r="B240" s="74" t="str">
        <x:v>XP-236</x:v>
      </x:c>
      <x:c r="C240" s="74" t="str">
        <x:v>animal tendon</x:v>
      </x:c>
      <x:c r="D240" s="74" t="str">
        <x:v>Material form</x:v>
      </x:c>
      <x:c r="E240" s="74" t="str">
        <x:v>Material Routes v0.2</x:v>
      </x:c>
      <x:c r="F240" s="74" t="str">
        <x:v>H2</x:v>
      </x:c>
      <x:c r="G240" s="74" t="str">
        <x:v>Fine strong binding; bow backing; sewing thread; Composite tool hafting</x:v>
      </x:c>
      <x:c r="H240" s="74" t="str">
        <x:v>Proposed</x:v>
      </x:c>
      <x:c r="I240" s="86" t="str">
        <x:v>Needs Director review</x:v>
      </x:c>
      <x:c r="J240" s="83" t="str"/>
    </x:row>
    <x:row r="241" ht="40.5" customHeight="1">
      <x:c r="A241" s="74" t="n">
        <x:v>237</x:v>
      </x:c>
      <x:c r="B241" s="74" t="str">
        <x:v>XP-237</x:v>
      </x:c>
      <x:c r="C241" s="74" t="str">
        <x:v>carbon</x:v>
      </x:c>
      <x:c r="D241" s="74" t="str">
        <x:v>Material form</x:v>
      </x:c>
      <x:c r="E241" s="74" t="str">
        <x:v>Material Routes v0.2</x:v>
      </x:c>
      <x:c r="F241" s="74" t="str">
        <x:v>H2</x:v>
      </x:c>
      <x:c r="G241" s="74" t="str">
        <x:v>Clean fuel; pigment; odor adsorbent prefilter; Forge fuel; electrode experiments</x:v>
      </x:c>
      <x:c r="H241" s="74" t="str">
        <x:v>Proposed</x:v>
      </x:c>
      <x:c r="I241" s="86" t="str">
        <x:v>Needs Director review</x:v>
      </x:c>
      <x:c r="J241" s="83" t="str"/>
    </x:row>
    <x:row r="242" ht="40.5" customHeight="1">
      <x:c r="A242" s="74" t="n">
        <x:v>238</x:v>
      </x:c>
      <x:c r="B242" s="74" t="str">
        <x:v>XP-238</x:v>
      </x:c>
      <x:c r="C242" s="74" t="str">
        <x:v>caustic mineral</x:v>
      </x:c>
      <x:c r="D242" s="74" t="str">
        <x:v>Material form</x:v>
      </x:c>
      <x:c r="E242" s="74" t="str">
        <x:v>Material Routes v0.2</x:v>
      </x:c>
      <x:c r="F242" s="74" t="str">
        <x:v>H4</x:v>
      </x:c>
      <x:c r="G242" s="74" t="str">
        <x:v>Mortar; whitewash; hide dehairing process; Soil amendment; sanitation surfaces</x:v>
      </x:c>
      <x:c r="H242" s="74" t="str">
        <x:v>Proposed</x:v>
      </x:c>
      <x:c r="I242" s="86" t="str">
        <x:v>Needs Director review</x:v>
      </x:c>
      <x:c r="J242" s="83" t="str"/>
    </x:row>
    <x:row r="243" ht="40.5" customHeight="1">
      <x:c r="A243" s="74" t="n">
        <x:v>239</x:v>
      </x:c>
      <x:c r="B243" s="74" t="str">
        <x:v>XP-239</x:v>
      </x:c>
      <x:c r="C243" s="74" t="str">
        <x:v>chitin mineral</x:v>
      </x:c>
      <x:c r="D243" s="74" t="str">
        <x:v>Material form</x:v>
      </x:c>
      <x:c r="E243" s="74" t="str">
        <x:v>Material Routes v0.2</x:v>
      </x:c>
      <x:c r="F243" s="74" t="str">
        <x:v>H2</x:v>
      </x:c>
      <x:c r="G243" s="74" t="str">
        <x:v>Bait; small scoop; pigment; Chitin or lime experiment; soil amendment</x:v>
      </x:c>
      <x:c r="H243" s="74" t="str">
        <x:v>Proposed</x:v>
      </x:c>
      <x:c r="I243" s="86" t="str">
        <x:v>Needs Director review</x:v>
      </x:c>
      <x:c r="J243" s="83" t="str"/>
    </x:row>
    <x:row r="244" ht="40.5" customHeight="1">
      <x:c r="A244" s="74" t="n">
        <x:v>240</x:v>
      </x:c>
      <x:c r="B244" s="74" t="str">
        <x:v>XP-240</x:v>
      </x:c>
      <x:c r="C244" s="74" t="str">
        <x:v>coarse plant fiber</x:v>
      </x:c>
      <x:c r="D244" s="74" t="str">
        <x:v>Material form</x:v>
      </x:c>
      <x:c r="E244" s="74" t="str">
        <x:v>Material Routes v0.2</x:v>
      </x:c>
      <x:c r="F244" s="74" t="str">
        <x:v>H1</x:v>
      </x:c>
      <x:c r="G244" s="74" t="str">
        <x:v>Cord; rope; brush; mat; Net; bag; mattress fill; erosion mesh</x:v>
      </x:c>
      <x:c r="H244" s="74" t="str">
        <x:v>Proposed</x:v>
      </x:c>
      <x:c r="I244" s="86" t="str">
        <x:v>Needs Director review</x:v>
      </x:c>
      <x:c r="J244" s="83" t="str"/>
    </x:row>
    <x:row r="245" ht="40.5" customHeight="1">
      <x:c r="A245" s="74" t="n">
        <x:v>241</x:v>
      </x:c>
      <x:c r="B245" s="74" t="str">
        <x:v>XP-241</x:v>
      </x:c>
      <x:c r="C245" s="74" t="str">
        <x:v>coir feedstock</x:v>
      </x:c>
      <x:c r="D245" s="74" t="str">
        <x:v>Material form</x:v>
      </x:c>
      <x:c r="E245" s="74" t="str">
        <x:v>Material Routes v0.2</x:v>
      </x:c>
      <x:c r="F245" s="74" t="str">
        <x:v>H1</x:v>
      </x:c>
      <x:c r="G245" s="74" t="str">
        <x:v>Fuel; scrubber; mulch; Fiber; pith; rope; mats</x:v>
      </x:c>
      <x:c r="H245" s="74" t="str">
        <x:v>Proposed</x:v>
      </x:c>
      <x:c r="I245" s="86" t="str">
        <x:v>Needs Director review</x:v>
      </x:c>
      <x:c r="J245" s="83" t="str"/>
    </x:row>
    <x:row r="246" ht="40.5" customHeight="1">
      <x:c r="A246" s="74" t="n">
        <x:v>242</x:v>
      </x:c>
      <x:c r="B246" s="74" t="str">
        <x:v>XP-242</x:v>
      </x:c>
      <x:c r="C246" s="74" t="str">
        <x:v>copper alloy hardware</x:v>
      </x:c>
      <x:c r="D246" s="74" t="str">
        <x:v>Material form</x:v>
      </x:c>
      <x:c r="E246" s="74" t="str">
        <x:v>Material Routes v0.2</x:v>
      </x:c>
      <x:c r="F246" s="74" t="str">
        <x:v>H3</x:v>
      </x:c>
      <x:c r="G246" s="74" t="str">
        <x:v>Water fitting; bushing; nozzle; Instrument part; small casting stock</x:v>
      </x:c>
      <x:c r="H246" s="74" t="str">
        <x:v>Proposed</x:v>
      </x:c>
      <x:c r="I246" s="86" t="str">
        <x:v>Needs Director review</x:v>
      </x:c>
      <x:c r="J246" s="83" t="str"/>
    </x:row>
    <x:row r="247" ht="40.5" customHeight="1">
      <x:c r="A247" s="74" t="n">
        <x:v>243</x:v>
      </x:c>
      <x:c r="B247" s="74" t="str">
        <x:v>XP-243</x:v>
      </x:c>
      <x:c r="C247" s="74" t="str">
        <x:v>dried untanned hide</x:v>
      </x:c>
      <x:c r="D247" s="74" t="str">
        <x:v>Material form</x:v>
      </x:c>
      <x:c r="E247" s="74" t="str">
        <x:v>Material Routes v0.2</x:v>
      </x:c>
      <x:c r="F247" s="74" t="str">
        <x:v>H2</x:v>
      </x:c>
      <x:c r="G247" s="74" t="str">
        <x:v>Strong lashings; bindings; drum or container; Shield facing; hinge; repair patch</x:v>
      </x:c>
      <x:c r="H247" s="74" t="str">
        <x:v>Proposed</x:v>
      </x:c>
      <x:c r="I247" s="86" t="str">
        <x:v>Needs Director review</x:v>
      </x:c>
      <x:c r="J247" s="83" t="str"/>
    </x:row>
    <x:row r="248" ht="40.5" customHeight="1">
      <x:c r="A248" s="74" t="n">
        <x:v>244</x:v>
      </x:c>
      <x:c r="B248" s="74" t="str">
        <x:v>XP-244</x:v>
      </x:c>
      <x:c r="C248" s="74" t="str">
        <x:v>elastic metal</x:v>
      </x:c>
      <x:c r="D248" s="74" t="str">
        <x:v>Material form</x:v>
      </x:c>
      <x:c r="E248" s="74" t="str">
        <x:v>Material Routes v0.2</x:v>
      </x:c>
      <x:c r="F248" s="74" t="str">
        <x:v>H3</x:v>
      </x:c>
      <x:c r="G248" s="74" t="str">
        <x:v>Latch; valve; shock mount; tensioner; Scale; timer; governor experiment</x:v>
      </x:c>
      <x:c r="H248" s="74" t="str">
        <x:v>Proposed</x:v>
      </x:c>
      <x:c r="I248" s="86" t="str">
        <x:v>Needs Director review</x:v>
      </x:c>
      <x:c r="J248" s="83" t="str"/>
    </x:row>
    <x:row r="249" ht="40.5" customHeight="1">
      <x:c r="A249" s="74" t="n">
        <x:v>245</x:v>
      </x:c>
      <x:c r="B249" s="74" t="str">
        <x:v>XP-245</x:v>
      </x:c>
      <x:c r="C249" s="74" t="str">
        <x:v>elastomer</x:v>
      </x:c>
      <x:c r="D249" s="74" t="str">
        <x:v>Material form</x:v>
      </x:c>
      <x:c r="E249" s="74" t="str">
        <x:v>Material Routes v0.2</x:v>
      </x:c>
      <x:c r="F249" s="74" t="str">
        <x:v>H2</x:v>
      </x:c>
      <x:c r="G249" s="74" t="str">
        <x:v>Gasket; grip; hinge; sole; Valve flap; vibration mount</x:v>
      </x:c>
      <x:c r="H249" s="74" t="str">
        <x:v>Proposed</x:v>
      </x:c>
      <x:c r="I249" s="86" t="str">
        <x:v>Needs Director review</x:v>
      </x:c>
      <x:c r="J249" s="83" t="str"/>
    </x:row>
    <x:row r="250" ht="40.5" customHeight="1">
      <x:c r="A250" s="74" t="n">
        <x:v>246</x:v>
      </x:c>
      <x:c r="B250" s="74" t="str">
        <x:v>XP-246</x:v>
      </x:c>
      <x:c r="C250" s="74" t="str">
        <x:v>electrochemical storage</x:v>
      </x:c>
      <x:c r="D250" s="74" t="str">
        <x:v>Material form</x:v>
      </x:c>
      <x:c r="E250" s="74" t="str">
        <x:v>Material Routes v0.2</x:v>
      </x:c>
      <x:c r="F250" s="74" t="str">
        <x:v>H5</x:v>
      </x:c>
      <x:c r="G250" s="74" t="str">
        <x:v>Buffer generation; start engines; power lights; Lead recycle under specialist controls</x:v>
      </x:c>
      <x:c r="H250" s="74" t="str">
        <x:v>Proposed</x:v>
      </x:c>
      <x:c r="I250" s="86" t="str">
        <x:v>Needs Director review</x:v>
      </x:c>
      <x:c r="J250" s="83" t="str"/>
    </x:row>
    <x:row r="251" ht="40.5" customHeight="1">
      <x:c r="A251" s="74" t="n">
        <x:v>247</x:v>
      </x:c>
      <x:c r="B251" s="74" t="str">
        <x:v>XP-247</x:v>
      </x:c>
      <x:c r="C251" s="74" t="str">
        <x:v>electromechanical</x:v>
      </x:c>
      <x:c r="D251" s="74" t="str">
        <x:v>Material form</x:v>
      </x:c>
      <x:c r="E251" s="74" t="str">
        <x:v>Material Routes v0.2</x:v>
      </x:c>
      <x:c r="F251" s="74" t="str">
        <x:v>H4</x:v>
      </x:c>
      <x:c r="G251" s="74" t="str">
        <x:v>Mechanical power from electricity; Generator experiment; fan; pump; lathe</x:v>
      </x:c>
      <x:c r="H251" s="74" t="str">
        <x:v>Proposed</x:v>
      </x:c>
      <x:c r="I251" s="86" t="str">
        <x:v>Needs Director review</x:v>
      </x:c>
      <x:c r="J251" s="83" t="str"/>
    </x:row>
    <x:row r="252" ht="40.5" customHeight="1">
      <x:c r="A252" s="74" t="n">
        <x:v>248</x:v>
      </x:c>
      <x:c r="B252" s="74" t="str">
        <x:v>XP-248</x:v>
      </x:c>
      <x:c r="C252" s="74" t="str">
        <x:v>electronic assembly</x:v>
      </x:c>
      <x:c r="D252" s="74" t="str">
        <x:v>Material form</x:v>
      </x:c>
      <x:c r="E252" s="74" t="str">
        <x:v>Material Routes v0.2</x:v>
      </x:c>
      <x:c r="F252" s="74" t="str">
        <x:v>H5</x:v>
      </x:c>
      <x:c r="G252" s="74" t="str">
        <x:v>Repair radio; regulator; charger if understood; Component donor; copper recovery in advanced route</x:v>
      </x:c>
      <x:c r="H252" s="74" t="str">
        <x:v>Proposed</x:v>
      </x:c>
      <x:c r="I252" s="86" t="str">
        <x:v>Needs Director review</x:v>
      </x:c>
      <x:c r="J252" s="83" t="str"/>
    </x:row>
    <x:row r="253" ht="40.5" customHeight="1">
      <x:c r="A253" s="74" t="n">
        <x:v>249</x:v>
      </x:c>
      <x:c r="B253" s="74" t="str">
        <x:v>XP-249</x:v>
      </x:c>
      <x:c r="C253" s="74" t="str">
        <x:v>engineered textile</x:v>
      </x:c>
      <x:c r="D253" s="74" t="str">
        <x:v>Material form</x:v>
      </x:c>
      <x:c r="E253" s="74" t="str">
        <x:v>Material Routes v0.2</x:v>
      </x:c>
      <x:c r="F253" s="74" t="str">
        <x:v>H2</x:v>
      </x:c>
      <x:c r="G253" s="74" t="str">
        <x:v>Sail repair; rain catch; shade; Strong bags; straps; wind rotor experiment</x:v>
      </x:c>
      <x:c r="H253" s="74" t="str">
        <x:v>Proposed</x:v>
      </x:c>
      <x:c r="I253" s="86" t="str">
        <x:v>Needs Director review</x:v>
      </x:c>
      <x:c r="J253" s="83" t="str"/>
    </x:row>
    <x:row r="254" ht="40.5" customHeight="1">
      <x:c r="A254" s="74" t="n">
        <x:v>250</x:v>
      </x:c>
      <x:c r="B254" s="74" t="str">
        <x:v>XP-250</x:v>
      </x:c>
      <x:c r="C254" s="74" t="str">
        <x:v>ferrous sheet</x:v>
      </x:c>
      <x:c r="D254" s="74" t="str">
        <x:v>Material form</x:v>
      </x:c>
      <x:c r="E254" s="74" t="str">
        <x:v>Material Routes v0.2</x:v>
      </x:c>
      <x:c r="F254" s="74" t="str">
        <x:v>H3</x:v>
      </x:c>
      <x:c r="G254" s="74" t="str">
        <x:v>Stove; bracket; roof; shield; work surface; Duct; hopper; tank that is not pressurized</x:v>
      </x:c>
      <x:c r="H254" s="74" t="str">
        <x:v>Proposed</x:v>
      </x:c>
      <x:c r="I254" s="86" t="str">
        <x:v>Needs Director review</x:v>
      </x:c>
      <x:c r="J254" s="83" t="str"/>
    </x:row>
    <x:row r="255" ht="40.5" customHeight="1">
      <x:c r="A255" s="74" t="n">
        <x:v>251</x:v>
      </x:c>
      <x:c r="B255" s="74" t="str">
        <x:v>XP-251</x:v>
      </x:c>
      <x:c r="C255" s="74" t="str">
        <x:v>fine plant residue</x:v>
      </x:c>
      <x:c r="D255" s="74" t="str">
        <x:v>Material form</x:v>
      </x:c>
      <x:c r="E255" s="74" t="str">
        <x:v>Material Routes v0.2</x:v>
      </x:c>
      <x:c r="F255" s="74" t="str">
        <x:v>H1</x:v>
      </x:c>
      <x:c r="G255" s="74" t="str">
        <x:v>Mulch; moisture-retaining bed; Compost; seed starter after salt washing</x:v>
      </x:c>
      <x:c r="H255" s="74" t="str">
        <x:v>Proposed</x:v>
      </x:c>
      <x:c r="I255" s="86" t="str">
        <x:v>Needs Director review</x:v>
      </x:c>
      <x:c r="J255" s="83" t="str"/>
    </x:row>
    <x:row r="256" ht="40.5" customHeight="1">
      <x:c r="A256" s="74" t="n">
        <x:v>252</x:v>
      </x:c>
      <x:c r="B256" s="74" t="str">
        <x:v>XP-252</x:v>
      </x:c>
      <x:c r="C256" s="74" t="str">
        <x:v>flat fastener</x:v>
      </x:c>
      <x:c r="D256" s="74" t="str">
        <x:v>Material form</x:v>
      </x:c>
      <x:c r="E256" s="74" t="str">
        <x:v>Material Routes v0.2</x:v>
      </x:c>
      <x:c r="F256" s="74" t="str">
        <x:v>H1</x:v>
      </x:c>
      <x:c r="G256" s="74" t="str">
        <x:v>Spread load; shim; spacer; Terminal lug; gasket backup; counterweight</x:v>
      </x:c>
      <x:c r="H256" s="74" t="str">
        <x:v>Proposed</x:v>
      </x:c>
      <x:c r="I256" s="86" t="str">
        <x:v>Needs Director review</x:v>
      </x:c>
      <x:c r="J256" s="83" t="str"/>
    </x:row>
    <x:row r="257" ht="40.5" customHeight="1">
      <x:c r="A257" s="74" t="n">
        <x:v>253</x:v>
      </x:c>
      <x:c r="B257" s="74" t="str">
        <x:v>XP-253</x:v>
      </x:c>
      <x:c r="C257" s="74" t="str">
        <x:v>food or chemical vessel</x:v>
      </x:c>
      <x:c r="D257" s="74" t="str">
        <x:v>Material form</x:v>
      </x:c>
      <x:c r="E257" s="74" t="str">
        <x:v>Material Routes v0.2</x:v>
      </x:c>
      <x:c r="F257" s="74" t="str">
        <x:v>H2</x:v>
      </x:c>
      <x:c r="G257" s="74" t="str">
        <x:v>Cookware or clean storage after provenance proof; Sterilizer; distiller body; technical bath</x:v>
      </x:c>
      <x:c r="H257" s="74" t="str">
        <x:v>Proposed</x:v>
      </x:c>
      <x:c r="I257" s="86" t="str">
        <x:v>Needs Director review</x:v>
      </x:c>
      <x:c r="J257" s="83" t="str"/>
    </x:row>
    <x:row r="258" ht="40.5" customHeight="1">
      <x:c r="A258" s="74" t="n">
        <x:v>254</x:v>
      </x:c>
      <x:c r="B258" s="74" t="str">
        <x:v>XP-254</x:v>
      </x:c>
      <x:c r="C258" s="74" t="str">
        <x:v>fresh food</x:v>
      </x:c>
      <x:c r="D258" s="74" t="str">
        <x:v>Material form</x:v>
      </x:c>
      <x:c r="E258" s="74" t="str">
        <x:v>Material Routes v0.2</x:v>
      </x:c>
      <x:c r="F258" s="74" t="str">
        <x:v>H0</x:v>
      </x:c>
      <x:c r="G258" s="74" t="str">
        <x:v>Eat; cook; press for milk; Dry as ration; bait</x:v>
      </x:c>
      <x:c r="H258" s="74" t="str">
        <x:v>Proposed</x:v>
      </x:c>
      <x:c r="I258" s="86" t="str">
        <x:v>Needs Director review</x:v>
      </x:c>
      <x:c r="J258" s="83" t="str"/>
    </x:row>
    <x:row r="259" ht="40.5" customHeight="1">
      <x:c r="A259" s="74" t="n">
        <x:v>255</x:v>
      </x:c>
      <x:c r="B259" s="74" t="str">
        <x:v>XP-255</x:v>
      </x:c>
      <x:c r="C259" s="74" t="str">
        <x:v>fresh lipid</x:v>
      </x:c>
      <x:c r="D259" s="74" t="str">
        <x:v>Material form</x:v>
      </x:c>
      <x:c r="E259" s="74" t="str">
        <x:v>Material Routes v0.2</x:v>
      </x:c>
      <x:c r="F259" s="74" t="str">
        <x:v>H1</x:v>
      </x:c>
      <x:c r="G259" s="74" t="str">
        <x:v>Food where appropriate; preserve calories; Tallow; soap; lamp fuel; leather dressing</x:v>
      </x:c>
      <x:c r="H259" s="74" t="str">
        <x:v>Proposed</x:v>
      </x:c>
      <x:c r="I259" s="86" t="str">
        <x:v>Needs Director review</x:v>
      </x:c>
      <x:c r="J259" s="83" t="str"/>
    </x:row>
    <x:row r="260" ht="40.5" customHeight="1">
      <x:c r="A260" s="74" t="n">
        <x:v>256</x:v>
      </x:c>
      <x:c r="B260" s="74" t="str">
        <x:v>XP-256</x:v>
      </x:c>
      <x:c r="C260" s="74" t="str">
        <x:v>fresh liquid</x:v>
      </x:c>
      <x:c r="D260" s="74" t="str">
        <x:v>Material form</x:v>
      </x:c>
      <x:c r="E260" s="74" t="str">
        <x:v>Material Routes v0.2</x:v>
      </x:c>
      <x:c r="F260" s="74" t="str">
        <x:v>H0</x:v>
      </x:c>
      <x:c r="G260" s="74" t="str">
        <x:v>Drink only from sound unopened nut; Starter liquid for cooking</x:v>
      </x:c>
      <x:c r="H260" s="74" t="str">
        <x:v>Proposed</x:v>
      </x:c>
      <x:c r="I260" s="86" t="str">
        <x:v>Needs Director review</x:v>
      </x:c>
      <x:c r="J260" s="83" t="str"/>
    </x:row>
    <x:row r="261" ht="40.5" customHeight="1">
      <x:c r="A261" s="74" t="n">
        <x:v>257</x:v>
      </x:c>
      <x:c r="B261" s="74" t="str">
        <x:v>XP-257</x:v>
      </x:c>
      <x:c r="C261" s="74" t="str">
        <x:v>fresh skin</x:v>
      </x:c>
      <x:c r="D261" s="74" t="str">
        <x:v>Material form</x:v>
      </x:c>
      <x:c r="E261" s="74" t="str">
        <x:v>Material Routes v0.2</x:v>
      </x:c>
      <x:c r="F261" s="74" t="str">
        <x:v>H1</x:v>
      </x:c>
      <x:c r="G261" s="74" t="str">
        <x:v>Immediate shelter or wrap only briefly; Rawhide; fur-on hide; leather</x:v>
      </x:c>
      <x:c r="H261" s="74" t="str">
        <x:v>Proposed</x:v>
      </x:c>
      <x:c r="I261" s="86" t="str">
        <x:v>Needs Director review</x:v>
      </x:c>
      <x:c r="J261" s="83" t="str"/>
    </x:row>
    <x:row r="262" ht="40.5" customHeight="1">
      <x:c r="A262" s="74" t="n">
        <x:v>258</x:v>
      </x:c>
      <x:c r="B262" s="74" t="str">
        <x:v>XP-258</x:v>
      </x:c>
      <x:c r="C262" s="74" t="str">
        <x:v>glass</x:v>
      </x:c>
      <x:c r="D262" s="74" t="str">
        <x:v>Material form</x:v>
      </x:c>
      <x:c r="E262" s="74" t="str">
        <x:v>Material Routes v0.2</x:v>
      </x:c>
      <x:c r="F262" s="74" t="str">
        <x:v>H2</x:v>
      </x:c>
      <x:c r="G262" s="74" t="str">
        <x:v>Window; shield; flat reference; Solar enclosure; greenhouse</x:v>
      </x:c>
      <x:c r="H262" s="74" t="str">
        <x:v>Proposed</x:v>
      </x:c>
      <x:c r="I262" s="86" t="str">
        <x:v>Needs Director review</x:v>
      </x:c>
      <x:c r="J262" s="83" t="str"/>
    </x:row>
    <x:row r="263" ht="40.5" customHeight="1">
      <x:c r="A263" s="74" t="n">
        <x:v>259</x:v>
      </x:c>
      <x:c r="B263" s="74" t="str">
        <x:v>XP-259</x:v>
      </x:c>
      <x:c r="C263" s="74" t="str">
        <x:v>graded mineral</x:v>
      </x:c>
      <x:c r="D263" s="74" t="str">
        <x:v>Material form</x:v>
      </x:c>
      <x:c r="E263" s="74" t="str">
        <x:v>Material Routes v0.2</x:v>
      </x:c>
      <x:c r="F263" s="74" t="str">
        <x:v>H0</x:v>
      </x:c>
      <x:c r="G263" s="74" t="str">
        <x:v>Abrasive; drainage; casting mold; Mortar; filtration support; glass route</x:v>
      </x:c>
      <x:c r="H263" s="74" t="str">
        <x:v>Proposed</x:v>
      </x:c>
      <x:c r="I263" s="86" t="str">
        <x:v>Needs Director review</x:v>
      </x:c>
      <x:c r="J263" s="83" t="str"/>
    </x:row>
    <x:row r="264" ht="40.5" customHeight="1">
      <x:c r="A264" s="74" t="n">
        <x:v>260</x:v>
      </x:c>
      <x:c r="B264" s="74" t="str">
        <x:v>XP-260</x:v>
      </x:c>
      <x:c r="C264" s="74" t="str">
        <x:v>hard animal tissue</x:v>
      </x:c>
      <x:c r="D264" s="74" t="str">
        <x:v>Material form</x:v>
      </x:c>
      <x:c r="E264" s="74" t="str">
        <x:v>Material Routes v0.2</x:v>
      </x:c>
      <x:c r="F264" s="74" t="str">
        <x:v>H1</x:v>
      </x:c>
      <x:c r="G264" s="74" t="str">
        <x:v>Awl; needle; hook; point; button; Handle; bead; glue; char</x:v>
      </x:c>
      <x:c r="H264" s="74" t="str">
        <x:v>Proposed</x:v>
      </x:c>
      <x:c r="I264" s="86" t="str">
        <x:v>Needs Director review</x:v>
      </x:c>
      <x:c r="J264" s="83" t="str"/>
    </x:row>
    <x:row r="265" ht="40.5" customHeight="1">
      <x:c r="A265" s="74" t="n">
        <x:v>261</x:v>
      </x:c>
      <x:c r="B265" s="74" t="str">
        <x:v>XP-261</x:v>
      </x:c>
      <x:c r="C265" s="74" t="str">
        <x:v>hard shell</x:v>
      </x:c>
      <x:c r="D265" s="74" t="str">
        <x:v>Material form</x:v>
      </x:c>
      <x:c r="E265" s="74" t="str">
        <x:v>Material Routes v0.2</x:v>
      </x:c>
      <x:c r="F265" s="74" t="str">
        <x:v>H0</x:v>
      </x:c>
      <x:c r="G265" s="74" t="str">
        <x:v>Cup; scoop; measure; rain collector; Ladle; lamp; canteen; charcoal; buttons</x:v>
      </x:c>
      <x:c r="H265" s="74" t="str">
        <x:v>Proposed</x:v>
      </x:c>
      <x:c r="I265" s="86" t="str">
        <x:v>Needs Director review</x:v>
      </x:c>
      <x:c r="J265" s="83" t="str"/>
    </x:row>
    <x:row r="266" ht="40.5" customHeight="1">
      <x:c r="A266" s="74" t="n">
        <x:v>262</x:v>
      </x:c>
      <x:c r="B266" s="74" t="str">
        <x:v>XP-262</x:v>
      </x:c>
      <x:c r="C266" s="74" t="str">
        <x:v>heavy textile</x:v>
      </x:c>
      <x:c r="D266" s="74" t="str">
        <x:v>Material form</x:v>
      </x:c>
      <x:c r="E266" s="74" t="str">
        <x:v>Material Routes v0.2</x:v>
      </x:c>
      <x:c r="F266" s="74" t="str">
        <x:v>H1</x:v>
      </x:c>
      <x:c r="G266" s="74" t="str">
        <x:v>Tarp; sail; pack; bucket; Bellows; hose jacket; work apron</x:v>
      </x:c>
      <x:c r="H266" s="74" t="str">
        <x:v>Proposed</x:v>
      </x:c>
      <x:c r="I266" s="86" t="str">
        <x:v>Needs Director review</x:v>
      </x:c>
      <x:c r="J266" s="83" t="str"/>
    </x:row>
    <x:row r="267" ht="40.5" customHeight="1">
      <x:c r="A267" s="74" t="n">
        <x:v>263</x:v>
      </x:c>
      <x:c r="B267" s="74" t="str">
        <x:v>XP-263</x:v>
      </x:c>
      <x:c r="C267" s="74" t="str">
        <x:v>insulating hide</x:v>
      </x:c>
      <x:c r="D267" s="74" t="str">
        <x:v>Material form</x:v>
      </x:c>
      <x:c r="E267" s="74" t="str">
        <x:v>Material Routes v0.2</x:v>
      </x:c>
      <x:c r="F267" s="74" t="str">
        <x:v>H2</x:v>
      </x:c>
      <x:c r="G267" s="74" t="str">
        <x:v>Bedding; clothing; insulation; Pack liner; mitts</x:v>
      </x:c>
      <x:c r="H267" s="74" t="str">
        <x:v>Proposed</x:v>
      </x:c>
      <x:c r="I267" s="86" t="str">
        <x:v>Needs Director review</x:v>
      </x:c>
      <x:c r="J267" s="83" t="str"/>
    </x:row>
    <x:row r="268" ht="40.5" customHeight="1">
      <x:c r="A268" s="74" t="n">
        <x:v>264</x:v>
      </x:c>
      <x:c r="B268" s="74" t="str">
        <x:v>XP-264</x:v>
      </x:c>
      <x:c r="C268" s="74" t="str">
        <x:v>keratin fiber</x:v>
      </x:c>
      <x:c r="D268" s="74" t="str">
        <x:v>Material form</x:v>
      </x:c>
      <x:c r="E268" s="74" t="str">
        <x:v>Material Routes v0.2</x:v>
      </x:c>
      <x:c r="F268" s="74" t="str">
        <x:v>H1</x:v>
      </x:c>
      <x:c r="G268" s="74" t="str">
        <x:v>Arrow vanes; insulation; fishing lure; Brush; decoration; bedding fill</x:v>
      </x:c>
      <x:c r="H268" s="74" t="str">
        <x:v>Proposed</x:v>
      </x:c>
      <x:c r="I268" s="86" t="str">
        <x:v>Needs Director review</x:v>
      </x:c>
      <x:c r="J268" s="83" t="str"/>
    </x:row>
    <x:row r="269" ht="40.5" customHeight="1">
      <x:c r="A269" s="74" t="n">
        <x:v>265</x:v>
      </x:c>
      <x:c r="B269" s="74" t="str">
        <x:v>XP-265</x:v>
      </x:c>
      <x:c r="C269" s="74" t="str">
        <x:v>liquid polymer feedstock</x:v>
      </x:c>
      <x:c r="D269" s="74" t="str">
        <x:v>Material form</x:v>
      </x:c>
      <x:c r="E269" s="74" t="str">
        <x:v>Material Routes v0.2</x:v>
      </x:c>
      <x:c r="F269" s="74" t="str">
        <x:v>H3</x:v>
      </x:c>
      <x:c r="G269" s="74" t="str">
        <x:v>Adhesive test; waterproof coating; Elastic strip only after proven cure</x:v>
      </x:c>
      <x:c r="H269" s="74" t="str">
        <x:v>Proposed</x:v>
      </x:c>
      <x:c r="I269" s="86" t="str">
        <x:v>Needs Director review</x:v>
      </x:c>
      <x:c r="J269" s="83" t="str"/>
    </x:row>
    <x:row r="270" ht="40.5" customHeight="1">
      <x:c r="A270" s="74" t="n">
        <x:v>266</x:v>
      </x:c>
      <x:c r="B270" s="74" t="str">
        <x:v>XP-266</x:v>
      </x:c>
      <x:c r="C270" s="74" t="str">
        <x:v>machine element</x:v>
      </x:c>
      <x:c r="D270" s="74" t="str">
        <x:v>Material form</x:v>
      </x:c>
      <x:c r="E270" s="74" t="str">
        <x:v>Material Routes v0.2</x:v>
      </x:c>
      <x:c r="F270" s="74" t="str">
        <x:v>H3</x:v>
      </x:c>
      <x:c r="G270" s="74" t="str">
        <x:v>Support rotating shaft; Pulley; wheel; generator; pump</x:v>
      </x:c>
      <x:c r="H270" s="74" t="str">
        <x:v>Proposed</x:v>
      </x:c>
      <x:c r="I270" s="86" t="str">
        <x:v>Needs Director review</x:v>
      </x:c>
      <x:c r="J270" s="83" t="str"/>
    </x:row>
    <x:row r="271" ht="40.5" customHeight="1">
      <x:c r="A271" s="74" t="n">
        <x:v>267</x:v>
      </x:c>
      <x:c r="B271" s="74" t="str">
        <x:v>XP-267</x:v>
      </x:c>
      <x:c r="C271" s="74" t="str">
        <x:v>magnetic material</x:v>
      </x:c>
      <x:c r="D271" s="74" t="str">
        <x:v>Material form</x:v>
      </x:c>
      <x:c r="E271" s="74" t="str">
        <x:v>Material Routes v0.2</x:v>
      </x:c>
      <x:c r="F271" s="74" t="str">
        <x:v>H3</x:v>
      </x:c>
      <x:c r="G271" s="74" t="str">
        <x:v>Generator; compass; latch; debris pickup; Speaker; sensor; magnetic separator</x:v>
      </x:c>
      <x:c r="H271" s="74" t="str">
        <x:v>Proposed</x:v>
      </x:c>
      <x:c r="I271" s="86" t="str">
        <x:v>Needs Director review</x:v>
      </x:c>
      <x:c r="J271" s="83" t="str"/>
    </x:row>
    <x:row r="272" ht="40.5" customHeight="1">
      <x:c r="A272" s="74" t="n">
        <x:v>268</x:v>
      </x:c>
      <x:c r="B272" s="74" t="str">
        <x:v>XP-268</x:v>
      </x:c>
      <x:c r="C272" s="74" t="str">
        <x:v>marine lipid</x:v>
      </x:c>
      <x:c r="D272" s="74" t="str">
        <x:v>Material form</x:v>
      </x:c>
      <x:c r="E272" s="74" t="str">
        <x:v>Material Routes v0.2</x:v>
      </x:c>
      <x:c r="F272" s="74" t="str">
        <x:v>H2</x:v>
      </x:c>
      <x:c r="G272" s="74" t="str">
        <x:v>Lamp fuel; leather dressing experiment; Soap; bait scent</x:v>
      </x:c>
      <x:c r="H272" s="74" t="str">
        <x:v>Proposed</x:v>
      </x:c>
      <x:c r="I272" s="86" t="str">
        <x:v>Needs Director review</x:v>
      </x:c>
      <x:c r="J272" s="83" t="str"/>
    </x:row>
    <x:row r="273" ht="40.5" customHeight="1">
      <x:c r="A273" s="74" t="n">
        <x:v>269</x:v>
      </x:c>
      <x:c r="B273" s="74" t="str">
        <x:v>XP-269</x:v>
      </x:c>
      <x:c r="C273" s="74" t="str">
        <x:v>mineralized skin</x:v>
      </x:c>
      <x:c r="D273" s="74" t="str">
        <x:v>Material form</x:v>
      </x:c>
      <x:c r="E273" s="74" t="str">
        <x:v>Material Routes v0.2</x:v>
      </x:c>
      <x:c r="F273" s="74" t="str">
        <x:v>H1</x:v>
      </x:c>
      <x:c r="G273" s="74" t="str">
        <x:v>Decoration; lure flash; glue filler; Small composite or pigment experiment</x:v>
      </x:c>
      <x:c r="H273" s="74" t="str">
        <x:v>Proposed</x:v>
      </x:c>
      <x:c r="I273" s="86" t="str">
        <x:v>Needs Director review</x:v>
      </x:c>
      <x:c r="J273" s="83" t="str"/>
    </x:row>
    <x:row r="274" ht="40.5" customHeight="1">
      <x:c r="A274" s="74" t="n">
        <x:v>270</x:v>
      </x:c>
      <x:c r="B274" s="74" t="str">
        <x:v>XP-270</x:v>
      </x:c>
      <x:c r="C274" s="74" t="str">
        <x:v>non-ferrous sheet</x:v>
      </x:c>
      <x:c r="D274" s="74" t="str">
        <x:v>Material form</x:v>
      </x:c>
      <x:c r="E274" s="74" t="str">
        <x:v>Material Routes v0.2</x:v>
      </x:c>
      <x:c r="F274" s="74" t="str">
        <x:v>H2</x:v>
      </x:c>
      <x:c r="G274" s="74" t="str">
        <x:v>Roof; gutter; reflector; tray; light panel; Brackets; fins; ducts; non-pressure tank</x:v>
      </x:c>
      <x:c r="H274" s="74" t="str">
        <x:v>Proposed</x:v>
      </x:c>
      <x:c r="I274" s="86" t="str">
        <x:v>Needs Director review</x:v>
      </x:c>
      <x:c r="J274" s="83" t="str"/>
    </x:row>
    <x:row r="275" ht="40.5" customHeight="1">
      <x:c r="A275" s="74" t="n">
        <x:v>271</x:v>
      </x:c>
      <x:c r="B275" s="74" t="str">
        <x:v>XP-271</x:v>
      </x:c>
      <x:c r="C275" s="74" t="str">
        <x:v>non-ferrous tube</x:v>
      </x:c>
      <x:c r="D275" s="74" t="str">
        <x:v>Material form</x:v>
      </x:c>
      <x:c r="E275" s="74" t="str">
        <x:v>Material Routes v0.2</x:v>
      </x:c>
      <x:c r="F275" s="74" t="str">
        <x:v>H3</x:v>
      </x:c>
      <x:c r="G275" s="74" t="str">
        <x:v>Condenser; heat exchanger; water line after proof; Coil; nozzle; conductor</x:v>
      </x:c>
      <x:c r="H275" s="74" t="str">
        <x:v>Proposed</x:v>
      </x:c>
      <x:c r="I275" s="86" t="str">
        <x:v>Needs Director review</x:v>
      </x:c>
      <x:c r="J275" s="83" t="str"/>
    </x:row>
    <x:row r="276" ht="40.5" customHeight="1">
      <x:c r="A276" s="74" t="n">
        <x:v>272</x:v>
      </x:c>
      <x:c r="B276" s="74" t="str">
        <x:v>XP-272</x:v>
      </x:c>
      <x:c r="C276" s="74" t="str">
        <x:v>permanent fastener</x:v>
      </x:c>
      <x:c r="D276" s="74" t="str">
        <x:v>Material form</x:v>
      </x:c>
      <x:c r="E276" s="74" t="str">
        <x:v>Material Routes v0.2</x:v>
      </x:c>
      <x:c r="F276" s="74" t="str">
        <x:v>H3</x:v>
      </x:c>
      <x:c r="G276" s="74" t="str">
        <x:v>Join sheet with matched material and grip length; Pivot pin; repair patch</x:v>
      </x:c>
      <x:c r="H276" s="74" t="str">
        <x:v>Proposed</x:v>
      </x:c>
      <x:c r="I276" s="86" t="str">
        <x:v>Needs Director review</x:v>
      </x:c>
      <x:c r="J276" s="83" t="str"/>
    </x:row>
    <x:row r="277" ht="40.5" customHeight="1">
      <x:c r="A277" s="74" t="n">
        <x:v>273</x:v>
      </x:c>
      <x:c r="B277" s="74" t="str">
        <x:v>XP-273</x:v>
      </x:c>
      <x:c r="C277" s="74" t="str">
        <x:v>plant chemical feedstock</x:v>
      </x:c>
      <x:c r="D277" s="74" t="str">
        <x:v>Material form</x:v>
      </x:c>
      <x:c r="E277" s="74" t="str">
        <x:v>Material Routes v0.2</x:v>
      </x:c>
      <x:c r="F277" s="74" t="str">
        <x:v>H2</x:v>
      </x:c>
      <x:c r="G277" s="74" t="str">
        <x:v>Hide tanning bath; Dye; preservative experiment</x:v>
      </x:c>
      <x:c r="H277" s="74" t="str">
        <x:v>Proposed</x:v>
      </x:c>
      <x:c r="I277" s="86" t="str">
        <x:v>Needs Director review</x:v>
      </x:c>
      <x:c r="J277" s="83" t="str"/>
    </x:row>
    <x:row r="278" ht="40.5" customHeight="1">
      <x:c r="A278" s="74" t="n">
        <x:v>274</x:v>
      </x:c>
      <x:c r="B278" s="74" t="str">
        <x:v>XP-274</x:v>
      </x:c>
      <x:c r="C278" s="74" t="str">
        <x:v>plant fiber</x:v>
      </x:c>
      <x:c r="D278" s="74" t="str">
        <x:v>Material form</x:v>
      </x:c>
      <x:c r="E278" s="74" t="str">
        <x:v>Material Routes v0.2</x:v>
      </x:c>
      <x:c r="F278" s="74" t="str">
        <x:v>H1</x:v>
      </x:c>
      <x:c r="G278" s="74" t="str">
        <x:v>Cordage; mat; basket; Bark cloth; paper pulp</x:v>
      </x:c>
      <x:c r="H278" s="74" t="str">
        <x:v>Proposed</x:v>
      </x:c>
      <x:c r="I278" s="86" t="str">
        <x:v>Needs Director review</x:v>
      </x:c>
      <x:c r="J278" s="83" t="str"/>
    </x:row>
    <x:row r="279" ht="40.5" customHeight="1">
      <x:c r="A279" s="74" t="n">
        <x:v>275</x:v>
      </x:c>
      <x:c r="B279" s="74" t="str">
        <x:v>XP-275</x:v>
      </x:c>
      <x:c r="C279" s="74" t="str">
        <x:v>plastic mineral</x:v>
      </x:c>
      <x:c r="D279" s="74" t="str">
        <x:v>Material form</x:v>
      </x:c>
      <x:c r="E279" s="74" t="str">
        <x:v>Material Routes v0.2</x:v>
      </x:c>
      <x:c r="F279" s="74" t="str">
        <x:v>H2</x:v>
      </x:c>
      <x:c r="G279" s="74" t="str">
        <x:v>Daub; hearth seal; pottery; Crucible; kiln brick; ceramic filter body</x:v>
      </x:c>
      <x:c r="H279" s="74" t="str">
        <x:v>Proposed</x:v>
      </x:c>
      <x:c r="I279" s="86" t="str">
        <x:v>Needs Director review</x:v>
      </x:c>
      <x:c r="J279" s="83" t="str"/>
    </x:row>
    <x:row r="280" ht="40.5" customHeight="1">
      <x:c r="A280" s="74" t="n">
        <x:v>276</x:v>
      </x:c>
      <x:c r="B280" s="74" t="str">
        <x:v>XP-276</x:v>
      </x:c>
      <x:c r="C280" s="74" t="str">
        <x:v>polymer foam</x:v>
      </x:c>
      <x:c r="D280" s="74" t="str">
        <x:v>Material form</x:v>
      </x:c>
      <x:c r="E280" s="74" t="str">
        <x:v>Material Routes v0.2</x:v>
      </x:c>
      <x:c r="F280" s="74" t="str">
        <x:v>H2</x:v>
      </x:c>
      <x:c r="G280" s="74" t="str">
        <x:v>Padding; insulation; flotation after test; Gasket; packing; kneeling pad</x:v>
      </x:c>
      <x:c r="H280" s="74" t="str">
        <x:v>Proposed</x:v>
      </x:c>
      <x:c r="I280" s="86" t="str">
        <x:v>Needs Director review</x:v>
      </x:c>
      <x:c r="J280" s="83" t="str"/>
    </x:row>
    <x:row r="281" ht="40.5" customHeight="1">
      <x:c r="A281" s="74" t="n">
        <x:v>277</x:v>
      </x:c>
      <x:c r="B281" s="74" t="str">
        <x:v>XP-277</x:v>
      </x:c>
      <x:c r="C281" s="74" t="str">
        <x:v>polymer sleeve</x:v>
      </x:c>
      <x:c r="D281" s="74" t="str">
        <x:v>Material form</x:v>
      </x:c>
      <x:c r="E281" s="74" t="str">
        <x:v>Material Routes v0.2</x:v>
      </x:c>
      <x:c r="F281" s="74" t="str">
        <x:v>H2</x:v>
      </x:c>
      <x:c r="G281" s="74" t="str">
        <x:v>Protect repaired conductors; mark circuits; Grommet; heat barrier only within rating</x:v>
      </x:c>
      <x:c r="H281" s="74" t="str">
        <x:v>Proposed</x:v>
      </x:c>
      <x:c r="I281" s="86" t="str">
        <x:v>Needs Director review</x:v>
      </x:c>
      <x:c r="J281" s="83" t="str"/>
    </x:row>
    <x:row r="282" ht="40.5" customHeight="1">
      <x:c r="A282" s="74" t="n">
        <x:v>278</x:v>
      </x:c>
      <x:c r="B282" s="74" t="str">
        <x:v>XP-278</x:v>
      </x:c>
      <x:c r="C282" s="74" t="str">
        <x:v>porous ceramic</x:v>
      </x:c>
      <x:c r="D282" s="74" t="str">
        <x:v>Material form</x:v>
      </x:c>
      <x:c r="E282" s="74" t="str">
        <x:v>Material Routes v0.2</x:v>
      </x:c>
      <x:c r="F282" s="74" t="str">
        <x:v>H4</x:v>
      </x:c>
      <x:c r="G282" s="74" t="str">
        <x:v>Remove suspended particles and some microbes if intact and rated; Prefilter or donor ceramic</x:v>
      </x:c>
      <x:c r="H282" s="74" t="str">
        <x:v>Proposed</x:v>
      </x:c>
      <x:c r="I282" s="86" t="str">
        <x:v>Needs Director review</x:v>
      </x:c>
      <x:c r="J282" s="83" t="str"/>
    </x:row>
    <x:row r="283" ht="40.5" customHeight="1">
      <x:c r="A283" s="74" t="n">
        <x:v>279</x:v>
      </x:c>
      <x:c r="B283" s="74" t="str">
        <x:v>XP-279</x:v>
      </x:c>
      <x:c r="C283" s="74" t="str">
        <x:v>processed carbon</x:v>
      </x:c>
      <x:c r="D283" s="74" t="str">
        <x:v>Material form</x:v>
      </x:c>
      <x:c r="E283" s="74" t="str">
        <x:v>Material Routes v0.2</x:v>
      </x:c>
      <x:c r="F283" s="74" t="str">
        <x:v>H4</x:v>
      </x:c>
      <x:c r="G283" s="74" t="str">
        <x:v>Taste and odor reduction in qualified water filter; Solvent vapor prefilter; chemical experiments</x:v>
      </x:c>
      <x:c r="H283" s="74" t="str">
        <x:v>Proposed</x:v>
      </x:c>
      <x:c r="I283" s="86" t="str">
        <x:v>Needs Director review</x:v>
      </x:c>
      <x:c r="J283" s="83" t="str"/>
    </x:row>
    <x:row r="284" ht="40.5" customHeight="1">
      <x:c r="A284" s="74" t="n">
        <x:v>280</x:v>
      </x:c>
      <x:c r="B284" s="74" t="str">
        <x:v>XP-280</x:v>
      </x:c>
      <x:c r="C284" s="74" t="str">
        <x:v>rendered fat</x:v>
      </x:c>
      <x:c r="D284" s="74" t="str">
        <x:v>Material form</x:v>
      </x:c>
      <x:c r="E284" s="74" t="str">
        <x:v>Material Routes v0.2</x:v>
      </x:c>
      <x:c r="F284" s="74" t="str">
        <x:v>H2</x:v>
      </x:c>
      <x:c r="G284" s="74" t="str">
        <x:v>Lamp fuel; grease; food if source and process safe; Soap; waterproofing blend; rust barrier</x:v>
      </x:c>
      <x:c r="H284" s="74" t="str">
        <x:v>Proposed</x:v>
      </x:c>
      <x:c r="I284" s="86" t="str">
        <x:v>Needs Director review</x:v>
      </x:c>
      <x:c r="J284" s="83" t="str"/>
    </x:row>
    <x:row r="285" ht="40.5" customHeight="1">
      <x:c r="A285" s="74" t="n">
        <x:v>281</x:v>
      </x:c>
      <x:c r="B285" s="74" t="str">
        <x:v>XP-281</x:v>
      </x:c>
      <x:c r="C285" s="74" t="str">
        <x:v>stable hide</x:v>
      </x:c>
      <x:c r="D285" s="74" t="str">
        <x:v>Material form</x:v>
      </x:c>
      <x:c r="E285" s="74" t="str">
        <x:v>Material Routes v0.2</x:v>
      </x:c>
      <x:c r="F285" s="74" t="str">
        <x:v>H2</x:v>
      </x:c>
      <x:c r="G285" s="74" t="str">
        <x:v>Straps; footwear; sheaths; bellows; gaskets; Buckets; hinges; pump cups</x:v>
      </x:c>
      <x:c r="H285" s="74" t="str">
        <x:v>Proposed</x:v>
      </x:c>
      <x:c r="I285" s="86" t="str">
        <x:v>Needs Director review</x:v>
      </x:c>
      <x:c r="J285" s="83" t="str"/>
    </x:row>
    <x:row r="286" ht="40.5" customHeight="1">
      <x:c r="A286" s="74" t="n">
        <x:v>282</x:v>
      </x:c>
      <x:c r="B286" s="74" t="str">
        <x:v>XP-282</x:v>
      </x:c>
      <x:c r="C286" s="74" t="str">
        <x:v>steel cable</x:v>
      </x:c>
      <x:c r="D286" s="74" t="str">
        <x:v>Material form</x:v>
      </x:c>
      <x:c r="E286" s="74" t="str">
        <x:v>Material Routes v0.2</x:v>
      </x:c>
      <x:c r="F286" s="74" t="str">
        <x:v>H4</x:v>
      </x:c>
      <x:c r="G286" s="74" t="str">
        <x:v>Guy; winch; lifting only after rating and proof; Reinforcement; control cable</x:v>
      </x:c>
      <x:c r="H286" s="74" t="str">
        <x:v>Proposed</x:v>
      </x:c>
      <x:c r="I286" s="86" t="str">
        <x:v>Needs Director review</x:v>
      </x:c>
      <x:c r="J286" s="83" t="str"/>
    </x:row>
    <x:row r="287" ht="40.5" customHeight="1">
      <x:c r="A287" s="74" t="n">
        <x:v>283</x:v>
      </x:c>
      <x:c r="B287" s="74" t="str">
        <x:v>XP-283</x:v>
      </x:c>
      <x:c r="C287" s="74" t="str">
        <x:v>sticky resin</x:v>
      </x:c>
      <x:c r="D287" s="74" t="str">
        <x:v>Material form</x:v>
      </x:c>
      <x:c r="E287" s="74" t="str">
        <x:v>Material Routes v0.2</x:v>
      </x:c>
      <x:c r="F287" s="74" t="str">
        <x:v>H1</x:v>
      </x:c>
      <x:c r="G287" s="74" t="str">
        <x:v>Adhesive and tinder; Pitch sealant; varnish</x:v>
      </x:c>
      <x:c r="H287" s="74" t="str">
        <x:v>Proposed</x:v>
      </x:c>
      <x:c r="I287" s="86" t="str">
        <x:v>Needs Director review</x:v>
      </x:c>
      <x:c r="J287" s="83" t="str"/>
    </x:row>
    <x:row r="288" ht="40.5" customHeight="1">
      <x:c r="A288" s="74" t="n">
        <x:v>284</x:v>
      </x:c>
      <x:c r="B288" s="74" t="str">
        <x:v>XP-284</x:v>
      </x:c>
      <x:c r="C288" s="74" t="str">
        <x:v>synthetic fiber</x:v>
      </x:c>
      <x:c r="D288" s="74" t="str">
        <x:v>Material form</x:v>
      </x:c>
      <x:c r="E288" s="74" t="str">
        <x:v>Material Routes v0.2</x:v>
      </x:c>
      <x:c r="F288" s="74" t="str">
        <x:v>H2</x:v>
      </x:c>
      <x:c r="G288" s="74" t="str">
        <x:v>Rigging; hauling; nets; Straps; lashings; line drive</x:v>
      </x:c>
      <x:c r="H288" s="74" t="str">
        <x:v>Proposed</x:v>
      </x:c>
      <x:c r="I288" s="86" t="str">
        <x:v>Needs Director review</x:v>
      </x:c>
      <x:c r="J288" s="83" t="str"/>
    </x:row>
    <x:row r="289" ht="40.5" customHeight="1">
      <x:c r="A289" s="74" t="n">
        <x:v>285</x:v>
      </x:c>
      <x:c r="B289" s="74" t="str">
        <x:v>XP-285</x:v>
      </x:c>
      <x:c r="C289" s="74" t="str">
        <x:v>textile</x:v>
      </x:c>
      <x:c r="D289" s="74" t="str">
        <x:v>Material form</x:v>
      </x:c>
      <x:c r="E289" s="74" t="str">
        <x:v>Material Routes v0.2</x:v>
      </x:c>
      <x:c r="F289" s="74" t="str">
        <x:v>H1</x:v>
      </x:c>
      <x:c r="G289" s="74" t="str">
        <x:v>Clothing; shade; bag; patch; Bandage only if sterilized and suitable; wick; filter prelayer</x:v>
      </x:c>
      <x:c r="H289" s="74" t="str">
        <x:v>Proposed</x:v>
      </x:c>
      <x:c r="I289" s="86" t="str">
        <x:v>Needs Director review</x:v>
      </x:c>
      <x:c r="J289" s="83" t="str"/>
    </x:row>
    <x:row r="290" ht="40.5" customHeight="1">
      <x:c r="A290" s="74" t="n">
        <x:v>286</x:v>
      </x:c>
      <x:c r="B290" s="74" t="str">
        <x:v>XP-286</x:v>
      </x:c>
      <x:c r="C290" s="74" t="str">
        <x:v>thermoplastic</x:v>
      </x:c>
      <x:c r="D290" s="74" t="str">
        <x:v>Material form</x:v>
      </x:c>
      <x:c r="E290" s="74" t="str">
        <x:v>Material Routes v0.2</x:v>
      </x:c>
      <x:c r="F290" s="74" t="str">
        <x:v>H2</x:v>
      </x:c>
      <x:c r="G290" s="74" t="str">
        <x:v>Window; splash shield; light guide; Template; enclosure; lens experiments</x:v>
      </x:c>
      <x:c r="H290" s="74" t="str">
        <x:v>Proposed</x:v>
      </x:c>
      <x:c r="I290" s="86" t="str">
        <x:v>Needs Director review</x:v>
      </x:c>
      <x:c r="J290" s="83" t="str"/>
    </x:row>
    <x:row r="291" ht="40.5" customHeight="1">
      <x:c r="A291" s="74" t="n">
        <x:v>287</x:v>
      </x:c>
      <x:c r="B291" s="74" t="str">
        <x:v>XP-287</x:v>
      </x:c>
      <x:c r="C291" s="74" t="str">
        <x:v>threaded fastener</x:v>
      </x:c>
      <x:c r="D291" s="74" t="str">
        <x:v>Material form</x:v>
      </x:c>
      <x:c r="E291" s="74" t="str">
        <x:v>Material Routes v0.2</x:v>
      </x:c>
      <x:c r="F291" s="74" t="str">
        <x:v>H2</x:v>
      </x:c>
      <x:c r="G291" s="74" t="str">
        <x:v>Removable joint; clamp; adjustment; Electrical terminal; jig stop</x:v>
      </x:c>
      <x:c r="H291" s="74" t="str">
        <x:v>Proposed</x:v>
      </x:c>
      <x:c r="I291" s="86" t="str">
        <x:v>Needs Director review</x:v>
      </x:c>
      <x:c r="J291" s="83" t="str"/>
    </x:row>
    <x:row r="292" ht="40.5" customHeight="1">
      <x:c r="A292" s="74" t="n">
        <x:v>288</x:v>
      </x:c>
      <x:c r="B292" s="74" t="str">
        <x:v>XP-288</x:v>
      </x:c>
      <x:c r="C292" s="74" t="str">
        <x:v>tough animal tissue</x:v>
      </x:c>
      <x:c r="D292" s="74" t="str">
        <x:v>Material form</x:v>
      </x:c>
      <x:c r="E292" s="74" t="str">
        <x:v>Material Routes v0.2</x:v>
      </x:c>
      <x:c r="F292" s="74" t="str">
        <x:v>H2</x:v>
      </x:c>
      <x:c r="G292" s="74" t="str">
        <x:v>Pressure flaker; wedge; handle; comb; Hook; toggle; container</x:v>
      </x:c>
      <x:c r="H292" s="74" t="str">
        <x:v>Proposed</x:v>
      </x:c>
      <x:c r="I292" s="86" t="str">
        <x:v>Needs Director review</x:v>
      </x:c>
      <x:c r="J292" s="83" t="str"/>
    </x:row>
    <x:row r="293" ht="40.5" customHeight="1">
      <x:c r="A293" s="74" t="n">
        <x:v>289</x:v>
      </x:c>
      <x:c r="B293" s="74" t="str">
        <x:v>XP-289</x:v>
      </x:c>
      <x:c r="C293" s="74" t="str">
        <x:v>woven strap</x:v>
      </x:c>
      <x:c r="D293" s="74" t="str">
        <x:v>Material form</x:v>
      </x:c>
      <x:c r="E293" s="74" t="str">
        <x:v>Material Routes v0.2</x:v>
      </x:c>
      <x:c r="F293" s="74" t="str">
        <x:v>H2</x:v>
      </x:c>
      <x:c r="G293" s="74" t="str">
        <x:v>Tie-down; pack strap; sling seat; Hinges; handles; litter</x:v>
      </x:c>
      <x:c r="H293" s="74" t="str">
        <x:v>Proposed</x:v>
      </x:c>
      <x:c r="I293" s="86" t="str">
        <x:v>Needs Director review</x:v>
      </x:c>
      <x:c r="J293" s="83" t="str"/>
    </x:row>
    <x:row r="294" ht="40.5" customHeight="1">
      <x:c r="A294" s="74" t="n">
        <x:v>290</x:v>
      </x:c>
      <x:c r="B294" s="74" t="str">
        <x:v>XP-290</x:v>
      </x:c>
      <x:c r="C294" s="74" t="str">
        <x:v>Measuring cord</x:v>
      </x:c>
      <x:c r="D294" s="74" t="str">
        <x:v>Measurement and layout</x:v>
      </x:c>
      <x:c r="E294" s="74" t="str">
        <x:v>Natural Tools v0.2</x:v>
      </x:c>
      <x:c r="F294" s="74" t="str">
        <x:v>H1</x:v>
      </x:c>
      <x:c r="G294" s="74" t="str">
        <x:v>Transfer length; radius; circumference; straight lines</x:v>
      </x:c>
      <x:c r="H294" s="74" t="str">
        <x:v>Proposed</x:v>
      </x:c>
      <x:c r="I294" s="86" t="str">
        <x:v>Needs Director review</x:v>
      </x:c>
      <x:c r="J294" s="83" t="str"/>
    </x:row>
    <x:row r="295" ht="40.5" customHeight="1">
      <x:c r="A295" s="74" t="n">
        <x:v>291</x:v>
      </x:c>
      <x:c r="B295" s="74" t="str">
        <x:v>XP-291</x:v>
      </x:c>
      <x:c r="C295" s="74" t="str">
        <x:v>Plumb line</x:v>
      </x:c>
      <x:c r="D295" s="74" t="str">
        <x:v>Measurement and layout</x:v>
      </x:c>
      <x:c r="E295" s="74" t="str">
        <x:v>Natural Tools v0.2</x:v>
      </x:c>
      <x:c r="F295" s="74" t="str">
        <x:v>H1</x:v>
      </x:c>
      <x:c r="G295" s="74" t="str">
        <x:v>Check vertical; establish depth; sound shallow water</x:v>
      </x:c>
      <x:c r="H295" s="74" t="str">
        <x:v>Proposed</x:v>
      </x:c>
      <x:c r="I295" s="86" t="str">
        <x:v>Needs Director review</x:v>
      </x:c>
      <x:c r="J295" s="83" t="str"/>
    </x:row>
    <x:row r="296" ht="40.5" customHeight="1">
      <x:c r="A296" s="74" t="n">
        <x:v>292</x:v>
      </x:c>
      <x:c r="B296" s="74" t="str">
        <x:v>XP-292</x:v>
      </x:c>
      <x:c r="C296" s="74" t="str">
        <x:v>Winding sticks</x:v>
      </x:c>
      <x:c r="D296" s="74" t="str">
        <x:v>Measurement and layout</x:v>
      </x:c>
      <x:c r="E296" s="74" t="str">
        <x:v>Natural Tools v0.2</x:v>
      </x:c>
      <x:c r="F296" s="74" t="str">
        <x:v>H2</x:v>
      </x:c>
      <x:c r="G296" s="74" t="str">
        <x:v>Reveal twist in boards and work surfaces</x:v>
      </x:c>
      <x:c r="H296" s="74" t="str">
        <x:v>Proposed</x:v>
      </x:c>
      <x:c r="I296" s="86" t="str">
        <x:v>Needs Director review</x:v>
      </x:c>
      <x:c r="J296" s="83" t="str"/>
    </x:row>
    <x:row r="297" ht="40.5" customHeight="1">
      <x:c r="A297" s="74" t="n">
        <x:v>293</x:v>
      </x:c>
      <x:c r="B297" s="74" t="str">
        <x:v>XP-293</x:v>
      </x:c>
      <x:c r="C297" s="74" t="str">
        <x:v>Wooden try square</x:v>
      </x:c>
      <x:c r="D297" s="74" t="str">
        <x:v>Measurement and layout</x:v>
      </x:c>
      <x:c r="E297" s="74" t="str">
        <x:v>Natural Tools v0.2</x:v>
      </x:c>
      <x:c r="F297" s="74" t="str">
        <x:v>H2</x:v>
      </x:c>
      <x:c r="G297" s="74" t="str">
        <x:v>Mark right angles; check frames and panels</x:v>
      </x:c>
      <x:c r="H297" s="74" t="str">
        <x:v>Proposed</x:v>
      </x:c>
      <x:c r="I297" s="86" t="str">
        <x:v>Needs Director review</x:v>
      </x:c>
      <x:c r="J297" s="83" t="str"/>
    </x:row>
    <x:row r="298" ht="40.5" customHeight="1">
      <x:c r="A298" s="74" t="n">
        <x:v>294</x:v>
      </x:c>
      <x:c r="B298" s="74" t="str">
        <x:v>XP-294</x:v>
      </x:c>
      <x:c r="C298" s="74" t="str">
        <x:v>Work mat</x:v>
      </x:c>
      <x:c r="D298" s="74" t="str">
        <x:v>Measurement and layout</x:v>
      </x:c>
      <x:c r="E298" s="74" t="str">
        <x:v>Natural Tools v0.2</x:v>
      </x:c>
      <x:c r="F298" s="74" t="str">
        <x:v>H0</x:v>
      </x:c>
      <x:c r="G298" s="74" t="str">
        <x:v>Clean surface; catch small parts; sort food from grit</x:v>
      </x:c>
      <x:c r="H298" s="74" t="str">
        <x:v>Proposed</x:v>
      </x:c>
      <x:c r="I298" s="86" t="str">
        <x:v>Needs Director review</x:v>
      </x:c>
      <x:c r="J298" s="83" t="str"/>
    </x:row>
    <x:row r="299" ht="40.5" customHeight="1">
      <x:c r="A299" s="74" t="n">
        <x:v>295</x:v>
      </x:c>
      <x:c r="B299" s="74" t="str">
        <x:v>XP-295</x:v>
      </x:c>
      <x:c r="C299" s="74" t="str">
        <x:v>Animal bone fragment</x:v>
      </x:c>
      <x:c r="D299" s="74" t="str">
        <x:v>Natural drift</x:v>
      </x:c>
      <x:c r="E299" s="74" t="str">
        <x:v>Salvage Manifest v0.2</x:v>
      </x:c>
      <x:c r="F299" s="74" t="str">
        <x:v>H1</x:v>
      </x:c>
      <x:c r="G299" s="74" t="str">
        <x:v>Awl; hook; needle; handle scale</x:v>
      </x:c>
      <x:c r="H299" s="74" t="str">
        <x:v>Proposed</x:v>
      </x:c>
      <x:c r="I299" s="86" t="str">
        <x:v>Needs Director review</x:v>
      </x:c>
      <x:c r="J299" s="83" t="str"/>
    </x:row>
    <x:row r="300" ht="40.5" customHeight="1">
      <x:c r="A300" s="74" t="n">
        <x:v>296</x:v>
      </x:c>
      <x:c r="B300" s="74" t="str">
        <x:v>XP-296</x:v>
      </x:c>
      <x:c r="C300" s="74" t="str">
        <x:v>Bamboo pole</x:v>
      </x:c>
      <x:c r="D300" s="74" t="str">
        <x:v>Natural drift</x:v>
      </x:c>
      <x:c r="E300" s="74" t="str">
        <x:v>Salvage Manifest v0.2</x:v>
      </x:c>
      <x:c r="F300" s="74" t="str">
        <x:v>H1</x:v>
      </x:c>
      <x:c r="G300" s="74" t="str">
        <x:v>Water tube if intact; frame; fishing pole</x:v>
      </x:c>
      <x:c r="H300" s="74" t="str">
        <x:v>Proposed</x:v>
      </x:c>
      <x:c r="I300" s="86" t="str">
        <x:v>Needs Director review</x:v>
      </x:c>
      <x:c r="J300" s="83" t="str"/>
    </x:row>
    <x:row r="301" ht="40.5" customHeight="1">
      <x:c r="A301" s="74" t="n">
        <x:v>297</x:v>
      </x:c>
      <x:c r="B301" s="74" t="str">
        <x:v>XP-297</x:v>
      </x:c>
      <x:c r="C301" s="74" t="str">
        <x:v>Bark sheet</x:v>
      </x:c>
      <x:c r="D301" s="74" t="str">
        <x:v>Natural drift</x:v>
      </x:c>
      <x:c r="E301" s="74" t="str">
        <x:v>Salvage Manifest v0.2</x:v>
      </x:c>
      <x:c r="F301" s="74" t="str">
        <x:v>H0</x:v>
      </x:c>
      <x:c r="G301" s="74" t="str">
        <x:v>Roof patch; mat; writing surface</x:v>
      </x:c>
      <x:c r="H301" s="74" t="str">
        <x:v>Proposed</x:v>
      </x:c>
      <x:c r="I301" s="86" t="str">
        <x:v>Needs Director review</x:v>
      </x:c>
      <x:c r="J301" s="83" t="str"/>
    </x:row>
    <x:row r="302" ht="40.5" customHeight="1">
      <x:c r="A302" s="74" t="n">
        <x:v>298</x:v>
      </x:c>
      <x:c r="B302" s="74" t="str">
        <x:v>XP-298</x:v>
      </x:c>
      <x:c r="C302" s="74" t="str">
        <x:v>Clay lump</x:v>
      </x:c>
      <x:c r="D302" s="74" t="str">
        <x:v>Natural drift</x:v>
      </x:c>
      <x:c r="E302" s="74" t="str">
        <x:v>Salvage Manifest v0.2</x:v>
      </x:c>
      <x:c r="F302" s="74" t="str">
        <x:v>H1</x:v>
      </x:c>
      <x:c r="G302" s="74" t="str">
        <x:v>Seal hearth; daub; pottery test</x:v>
      </x:c>
      <x:c r="H302" s="74" t="str">
        <x:v>Proposed</x:v>
      </x:c>
      <x:c r="I302" s="86" t="str">
        <x:v>Needs Director review</x:v>
      </x:c>
      <x:c r="J302" s="83" t="str"/>
    </x:row>
    <x:row r="303" ht="40.5" customHeight="1">
      <x:c r="A303" s="74" t="n">
        <x:v>299</x:v>
      </x:c>
      <x:c r="B303" s="74" t="str">
        <x:v>XP-299</x:v>
      </x:c>
      <x:c r="C303" s="74" t="str">
        <x:v>Coconut husk</x:v>
      </x:c>
      <x:c r="D303" s="74" t="str">
        <x:v>Natural drift</x:v>
      </x:c>
      <x:c r="E303" s="74" t="str">
        <x:v>Salvage Manifest v0.2</x:v>
      </x:c>
      <x:c r="F303" s="74" t="str">
        <x:v>H0</x:v>
      </x:c>
      <x:c r="G303" s="74" t="str">
        <x:v>Fuel when dry; mulch; scrubber</x:v>
      </x:c>
      <x:c r="H303" s="74" t="str">
        <x:v>Proposed</x:v>
      </x:c>
      <x:c r="I303" s="86" t="str">
        <x:v>Needs Director review</x:v>
      </x:c>
      <x:c r="J303" s="83" t="str"/>
    </x:row>
    <x:row r="304" ht="40.5" customHeight="1">
      <x:c r="A304" s="74" t="n">
        <x:v>300</x:v>
      </x:c>
      <x:c r="B304" s="74" t="str">
        <x:v>XP-300</x:v>
      </x:c>
      <x:c r="C304" s="74" t="str">
        <x:v>Coconut shell half</x:v>
      </x:c>
      <x:c r="D304" s="74" t="str">
        <x:v>Natural drift</x:v>
      </x:c>
      <x:c r="E304" s="74" t="str">
        <x:v>Salvage Manifest v0.2</x:v>
      </x:c>
      <x:c r="F304" s="74" t="str">
        <x:v>H0</x:v>
      </x:c>
      <x:c r="G304" s="74" t="str">
        <x:v>Cup; scoop; rain collector; measure</x:v>
      </x:c>
      <x:c r="H304" s="74" t="str">
        <x:v>Proposed</x:v>
      </x:c>
      <x:c r="I304" s="86" t="str">
        <x:v>Needs Director review</x:v>
      </x:c>
      <x:c r="J304" s="83" t="str"/>
    </x:row>
    <x:row r="305" ht="40.5" customHeight="1">
      <x:c r="A305" s="74" t="n">
        <x:v>301</x:v>
      </x:c>
      <x:c r="B305" s="74" t="str">
        <x:v>XP-301</x:v>
      </x:c>
      <x:c r="C305" s="74" t="str">
        <x:v>Cork bark piece</x:v>
      </x:c>
      <x:c r="D305" s="74" t="str">
        <x:v>Natural drift</x:v>
      </x:c>
      <x:c r="E305" s="74" t="str">
        <x:v>Salvage Manifest v0.2</x:v>
      </x:c>
      <x:c r="F305" s="74" t="str">
        <x:v>H0</x:v>
      </x:c>
      <x:c r="G305" s="74" t="str">
        <x:v>Float; gasket; grip; insulation</x:v>
      </x:c>
      <x:c r="H305" s="74" t="str">
        <x:v>Proposed</x:v>
      </x:c>
      <x:c r="I305" s="86" t="str">
        <x:v>Needs Director review</x:v>
      </x:c>
      <x:c r="J305" s="83" t="str"/>
    </x:row>
    <x:row r="306" ht="40.5" customHeight="1">
      <x:c r="A306" s="74" t="n">
        <x:v>302</x:v>
      </x:c>
      <x:c r="B306" s="74" t="str">
        <x:v>XP-302</x:v>
      </x:c>
      <x:c r="C306" s="74" t="str">
        <x:v>Cuttlebone</x:v>
      </x:c>
      <x:c r="D306" s="74" t="str">
        <x:v>Natural drift</x:v>
      </x:c>
      <x:c r="E306" s="74" t="str">
        <x:v>Salvage Manifest v0.2</x:v>
      </x:c>
      <x:c r="F306" s="74" t="str">
        <x:v>H1</x:v>
      </x:c>
      <x:c r="G306" s="74" t="str">
        <x:v>Fine abrasive; float; carving blank</x:v>
      </x:c>
      <x:c r="H306" s="74" t="str">
        <x:v>Proposed</x:v>
      </x:c>
      <x:c r="I306" s="86" t="str">
        <x:v>Needs Director review</x:v>
      </x:c>
      <x:c r="J306" s="83" t="str"/>
    </x:row>
    <x:row r="307" ht="40.5" customHeight="1">
      <x:c r="A307" s="74" t="n">
        <x:v>303</x:v>
      </x:c>
      <x:c r="B307" s="74" t="str">
        <x:v>XP-303</x:v>
      </x:c>
      <x:c r="C307" s="74" t="str">
        <x:v>Driftwood pole</x:v>
      </x:c>
      <x:c r="D307" s="74" t="str">
        <x:v>Natural drift</x:v>
      </x:c>
      <x:c r="E307" s="74" t="str">
        <x:v>Salvage Manifest v0.2</x:v>
      </x:c>
      <x:c r="F307" s="74" t="str">
        <x:v>H0</x:v>
      </x:c>
      <x:c r="G307" s="74" t="str">
        <x:v>Use as handle; ridge pole; lever; drying rack</x:v>
      </x:c>
      <x:c r="H307" s="74" t="str">
        <x:v>Proposed</x:v>
      </x:c>
      <x:c r="I307" s="86" t="str">
        <x:v>Needs Director review</x:v>
      </x:c>
      <x:c r="J307" s="83" t="str"/>
    </x:row>
    <x:row r="308" ht="40.5" customHeight="1">
      <x:c r="A308" s="74" t="n">
        <x:v>304</x:v>
      </x:c>
      <x:c r="B308" s="74" t="str">
        <x:v>XP-304</x:v>
      </x:c>
      <x:c r="C308" s="74" t="str">
        <x:v>Fish skin</x:v>
      </x:c>
      <x:c r="D308" s="74" t="str">
        <x:v>Natural drift</x:v>
      </x:c>
      <x:c r="E308" s="74" t="str">
        <x:v>Salvage Manifest v0.2</x:v>
      </x:c>
      <x:c r="F308" s="74" t="str">
        <x:v>H1</x:v>
      </x:c>
      <x:c r="G308" s="74" t="str">
        <x:v>Bait; glue experiment; leather route if fresh</x:v>
      </x:c>
      <x:c r="H308" s="74" t="str">
        <x:v>Proposed</x:v>
      </x:c>
      <x:c r="I308" s="86" t="str">
        <x:v>Needs Director review</x:v>
      </x:c>
      <x:c r="J308" s="83" t="str"/>
    </x:row>
    <x:row r="309" ht="40.5" customHeight="1">
      <x:c r="A309" s="74" t="n">
        <x:v>305</x:v>
      </x:c>
      <x:c r="B309" s="74" t="str">
        <x:v>XP-305</x:v>
      </x:c>
      <x:c r="C309" s="74" t="str">
        <x:v>Fish spine</x:v>
      </x:c>
      <x:c r="D309" s="74" t="str">
        <x:v>Natural drift</x:v>
      </x:c>
      <x:c r="E309" s="74" t="str">
        <x:v>Salvage Manifest v0.2</x:v>
      </x:c>
      <x:c r="F309" s="74" t="str">
        <x:v>H1</x:v>
      </x:c>
      <x:c r="G309" s="74" t="str">
        <x:v>Needle; small barb; pin</x:v>
      </x:c>
      <x:c r="H309" s="74" t="str">
        <x:v>Proposed</x:v>
      </x:c>
      <x:c r="I309" s="86" t="str">
        <x:v>Needs Director review</x:v>
      </x:c>
      <x:c r="J309" s="83" t="str"/>
    </x:row>
    <x:row r="310" ht="40.5" customHeight="1">
      <x:c r="A310" s="74" t="n">
        <x:v>306</x:v>
      </x:c>
      <x:c r="B310" s="74" t="str">
        <x:v>XP-306</x:v>
      </x:c>
      <x:c r="C310" s="74" t="str">
        <x:v>Gravel cobbles</x:v>
      </x:c>
      <x:c r="D310" s="74" t="str">
        <x:v>Natural drift</x:v>
      </x:c>
      <x:c r="E310" s="74" t="str">
        <x:v>Salvage Manifest v0.2</x:v>
      </x:c>
      <x:c r="F310" s="74" t="str">
        <x:v>H0</x:v>
      </x:c>
      <x:c r="G310" s="74" t="str">
        <x:v>Hearth bed; drainage; hammerstone candidates</x:v>
      </x:c>
      <x:c r="H310" s="74" t="str">
        <x:v>Proposed</x:v>
      </x:c>
      <x:c r="I310" s="86" t="str">
        <x:v>Needs Director review</x:v>
      </x:c>
      <x:c r="J310" s="83" t="str"/>
    </x:row>
    <x:row r="311" ht="40.5" customHeight="1">
      <x:c r="A311" s="74" t="n">
        <x:v>307</x:v>
      </x:c>
      <x:c r="B311" s="74" t="str">
        <x:v>XP-307</x:v>
      </x:c>
      <x:c r="C311" s="74" t="str">
        <x:v>Hardwood branch</x:v>
      </x:c>
      <x:c r="D311" s="74" t="str">
        <x:v>Natural drift</x:v>
      </x:c>
      <x:c r="E311" s="74" t="str">
        <x:v>Salvage Manifest v0.2</x:v>
      </x:c>
      <x:c r="F311" s="74" t="str">
        <x:v>H0</x:v>
      </x:c>
      <x:c r="G311" s="74" t="str">
        <x:v>Handle; club stock; pegs; bow candidate</x:v>
      </x:c>
      <x:c r="H311" s="74" t="str">
        <x:v>Proposed</x:v>
      </x:c>
      <x:c r="I311" s="86" t="str">
        <x:v>Needs Director review</x:v>
      </x:c>
      <x:c r="J311" s="83" t="str"/>
    </x:row>
    <x:row r="312" ht="40.5" customHeight="1">
      <x:c r="A312" s="74" t="n">
        <x:v>308</x:v>
      </x:c>
      <x:c r="B312" s="74" t="str">
        <x:v>XP-308</x:v>
      </x:c>
      <x:c r="C312" s="74" t="str">
        <x:v>Kelp frond</x:v>
      </x:c>
      <x:c r="D312" s="74" t="str">
        <x:v>Natural drift</x:v>
      </x:c>
      <x:c r="E312" s="74" t="str">
        <x:v>Salvage Manifest v0.2</x:v>
      </x:c>
      <x:c r="F312" s="74" t="str">
        <x:v>H0</x:v>
      </x:c>
      <x:c r="G312" s="74" t="str">
        <x:v>Food only after identification; wrap; mulch</x:v>
      </x:c>
      <x:c r="H312" s="74" t="str">
        <x:v>Proposed</x:v>
      </x:c>
      <x:c r="I312" s="86" t="str">
        <x:v>Needs Director review</x:v>
      </x:c>
      <x:c r="J312" s="83" t="str"/>
    </x:row>
    <x:row r="313" ht="40.5" customHeight="1">
      <x:c r="A313" s="74" t="n">
        <x:v>309</x:v>
      </x:c>
      <x:c r="B313" s="74" t="str">
        <x:v>XP-309</x:v>
      </x:c>
      <x:c r="C313" s="74" t="str">
        <x:v>Kelp holdfast</x:v>
      </x:c>
      <x:c r="D313" s="74" t="str">
        <x:v>Natural drift</x:v>
      </x:c>
      <x:c r="E313" s="74" t="str">
        <x:v>Salvage Manifest v0.2</x:v>
      </x:c>
      <x:c r="F313" s="74" t="str">
        <x:v>H0</x:v>
      </x:c>
      <x:c r="G313" s="74" t="str">
        <x:v>Scrubber; bait habitat; compost carbon</x:v>
      </x:c>
      <x:c r="H313" s="74" t="str">
        <x:v>Proposed</x:v>
      </x:c>
      <x:c r="I313" s="86" t="str">
        <x:v>Needs Director review</x:v>
      </x:c>
      <x:c r="J313" s="83" t="str"/>
    </x:row>
    <x:row r="314" ht="40.5" customHeight="1">
      <x:c r="A314" s="74" t="n">
        <x:v>310</x:v>
      </x:c>
      <x:c r="B314" s="74" t="str">
        <x:v>XP-310</x:v>
      </x:c>
      <x:c r="C314" s="74" t="str">
        <x:v>Large shell</x:v>
      </x:c>
      <x:c r="D314" s="74" t="str">
        <x:v>Natural drift</x:v>
      </x:c>
      <x:c r="E314" s="74" t="str">
        <x:v>Salvage Manifest v0.2</x:v>
      </x:c>
      <x:c r="F314" s="74" t="str">
        <x:v>H0</x:v>
      </x:c>
      <x:c r="G314" s="74" t="str">
        <x:v>Scoop; scraper; spoon; horn; lime feedstock</x:v>
      </x:c>
      <x:c r="H314" s="74" t="str">
        <x:v>Proposed</x:v>
      </x:c>
      <x:c r="I314" s="86" t="str">
        <x:v>Needs Director review</x:v>
      </x:c>
      <x:c r="J314" s="83" t="str"/>
    </x:row>
    <x:row r="315" ht="40.5" customHeight="1">
      <x:c r="A315" s="74" t="n">
        <x:v>311</x:v>
      </x:c>
      <x:c r="B315" s="74" t="str">
        <x:v>XP-311</x:v>
      </x:c>
      <x:c r="C315" s="74" t="str">
        <x:v>Natural resin lump</x:v>
      </x:c>
      <x:c r="D315" s="74" t="str">
        <x:v>Natural drift</x:v>
      </x:c>
      <x:c r="E315" s="74" t="str">
        <x:v>Salvage Manifest v0.2</x:v>
      </x:c>
      <x:c r="F315" s="74" t="str">
        <x:v>H1</x:v>
      </x:c>
      <x:c r="G315" s="74" t="str">
        <x:v>Adhesive; fire starter; sealant</x:v>
      </x:c>
      <x:c r="H315" s="74" t="str">
        <x:v>Proposed</x:v>
      </x:c>
      <x:c r="I315" s="86" t="str">
        <x:v>Needs Director review</x:v>
      </x:c>
      <x:c r="J315" s="83" t="str"/>
    </x:row>
    <x:row r="316" ht="40.5" customHeight="1">
      <x:c r="A316" s="74" t="n">
        <x:v>312</x:v>
      </x:c>
      <x:c r="B316" s="74" t="str">
        <x:v>XP-312</x:v>
      </x:c>
      <x:c r="C316" s="74" t="str">
        <x:v>Palm trunk section</x:v>
      </x:c>
      <x:c r="D316" s="74" t="str">
        <x:v>Natural drift</x:v>
      </x:c>
      <x:c r="E316" s="74" t="str">
        <x:v>Salvage Manifest v0.2</x:v>
      </x:c>
      <x:c r="F316" s="74" t="str">
        <x:v>H0</x:v>
      </x:c>
      <x:c r="G316" s="74" t="str">
        <x:v>Float; walkway; rough beam</x:v>
      </x:c>
      <x:c r="H316" s="74" t="str">
        <x:v>Proposed</x:v>
      </x:c>
      <x:c r="I316" s="86" t="str">
        <x:v>Needs Director review</x:v>
      </x:c>
      <x:c r="J316" s="83" t="str"/>
    </x:row>
    <x:row r="317" ht="40.5" customHeight="1">
      <x:c r="A317" s="74" t="n">
        <x:v>313</x:v>
      </x:c>
      <x:c r="B317" s="74" t="str">
        <x:v>XP-313</x:v>
      </x:c>
      <x:c r="C317" s="74" t="str">
        <x:v>Pumice stone</x:v>
      </x:c>
      <x:c r="D317" s="74" t="str">
        <x:v>Natural drift</x:v>
      </x:c>
      <x:c r="E317" s="74" t="str">
        <x:v>Salvage Manifest v0.2</x:v>
      </x:c>
      <x:c r="F317" s="74" t="str">
        <x:v>H0</x:v>
      </x:c>
      <x:c r="G317" s="74" t="str">
        <x:v>Abrasive; float marker; scrubber</x:v>
      </x:c>
      <x:c r="H317" s="74" t="str">
        <x:v>Proposed</x:v>
      </x:c>
      <x:c r="I317" s="86" t="str">
        <x:v>Needs Director review</x:v>
      </x:c>
      <x:c r="J317" s="83" t="str"/>
    </x:row>
    <x:row r="318" ht="40.5" customHeight="1">
      <x:c r="A318" s="74" t="n">
        <x:v>314</x:v>
      </x:c>
      <x:c r="B318" s="74" t="str">
        <x:v>XP-314</x:v>
      </x:c>
      <x:c r="C318" s="74" t="str">
        <x:v>Quartz-rich sand</x:v>
      </x:c>
      <x:c r="D318" s="74" t="str">
        <x:v>Natural drift</x:v>
      </x:c>
      <x:c r="E318" s="74" t="str">
        <x:v>Salvage Manifest v0.2</x:v>
      </x:c>
      <x:c r="F318" s="74" t="str">
        <x:v>H0</x:v>
      </x:c>
      <x:c r="G318" s="74" t="str">
        <x:v>Abrasive; drainage; mold media</x:v>
      </x:c>
      <x:c r="H318" s="74" t="str">
        <x:v>Proposed</x:v>
      </x:c>
      <x:c r="I318" s="86" t="str">
        <x:v>Needs Director review</x:v>
      </x:c>
      <x:c r="J318" s="83" t="str"/>
    </x:row>
    <x:row r="319" ht="40.5" customHeight="1">
      <x:c r="A319" s="74" t="n">
        <x:v>315</x:v>
      </x:c>
      <x:c r="B319" s="74" t="str">
        <x:v>XP-315</x:v>
      </x:c>
      <x:c r="C319" s="74" t="str">
        <x:v>Reed bundle</x:v>
      </x:c>
      <x:c r="D319" s="74" t="str">
        <x:v>Natural drift</x:v>
      </x:c>
      <x:c r="E319" s="74" t="str">
        <x:v>Salvage Manifest v0.2</x:v>
      </x:c>
      <x:c r="F319" s="74" t="str">
        <x:v>H0</x:v>
      </x:c>
      <x:c r="G319" s="74" t="str">
        <x:v>Mats; screens; floats; arrow shafts</x:v>
      </x:c>
      <x:c r="H319" s="74" t="str">
        <x:v>Proposed</x:v>
      </x:c>
      <x:c r="I319" s="86" t="str">
        <x:v>Needs Director review</x:v>
      </x:c>
      <x:c r="J319" s="83" t="str"/>
    </x:row>
    <x:row r="320" ht="40.5" customHeight="1">
      <x:c r="A320" s="74" t="n">
        <x:v>316</x:v>
      </x:c>
      <x:c r="B320" s="74" t="str">
        <x:v>XP-316</x:v>
      </x:c>
      <x:c r="C320" s="74" t="str">
        <x:v>Root burl</x:v>
      </x:c>
      <x:c r="D320" s="74" t="str">
        <x:v>Natural drift</x:v>
      </x:c>
      <x:c r="E320" s="74" t="str">
        <x:v>Salvage Manifest v0.2</x:v>
      </x:c>
      <x:c r="F320" s="74" t="str">
        <x:v>H1</x:v>
      </x:c>
      <x:c r="G320" s="74" t="str">
        <x:v>Bowl blank; mallet head; bearing block</x:v>
      </x:c>
      <x:c r="H320" s="74" t="str">
        <x:v>Proposed</x:v>
      </x:c>
      <x:c r="I320" s="86" t="str">
        <x:v>Needs Director review</x:v>
      </x:c>
      <x:c r="J320" s="83" t="str"/>
    </x:row>
    <x:row r="321" ht="40.5" customHeight="1">
      <x:c r="A321" s="74" t="n">
        <x:v>317</x:v>
      </x:c>
      <x:c r="B321" s="74" t="str">
        <x:v>XP-317</x:v>
      </x:c>
      <x:c r="C321" s="74" t="str">
        <x:v>Salt crust</x:v>
      </x:c>
      <x:c r="D321" s="74" t="str">
        <x:v>Natural drift</x:v>
      </x:c>
      <x:c r="E321" s="74" t="str">
        <x:v>Salvage Manifest v0.2</x:v>
      </x:c>
      <x:c r="F321" s="74" t="str">
        <x:v>H1</x:v>
      </x:c>
      <x:c r="G321" s="74" t="str">
        <x:v>Food salt only after source proof; brine; curing</x:v>
      </x:c>
      <x:c r="H321" s="74" t="str">
        <x:v>Proposed</x:v>
      </x:c>
      <x:c r="I321" s="86" t="str">
        <x:v>Needs Director review</x:v>
      </x:c>
      <x:c r="J321" s="83" t="str"/>
    </x:row>
    <x:row r="322" ht="40.5" customHeight="1">
      <x:c r="A322" s="74" t="n">
        <x:v>318</x:v>
      </x:c>
      <x:c r="B322" s="74" t="str">
        <x:v>XP-318</x:v>
      </x:c>
      <x:c r="C322" s="74" t="str">
        <x:v>Sea-grass bundle</x:v>
      </x:c>
      <x:c r="D322" s="74" t="str">
        <x:v>Natural drift</x:v>
      </x:c>
      <x:c r="E322" s="74" t="str">
        <x:v>Salvage Manifest v0.2</x:v>
      </x:c>
      <x:c r="F322" s="74" t="str">
        <x:v>H0</x:v>
      </x:c>
      <x:c r="G322" s="74" t="str">
        <x:v>Thatch; stuffing; mulch</x:v>
      </x:c>
      <x:c r="H322" s="74" t="str">
        <x:v>Proposed</x:v>
      </x:c>
      <x:c r="I322" s="86" t="str">
        <x:v>Needs Director review</x:v>
      </x:c>
      <x:c r="J322" s="83" t="str"/>
    </x:row>
    <x:row r="323" ht="40.5" customHeight="1">
      <x:c r="A323" s="74" t="n">
        <x:v>319</x:v>
      </x:c>
      <x:c r="B323" s="74" t="str">
        <x:v>XP-319</x:v>
      </x:c>
      <x:c r="C323" s="74" t="str">
        <x:v>Seed pod</x:v>
      </x:c>
      <x:c r="D323" s="74" t="str">
        <x:v>Natural drift</x:v>
      </x:c>
      <x:c r="E323" s="74" t="str">
        <x:v>Salvage Manifest v0.2</x:v>
      </x:c>
      <x:c r="F323" s="74" t="str">
        <x:v>H0</x:v>
      </x:c>
      <x:c r="G323" s="74" t="str">
        <x:v>Container; rattle; tinder; seed trial</x:v>
      </x:c>
      <x:c r="H323" s="74" t="str">
        <x:v>Proposed</x:v>
      </x:c>
      <x:c r="I323" s="86" t="str">
        <x:v>Needs Director review</x:v>
      </x:c>
      <x:c r="J323" s="83" t="str"/>
    </x:row>
    <x:row r="324" ht="40.5" customHeight="1">
      <x:c r="A324" s="74" t="n">
        <x:v>320</x:v>
      </x:c>
      <x:c r="B324" s="74" t="str">
        <x:v>XP-320</x:v>
      </x:c>
      <x:c r="C324" s="74" t="str">
        <x:v>Shell fragments</x:v>
      </x:c>
      <x:c r="D324" s="74" t="str">
        <x:v>Natural drift</x:v>
      </x:c>
      <x:c r="E324" s="74" t="str">
        <x:v>Salvage Manifest v0.2</x:v>
      </x:c>
      <x:c r="F324" s="74" t="str">
        <x:v>H1</x:v>
      </x:c>
      <x:c r="G324" s="74" t="str">
        <x:v>Scrapers; cutting inserts; drainage layer</x:v>
      </x:c>
      <x:c r="H324" s="74" t="str">
        <x:v>Proposed</x:v>
      </x:c>
      <x:c r="I324" s="86" t="str">
        <x:v>Needs Director review</x:v>
      </x:c>
      <x:c r="J324" s="83" t="str"/>
    </x:row>
    <x:row r="325" ht="40.5" customHeight="1">
      <x:c r="A325" s="74" t="n">
        <x:v>321</x:v>
      </x:c>
      <x:c r="B325" s="74" t="str">
        <x:v>XP-321</x:v>
      </x:c>
      <x:c r="C325" s="74" t="str">
        <x:v>Tar ball</x:v>
      </x:c>
      <x:c r="D325" s="74" t="str">
        <x:v>Natural drift</x:v>
      </x:c>
      <x:c r="E325" s="74" t="str">
        <x:v>Salvage Manifest v0.2</x:v>
      </x:c>
      <x:c r="F325" s="74" t="str">
        <x:v>H3</x:v>
      </x:c>
      <x:c r="G325" s="74" t="str">
        <x:v>Story clue; possible waterproofing only after identification</x:v>
      </x:c>
      <x:c r="H325" s="74" t="str">
        <x:v>Proposed</x:v>
      </x:c>
      <x:c r="I325" s="86" t="str">
        <x:v>Needs Director review</x:v>
      </x:c>
      <x:c r="J325" s="83" t="str"/>
    </x:row>
    <x:row r="326" ht="40.5" customHeight="1">
      <x:c r="A326" s="74" t="n">
        <x:v>322</x:v>
      </x:c>
      <x:c r="B326" s="74" t="str">
        <x:v>XP-322</x:v>
      </x:c>
      <x:c r="C326" s="74" t="str">
        <x:v>Whole coconut</x:v>
      </x:c>
      <x:c r="D326" s="74" t="str">
        <x:v>Natural drift</x:v>
      </x:c>
      <x:c r="E326" s="74" t="str">
        <x:v>Salvage Manifest v0.2</x:v>
      </x:c>
      <x:c r="F326" s="74" t="str">
        <x:v>H0</x:v>
      </x:c>
      <x:c r="G326" s="74" t="str">
        <x:v>Drink and food after identification; seed; float marker</x:v>
      </x:c>
      <x:c r="H326" s="74" t="str">
        <x:v>Proposed</x:v>
      </x:c>
      <x:c r="I326" s="86" t="str">
        <x:v>Needs Director review</x:v>
      </x:c>
      <x:c r="J326" s="83" t="str"/>
    </x:row>
    <x:row r="327" ht="40.5" customHeight="1">
      <x:c r="A327" s="74" t="n">
        <x:v>323</x:v>
      </x:c>
      <x:c r="B327" s="74" t="str">
        <x:v>XP-323</x:v>
      </x:c>
      <x:c r="C327" s="74" t="str">
        <x:v>Backed stone hand cutter</x:v>
      </x:c>
      <x:c r="D327" s="74" t="str">
        <x:v>Percussion and edge making</x:v>
      </x:c>
      <x:c r="E327" s="74" t="str">
        <x:v>Natural Tools v0.2</x:v>
      </x:c>
      <x:c r="F327" s="74" t="str">
        <x:v>H0</x:v>
      </x:c>
      <x:c r="G327" s="74" t="str">
        <x:v>Controlled cutting; whittling; seam cutting; food preparation</x:v>
      </x:c>
      <x:c r="H327" s="74" t="str">
        <x:v>Proposed</x:v>
      </x:c>
      <x:c r="I327" s="86" t="str">
        <x:v>Needs Director review</x:v>
      </x:c>
      <x:c r="J327" s="83" t="str"/>
    </x:row>
    <x:row r="328" ht="40.5" customHeight="1">
      <x:c r="A328" s="74" t="n">
        <x:v>324</x:v>
      </x:c>
      <x:c r="B328" s="74" t="str">
        <x:v>XP-324</x:v>
      </x:c>
      <x:c r="C328" s="74" t="str">
        <x:v>Grooved stone maul head</x:v>
      </x:c>
      <x:c r="D328" s="74" t="str">
        <x:v>Percussion and edge making</x:v>
      </x:c>
      <x:c r="E328" s="74" t="str">
        <x:v>Natural Tools v0.2</x:v>
      </x:c>
      <x:c r="F328" s="74" t="str">
        <x:v>H2</x:v>
      </x:c>
      <x:c r="G328" s="74" t="str">
        <x:v>Drive stakes and gluts; crush shell; heavy pounding</x:v>
      </x:c>
      <x:c r="H328" s="74" t="str">
        <x:v>Proposed</x:v>
      </x:c>
      <x:c r="I328" s="86" t="str">
        <x:v>Needs Director review</x:v>
      </x:c>
      <x:c r="J328" s="83" t="str"/>
    </x:row>
    <x:row r="329" ht="40.5" customHeight="1">
      <x:c r="A329" s="74" t="n">
        <x:v>325</x:v>
      </x:c>
      <x:c r="B329" s="74" t="str">
        <x:v>XP-325</x:v>
      </x:c>
      <x:c r="C329" s="74" t="str">
        <x:v>Hammerstone</x:v>
      </x:c>
      <x:c r="D329" s="74" t="str">
        <x:v>Percussion and edge making</x:v>
      </x:c>
      <x:c r="E329" s="74" t="str">
        <x:v>Natural Tools v0.2</x:v>
      </x:c>
      <x:c r="F329" s="74" t="str">
        <x:v>H0</x:v>
      </x:c>
      <x:c r="G329" s="74" t="str">
        <x:v>Strike cores; crush nuts; bruise fiber; drive wedges</x:v>
      </x:c>
      <x:c r="H329" s="74" t="str">
        <x:v>Proposed</x:v>
      </x:c>
      <x:c r="I329" s="86" t="str">
        <x:v>Needs Director review</x:v>
      </x:c>
      <x:c r="J329" s="83" t="str"/>
    </x:row>
    <x:row r="330" ht="40.5" customHeight="1">
      <x:c r="A330" s="74" t="n">
        <x:v>326</x:v>
      </x:c>
      <x:c r="B330" s="74" t="str">
        <x:v>XP-326</x:v>
      </x:c>
      <x:c r="C330" s="74" t="str">
        <x:v>Sharp stone flake</x:v>
      </x:c>
      <x:c r="D330" s="74" t="str">
        <x:v>Percussion and edge making</x:v>
      </x:c>
      <x:c r="E330" s="74" t="str">
        <x:v>Natural Tools v0.2</x:v>
      </x:c>
      <x:c r="F330" s="74" t="str">
        <x:v>H0</x:v>
      </x:c>
      <x:c r="G330" s="74" t="str">
        <x:v>Slice meat; cut plants; trim bark; cut cord</x:v>
      </x:c>
      <x:c r="H330" s="74" t="str">
        <x:v>Proposed</x:v>
      </x:c>
      <x:c r="I330" s="86" t="str">
        <x:v>Needs Director review</x:v>
      </x:c>
      <x:c r="J330" s="83" t="str"/>
    </x:row>
    <x:row r="331" ht="40.5" customHeight="1">
      <x:c r="A331" s="74" t="n">
        <x:v>327</x:v>
      </x:c>
      <x:c r="B331" s="74" t="str">
        <x:v>XP-327</x:v>
      </x:c>
      <x:c r="C331" s="74" t="str">
        <x:v>Stone chopper</x:v>
      </x:c>
      <x:c r="D331" s="74" t="str">
        <x:v>Percussion and edge making</x:v>
      </x:c>
      <x:c r="E331" s="74" t="str">
        <x:v>Natural Tools v0.2</x:v>
      </x:c>
      <x:c r="F331" s="74" t="str">
        <x:v>H0</x:v>
      </x:c>
      <x:c r="G331" s="74" t="str">
        <x:v>Hack branches; split joints; coarse butchery</x:v>
      </x:c>
      <x:c r="H331" s="74" t="str">
        <x:v>Proposed</x:v>
      </x:c>
      <x:c r="I331" s="86" t="str">
        <x:v>Needs Director review</x:v>
      </x:c>
      <x:c r="J331" s="83" t="str"/>
    </x:row>
    <x:row r="332" ht="40.5" customHeight="1">
      <x:c r="A332" s="74" t="n">
        <x:v>328</x:v>
      </x:c>
      <x:c r="B332" s="74" t="str">
        <x:v>XP-328</x:v>
      </x:c>
      <x:c r="C332" s="74" t="str">
        <x:v>Stone core</x:v>
      </x:c>
      <x:c r="D332" s="74" t="str">
        <x:v>Percussion and edge making</x:v>
      </x:c>
      <x:c r="E332" s="74" t="str">
        <x:v>Natural Tools v0.2</x:v>
      </x:c>
      <x:c r="F332" s="74" t="str">
        <x:v>H0</x:v>
      </x:c>
      <x:c r="G332" s="74" t="str">
        <x:v>Controlled source of sharp flakes; heavy chopping edge</x:v>
      </x:c>
      <x:c r="H332" s="74" t="str">
        <x:v>Proposed</x:v>
      </x:c>
      <x:c r="I332" s="86" t="str">
        <x:v>Needs Director review</x:v>
      </x:c>
      <x:c r="J332" s="83" t="str"/>
    </x:row>
    <x:row r="333" ht="40.5" customHeight="1">
      <x:c r="A333" s="74" t="n">
        <x:v>329</x:v>
      </x:c>
      <x:c r="B333" s="74" t="str">
        <x:v>XP-329</x:v>
      </x:c>
      <x:c r="C333" s="74" t="str">
        <x:v>Stone hand axe</x:v>
      </x:c>
      <x:c r="D333" s="74" t="str">
        <x:v>Percussion and edge making</x:v>
      </x:c>
      <x:c r="E333" s="74" t="str">
        <x:v>Natural Tools v0.2</x:v>
      </x:c>
      <x:c r="F333" s="74" t="str">
        <x:v>H1</x:v>
      </x:c>
      <x:c r="G333" s="74" t="str">
        <x:v>Chop; slice; scrape; shape stakes</x:v>
      </x:c>
      <x:c r="H333" s="74" t="str">
        <x:v>Proposed</x:v>
      </x:c>
      <x:c r="I333" s="86" t="str">
        <x:v>Needs Director review</x:v>
      </x:c>
      <x:c r="J333" s="83" t="str"/>
    </x:row>
    <x:row r="334" ht="40.5" customHeight="1">
      <x:c r="A334" s="74" t="n">
        <x:v>330</x:v>
      </x:c>
      <x:c r="B334" s="74" t="str">
        <x:v>XP-330</x:v>
      </x:c>
      <x:c r="C334" s="74" t="str">
        <x:v>Belt</x:v>
      </x:c>
      <x:c r="D334" s="74" t="str">
        <x:v>Personal effects</x:v>
      </x:c>
      <x:c r="E334" s="74" t="str">
        <x:v>Salvage Manifest v0.2</x:v>
      </x:c>
      <x:c r="F334" s="74" t="str">
        <x:v>H1</x:v>
      </x:c>
      <x:c r="G334" s="74" t="str">
        <x:v>Belt; strap; tourniquet only in emergency knowledge route</x:v>
      </x:c>
      <x:c r="H334" s="74" t="str">
        <x:v>Proposed</x:v>
      </x:c>
      <x:c r="I334" s="86" t="str">
        <x:v>Needs Director review</x:v>
      </x:c>
      <x:c r="J334" s="83" t="str"/>
    </x:row>
    <x:row r="335" ht="40.5" customHeight="1">
      <x:c r="A335" s="74" t="n">
        <x:v>331</x:v>
      </x:c>
      <x:c r="B335" s="74" t="str">
        <x:v>XP-331</x:v>
      </x:c>
      <x:c r="C335" s="74" t="str">
        <x:v>Canvas bag</x:v>
      </x:c>
      <x:c r="D335" s="74" t="str">
        <x:v>Personal effects</x:v>
      </x:c>
      <x:c r="E335" s="74" t="str">
        <x:v>Salvage Manifest v0.2</x:v>
      </x:c>
      <x:c r="F335" s="74" t="str">
        <x:v>H1</x:v>
      </x:c>
      <x:c r="G335" s="74" t="str">
        <x:v>Carry; filter support; storage; sandbag</x:v>
      </x:c>
      <x:c r="H335" s="74" t="str">
        <x:v>Proposed</x:v>
      </x:c>
      <x:c r="I335" s="86" t="str">
        <x:v>Needs Director review</x:v>
      </x:c>
      <x:c r="J335" s="83" t="str"/>
    </x:row>
    <x:row r="336" ht="40.5" customHeight="1">
      <x:c r="A336" s="74" t="n">
        <x:v>332</x:v>
      </x:c>
      <x:c r="B336" s="74" t="str">
        <x:v>XP-332</x:v>
      </x:c>
      <x:c r="C336" s="74" t="str">
        <x:v>Fabric clothing</x:v>
      </x:c>
      <x:c r="D336" s="74" t="str">
        <x:v>Personal effects</x:v>
      </x:c>
      <x:c r="E336" s="74" t="str">
        <x:v>Salvage Manifest v0.2</x:v>
      </x:c>
      <x:c r="F336" s="74" t="str">
        <x:v>H1</x:v>
      </x:c>
      <x:c r="G336" s="74" t="str">
        <x:v>Wear; patch; shade; padding</x:v>
      </x:c>
      <x:c r="H336" s="74" t="str">
        <x:v>Proposed</x:v>
      </x:c>
      <x:c r="I336" s="86" t="str">
        <x:v>Needs Director review</x:v>
      </x:c>
      <x:c r="J336" s="83" t="str"/>
    </x:row>
    <x:row r="337" ht="40.5" customHeight="1">
      <x:c r="A337" s="74" t="n">
        <x:v>333</x:v>
      </x:c>
      <x:c r="B337" s="74" t="str">
        <x:v>XP-333</x:v>
      </x:c>
      <x:c r="C337" s="74" t="str">
        <x:v>Leather boot</x:v>
      </x:c>
      <x:c r="D337" s="74" t="str">
        <x:v>Personal effects</x:v>
      </x:c>
      <x:c r="E337" s="74" t="str">
        <x:v>Salvage Manifest v0.2</x:v>
      </x:c>
      <x:c r="F337" s="74" t="str">
        <x:v>H1</x:v>
      </x:c>
      <x:c r="G337" s="74" t="str">
        <x:v>Footwear if fit and clean; tool holster</x:v>
      </x:c>
      <x:c r="H337" s="74" t="str">
        <x:v>Proposed</x:v>
      </x:c>
      <x:c r="I337" s="86" t="str">
        <x:v>Needs Director review</x:v>
      </x:c>
      <x:c r="J337" s="83" t="str"/>
    </x:row>
    <x:row r="338" ht="40.5" customHeight="1">
      <x:c r="A338" s="74" t="n">
        <x:v>334</x:v>
      </x:c>
      <x:c r="B338" s="74" t="str">
        <x:v>XP-334</x:v>
      </x:c>
      <x:c r="C338" s="74" t="str">
        <x:v>Mosquito net</x:v>
      </x:c>
      <x:c r="D338" s="74" t="str">
        <x:v>Personal effects</x:v>
      </x:c>
      <x:c r="E338" s="74" t="str">
        <x:v>Salvage Manifest v0.2</x:v>
      </x:c>
      <x:c r="F338" s="74" t="str">
        <x:v>H1</x:v>
      </x:c>
      <x:c r="G338" s="74" t="str">
        <x:v>Insect barrier; food drying guard; seed sieve</x:v>
      </x:c>
      <x:c r="H338" s="74" t="str">
        <x:v>Proposed</x:v>
      </x:c>
      <x:c r="I338" s="86" t="str">
        <x:v>Needs Director review</x:v>
      </x:c>
      <x:c r="J338" s="83" t="str"/>
    </x:row>
    <x:row r="339" ht="40.5" customHeight="1">
      <x:c r="A339" s="74" t="n">
        <x:v>335</x:v>
      </x:c>
      <x:c r="B339" s="74" t="str">
        <x:v>XP-335</x:v>
      </x:c>
      <x:c r="C339" s="74" t="str">
        <x:v>Rain jacket</x:v>
      </x:c>
      <x:c r="D339" s="74" t="str">
        <x:v>Personal effects</x:v>
      </x:c>
      <x:c r="E339" s="74" t="str">
        <x:v>Salvage Manifest v0.2</x:v>
      </x:c>
      <x:c r="F339" s="74" t="str">
        <x:v>H1</x:v>
      </x:c>
      <x:c r="G339" s="74" t="str">
        <x:v>Weather protection; water-shedding panel</x:v>
      </x:c>
      <x:c r="H339" s="74" t="str">
        <x:v>Proposed</x:v>
      </x:c>
      <x:c r="I339" s="86" t="str">
        <x:v>Needs Director review</x:v>
      </x:c>
      <x:c r="J339" s="83" t="str"/>
    </x:row>
    <x:row r="340" ht="40.5" customHeight="1">
      <x:c r="A340" s="74" t="n">
        <x:v>336</x:v>
      </x:c>
      <x:c r="B340" s="74" t="str">
        <x:v>XP-336</x:v>
      </x:c>
      <x:c r="C340" s="74" t="str">
        <x:v>Sewing kit</x:v>
      </x:c>
      <x:c r="D340" s="74" t="str">
        <x:v>Personal effects</x:v>
      </x:c>
      <x:c r="E340" s="74" t="str">
        <x:v>Salvage Manifest v0.2</x:v>
      </x:c>
      <x:c r="F340" s="74" t="str">
        <x:v>H1</x:v>
      </x:c>
      <x:c r="G340" s="74" t="str">
        <x:v>Repair cloth; leather; sails; packs</x:v>
      </x:c>
      <x:c r="H340" s="74" t="str">
        <x:v>Proposed</x:v>
      </x:c>
      <x:c r="I340" s="86" t="str">
        <x:v>Needs Director review</x:v>
      </x:c>
      <x:c r="J340" s="83" t="str"/>
    </x:row>
    <x:row r="341" ht="40.5" customHeight="1">
      <x:c r="A341" s="74" t="n">
        <x:v>337</x:v>
      </x:c>
      <x:c r="B341" s="74" t="str">
        <x:v>XP-337</x:v>
      </x:c>
      <x:c r="C341" s="74" t="str">
        <x:v>Towel</x:v>
      </x:c>
      <x:c r="D341" s="74" t="str">
        <x:v>Personal effects</x:v>
      </x:c>
      <x:c r="E341" s="74" t="str">
        <x:v>Salvage Manifest v0.2</x:v>
      </x:c>
      <x:c r="F341" s="74" t="str">
        <x:v>H1</x:v>
      </x:c>
      <x:c r="G341" s="74" t="str">
        <x:v>Drying; cleaning; padding</x:v>
      </x:c>
      <x:c r="H341" s="74" t="str">
        <x:v>Proposed</x:v>
      </x:c>
      <x:c r="I341" s="86" t="str">
        <x:v>Needs Director review</x:v>
      </x:c>
      <x:c r="J341" s="83" t="str"/>
    </x:row>
    <x:row r="342" ht="40.5" customHeight="1">
      <x:c r="A342" s="74" t="n">
        <x:v>338</x:v>
      </x:c>
      <x:c r="B342" s="74" t="str">
        <x:v>XP-338</x:v>
      </x:c>
      <x:c r="C342" s="74" t="str">
        <x:v>Wool blanket</x:v>
      </x:c>
      <x:c r="D342" s="74" t="str">
        <x:v>Personal effects</x:v>
      </x:c>
      <x:c r="E342" s="74" t="str">
        <x:v>Salvage Manifest v0.2</x:v>
      </x:c>
      <x:c r="F342" s="74" t="str">
        <x:v>H1</x:v>
      </x:c>
      <x:c r="G342" s="74" t="str">
        <x:v>Warmth; insulation; bedding; smoke filter prelayer</x:v>
      </x:c>
      <x:c r="H342" s="74" t="str">
        <x:v>Proposed</x:v>
      </x:c>
      <x:c r="I342" s="86" t="str">
        <x:v>Needs Director review</x:v>
      </x:c>
      <x:c r="J342" s="83" t="str"/>
    </x:row>
    <x:row r="343" ht="40.5" customHeight="1">
      <x:c r="A343" s="74" t="n">
        <x:v>339</x:v>
      </x:c>
      <x:c r="B343" s="74" t="str">
        <x:v>XP-339</x:v>
      </x:c>
      <x:c r="C343" s="74" t="str">
        <x:v>Denticulate saw flake</x:v>
      </x:c>
      <x:c r="D343" s="74" t="str">
        <x:v>Piercing and detail work</x:v>
      </x:c>
      <x:c r="E343" s="74" t="str">
        <x:v>Natural Tools v0.2</x:v>
      </x:c>
      <x:c r="F343" s="74" t="str">
        <x:v>H1</x:v>
      </x:c>
      <x:c r="G343" s="74" t="str">
        <x:v>Saw notches in soft wood; cut tendon; score bark</x:v>
      </x:c>
      <x:c r="H343" s="74" t="str">
        <x:v>Proposed</x:v>
      </x:c>
      <x:c r="I343" s="86" t="str">
        <x:v>Needs Director review</x:v>
      </x:c>
      <x:c r="J343" s="83" t="str"/>
    </x:row>
    <x:row r="344" ht="40.5" customHeight="1">
      <x:c r="A344" s="74" t="n">
        <x:v>340</x:v>
      </x:c>
      <x:c r="B344" s="74" t="str">
        <x:v>XP-340</x:v>
      </x:c>
      <x:c r="C344" s="74" t="str">
        <x:v>Stone awl</x:v>
      </x:c>
      <x:c r="D344" s="74" t="str">
        <x:v>Piercing and detail work</x:v>
      </x:c>
      <x:c r="E344" s="74" t="str">
        <x:v>Natural Tools v0.2</x:v>
      </x:c>
      <x:c r="F344" s="74" t="str">
        <x:v>H1</x:v>
      </x:c>
      <x:c r="G344" s="74" t="str">
        <x:v>Perforate leather; bark cloth; soft wood; basketry</x:v>
      </x:c>
      <x:c r="H344" s="74" t="str">
        <x:v>Proposed</x:v>
      </x:c>
      <x:c r="I344" s="86" t="str">
        <x:v>Needs Director review</x:v>
      </x:c>
      <x:c r="J344" s="83" t="str"/>
    </x:row>
    <x:row r="345" ht="40.5" customHeight="1">
      <x:c r="A345" s="74" t="n">
        <x:v>341</x:v>
      </x:c>
      <x:c r="B345" s="74" t="str">
        <x:v>XP-341</x:v>
      </x:c>
      <x:c r="C345" s="74" t="str">
        <x:v>Stone drill bit</x:v>
      </x:c>
      <x:c r="D345" s="74" t="str">
        <x:v>Piercing and detail work</x:v>
      </x:c>
      <x:c r="E345" s="74" t="str">
        <x:v>Natural Tools v0.2</x:v>
      </x:c>
      <x:c r="F345" s="74" t="str">
        <x:v>H1</x:v>
      </x:c>
      <x:c r="G345" s="74" t="str">
        <x:v>Bore small holes by rotation</x:v>
      </x:c>
      <x:c r="H345" s="74" t="str">
        <x:v>Proposed</x:v>
      </x:c>
      <x:c r="I345" s="86" t="str">
        <x:v>Needs Director review</x:v>
      </x:c>
      <x:c r="J345" s="83" t="str"/>
    </x:row>
    <x:row r="346" ht="40.5" customHeight="1">
      <x:c r="A346" s="74" t="n">
        <x:v>342</x:v>
      </x:c>
      <x:c r="B346" s="74" t="str">
        <x:v>XP-342</x:v>
      </x:c>
      <x:c r="C346" s="74" t="str">
        <x:v>Stone graver</x:v>
      </x:c>
      <x:c r="D346" s="74" t="str">
        <x:v>Piercing and detail work</x:v>
      </x:c>
      <x:c r="E346" s="74" t="str">
        <x:v>Natural Tools v0.2</x:v>
      </x:c>
      <x:c r="F346" s="74" t="str">
        <x:v>H1</x:v>
      </x:c>
      <x:c r="G346" s="74" t="str">
        <x:v>Incise grooves; start holes; cut notches; mark measures</x:v>
      </x:c>
      <x:c r="H346" s="74" t="str">
        <x:v>Proposed</x:v>
      </x:c>
      <x:c r="I346" s="86" t="str">
        <x:v>Needs Director review</x:v>
      </x:c>
      <x:c r="J346" s="83" t="str"/>
    </x:row>
    <x:row r="347" ht="40.5" customHeight="1">
      <x:c r="A347" s="74" t="n">
        <x:v>343</x:v>
      </x:c>
      <x:c r="B347" s="74" t="str">
        <x:v>XP-343</x:v>
      </x:c>
      <x:c r="C347" s="74" t="str">
        <x:v>Boiler blowdown valve</x:v>
      </x:c>
      <x:c r="D347" s="74" t="str">
        <x:v>Power and steam</x:v>
      </x:c>
      <x:c r="E347" s="74" t="str">
        <x:v>Power Roadmap v0.2</x:v>
      </x:c>
      <x:c r="F347" s="74" t="str">
        <x:v>H6</x:v>
      </x:c>
      <x:c r="G347" s="74" t="str">
        <x:v>Removes sediment and controls chemistry</x:v>
      </x:c>
      <x:c r="H347" s="74" t="str">
        <x:v>Proposed</x:v>
      </x:c>
      <x:c r="I347" s="86" t="str">
        <x:v>Needs Director review</x:v>
      </x:c>
      <x:c r="J347" s="83" t="str"/>
    </x:row>
    <x:row r="348" ht="40.5" customHeight="1">
      <x:c r="A348" s="74" t="n">
        <x:v>344</x:v>
      </x:c>
      <x:c r="B348" s="74" t="str">
        <x:v>XP-344</x:v>
      </x:c>
      <x:c r="C348" s="74" t="str">
        <x:v>Boiler pressure gauge</x:v>
      </x:c>
      <x:c r="D348" s="74" t="str">
        <x:v>Power and steam</x:v>
      </x:c>
      <x:c r="E348" s="74" t="str">
        <x:v>Power Roadmap v0.2</x:v>
      </x:c>
      <x:c r="F348" s="74" t="str">
        <x:v>H6</x:v>
      </x:c>
      <x:c r="G348" s="74" t="str">
        <x:v>Shows operating pressure</x:v>
      </x:c>
      <x:c r="H348" s="74" t="str">
        <x:v>Proposed</x:v>
      </x:c>
      <x:c r="I348" s="86" t="str">
        <x:v>Needs Director review</x:v>
      </x:c>
      <x:c r="J348" s="83" t="str"/>
    </x:row>
    <x:row r="349" ht="40.5" customHeight="1">
      <x:c r="A349" s="74" t="n">
        <x:v>345</x:v>
      </x:c>
      <x:c r="B349" s="74" t="str">
        <x:v>XP-345</x:v>
      </x:c>
      <x:c r="C349" s="74" t="str">
        <x:v>Boiler water reservoir</x:v>
      </x:c>
      <x:c r="D349" s="74" t="str">
        <x:v>Power and steam</x:v>
      </x:c>
      <x:c r="E349" s="74" t="str">
        <x:v>Power Roadmap v0.2</x:v>
      </x:c>
      <x:c r="F349" s="74" t="str">
        <x:v>H4</x:v>
      </x:c>
      <x:c r="G349" s="74" t="str">
        <x:v>Holds feedwater</x:v>
      </x:c>
      <x:c r="H349" s="74" t="str">
        <x:v>Proposed</x:v>
      </x:c>
      <x:c r="I349" s="86" t="str">
        <x:v>Needs Director review</x:v>
      </x:c>
      <x:c r="J349" s="83" t="str"/>
    </x:row>
    <x:row r="350" ht="40.5" customHeight="1">
      <x:c r="A350" s="74" t="n">
        <x:v>346</x:v>
      </x:c>
      <x:c r="B350" s="74" t="str">
        <x:v>XP-346</x:v>
      </x:c>
      <x:c r="C350" s="74" t="str">
        <x:v>Boiler-house fire and CO controls</x:v>
      </x:c>
      <x:c r="D350" s="74" t="str">
        <x:v>Power and steam</x:v>
      </x:c>
      <x:c r="E350" s="74" t="str">
        <x:v>Power Roadmap v0.2</x:v>
      </x:c>
      <x:c r="F350" s="74" t="str">
        <x:v>H6</x:v>
      </x:c>
      <x:c r="G350" s="74" t="str">
        <x:v>Makes continuous operation survivable</x:v>
      </x:c>
      <x:c r="H350" s="74" t="str">
        <x:v>Proposed</x:v>
      </x:c>
      <x:c r="I350" s="86" t="str">
        <x:v>Needs Director review</x:v>
      </x:c>
      <x:c r="J350" s="83" t="str"/>
    </x:row>
    <x:row r="351" ht="40.5" customHeight="1">
      <x:c r="A351" s="74" t="n">
        <x:v>347</x:v>
      </x:c>
      <x:c r="B351" s="74" t="str">
        <x:v>XP-347</x:v>
      </x:c>
      <x:c r="C351" s="74" t="str">
        <x:v>Charge controller</x:v>
      </x:c>
      <x:c r="D351" s="74" t="str">
        <x:v>Power and steam</x:v>
      </x:c>
      <x:c r="E351" s="74" t="str">
        <x:v>Power Roadmap v0.2</x:v>
      </x:c>
      <x:c r="F351" s="74" t="str">
        <x:v>H5</x:v>
      </x:c>
      <x:c r="G351" s="74" t="str">
        <x:v>Manages storage chemistry</x:v>
      </x:c>
      <x:c r="H351" s="74" t="str">
        <x:v>Proposed</x:v>
      </x:c>
      <x:c r="I351" s="86" t="str">
        <x:v>Needs Director review</x:v>
      </x:c>
      <x:c r="J351" s="83" t="str"/>
    </x:row>
    <x:row r="352" ht="40.5" customHeight="1">
      <x:c r="A352" s="74" t="n">
        <x:v>348</x:v>
      </x:c>
      <x:c r="B352" s="74" t="str">
        <x:v>XP-348</x:v>
      </x:c>
      <x:c r="C352" s="74" t="str">
        <x:v>Chimney and damper</x:v>
      </x:c>
      <x:c r="D352" s="74" t="str">
        <x:v>Power and steam</x:v>
      </x:c>
      <x:c r="E352" s="74" t="str">
        <x:v>Power Roadmap v0.2</x:v>
      </x:c>
      <x:c r="F352" s="74" t="str">
        <x:v>H5</x:v>
      </x:c>
      <x:c r="G352" s="74" t="str">
        <x:v>Removes combustion gas and controls burn</x:v>
      </x:c>
      <x:c r="H352" s="74" t="str">
        <x:v>Proposed</x:v>
      </x:c>
      <x:c r="I352" s="86" t="str">
        <x:v>Needs Director review</x:v>
      </x:c>
      <x:c r="J352" s="83" t="str"/>
    </x:row>
    <x:row r="353" ht="40.5" customHeight="1">
      <x:c r="A353" s="74" t="n">
        <x:v>349</x:v>
      </x:c>
      <x:c r="B353" s="74" t="str">
        <x:v>XP-349</x:v>
      </x:c>
      <x:c r="C353" s="74" t="str">
        <x:v>Connecting rod and crank</x:v>
      </x:c>
      <x:c r="D353" s="74" t="str">
        <x:v>Power and steam</x:v>
      </x:c>
      <x:c r="E353" s="74" t="str">
        <x:v>Power Roadmap v0.2</x:v>
      </x:c>
      <x:c r="F353" s="74" t="str">
        <x:v>H6</x:v>
      </x:c>
      <x:c r="G353" s="74" t="str">
        <x:v>Converts reciprocation to rotation</x:v>
      </x:c>
      <x:c r="H353" s="74" t="str">
        <x:v>Proposed</x:v>
      </x:c>
      <x:c r="I353" s="86" t="str">
        <x:v>Needs Director review</x:v>
      </x:c>
      <x:c r="J353" s="83" t="str"/>
    </x:row>
    <x:row r="354" ht="40.5" customHeight="1">
      <x:c r="A354" s="74" t="n">
        <x:v>350</x:v>
      </x:c>
      <x:c r="B354" s="74" t="str">
        <x:v>XP-350</x:v>
      </x:c>
      <x:c r="C354" s="74" t="str">
        <x:v>Engine valve gear</x:v>
      </x:c>
      <x:c r="D354" s="74" t="str">
        <x:v>Power and steam</x:v>
      </x:c>
      <x:c r="E354" s="74" t="str">
        <x:v>Power Roadmap v0.2</x:v>
      </x:c>
      <x:c r="F354" s="74" t="str">
        <x:v>H6</x:v>
      </x:c>
      <x:c r="G354" s="74" t="str">
        <x:v>Admits and exhausts steam</x:v>
      </x:c>
      <x:c r="H354" s="74" t="str">
        <x:v>Proposed</x:v>
      </x:c>
      <x:c r="I354" s="86" t="str">
        <x:v>Needs Director review</x:v>
      </x:c>
      <x:c r="J354" s="83" t="str"/>
    </x:row>
    <x:row r="355" ht="40.5" customHeight="1">
      <x:c r="A355" s="74" t="n">
        <x:v>351</x:v>
      </x:c>
      <x:c r="B355" s="74" t="str">
        <x:v>XP-351</x:v>
      </x:c>
      <x:c r="C355" s="74" t="str">
        <x:v>Engine-generator coupling</x:v>
      </x:c>
      <x:c r="D355" s="74" t="str">
        <x:v>Power and steam</x:v>
      </x:c>
      <x:c r="E355" s="74" t="str">
        <x:v>Power Roadmap v0.2</x:v>
      </x:c>
      <x:c r="F355" s="74" t="str">
        <x:v>H6</x:v>
      </x:c>
      <x:c r="G355" s="74" t="str">
        <x:v>Transfers engine rotation to generator</x:v>
      </x:c>
      <x:c r="H355" s="74" t="str">
        <x:v>Proposed</x:v>
      </x:c>
      <x:c r="I355" s="86" t="str">
        <x:v>Needs Director review</x:v>
      </x:c>
      <x:c r="J355" s="83" t="str"/>
    </x:row>
    <x:row r="356" ht="40.5" customHeight="1">
      <x:c r="A356" s="74" t="n">
        <x:v>352</x:v>
      </x:c>
      <x:c r="B356" s="74" t="str">
        <x:v>XP-352</x:v>
      </x:c>
      <x:c r="C356" s="74" t="str">
        <x:v>Exhaust condenser</x:v>
      </x:c>
      <x:c r="D356" s="74" t="str">
        <x:v>Power and steam</x:v>
      </x:c>
      <x:c r="E356" s="74" t="str">
        <x:v>Power Roadmap v0.2</x:v>
      </x:c>
      <x:c r="F356" s="74" t="str">
        <x:v>H6</x:v>
      </x:c>
      <x:c r="G356" s="74" t="str">
        <x:v>Recovers water and improves efficiency</x:v>
      </x:c>
      <x:c r="H356" s="74" t="str">
        <x:v>Proposed</x:v>
      </x:c>
      <x:c r="I356" s="86" t="str">
        <x:v>Needs Director review</x:v>
      </x:c>
      <x:c r="J356" s="83" t="str"/>
    </x:row>
    <x:row r="357" ht="40.5" customHeight="1">
      <x:c r="A357" s="74" t="n">
        <x:v>353</x:v>
      </x:c>
      <x:c r="B357" s="74" t="str">
        <x:v>XP-353</x:v>
      </x:c>
      <x:c r="C357" s="74" t="str">
        <x:v>Feedwater pump</x:v>
      </x:c>
      <x:c r="D357" s="74" t="str">
        <x:v>Power and steam</x:v>
      </x:c>
      <x:c r="E357" s="74" t="str">
        <x:v>Power Roadmap v0.2</x:v>
      </x:c>
      <x:c r="F357" s="74" t="str">
        <x:v>H6</x:v>
      </x:c>
      <x:c r="G357" s="74" t="str">
        <x:v>Adds water against boiler pressure</x:v>
      </x:c>
      <x:c r="H357" s="74" t="str">
        <x:v>Proposed</x:v>
      </x:c>
      <x:c r="I357" s="86" t="str">
        <x:v>Needs Director review</x:v>
      </x:c>
      <x:c r="J357" s="83" t="str"/>
    </x:row>
    <x:row r="358" ht="40.5" customHeight="1">
      <x:c r="A358" s="74" t="n">
        <x:v>354</x:v>
      </x:c>
      <x:c r="B358" s="74" t="str">
        <x:v>XP-354</x:v>
      </x:c>
      <x:c r="C358" s="74" t="str">
        <x:v>Feedwater treatment set</x:v>
      </x:c>
      <x:c r="D358" s="74" t="str">
        <x:v>Power and steam</x:v>
      </x:c>
      <x:c r="E358" s="74" t="str">
        <x:v>Power Roadmap v0.2</x:v>
      </x:c>
      <x:c r="F358" s="74" t="str">
        <x:v>H5</x:v>
      </x:c>
      <x:c r="G358" s="74" t="str">
        <x:v>Reduces scale and corrosion</x:v>
      </x:c>
      <x:c r="H358" s="74" t="str">
        <x:v>Proposed</x:v>
      </x:c>
      <x:c r="I358" s="86" t="str">
        <x:v>Needs Director review</x:v>
      </x:c>
      <x:c r="J358" s="83" t="str"/>
    </x:row>
    <x:row r="359" ht="40.5" customHeight="1">
      <x:c r="A359" s="74" t="n">
        <x:v>355</x:v>
      </x:c>
      <x:c r="B359" s="74" t="str">
        <x:v>XP-355</x:v>
      </x:c>
      <x:c r="C359" s="74" t="str">
        <x:v>Firebox and grate</x:v>
      </x:c>
      <x:c r="D359" s="74" t="str">
        <x:v>Power and steam</x:v>
      </x:c>
      <x:c r="E359" s="74" t="str">
        <x:v>Power Roadmap v0.2</x:v>
      </x:c>
      <x:c r="F359" s="74" t="str">
        <x:v>H5</x:v>
      </x:c>
      <x:c r="G359" s="74" t="str">
        <x:v>Produces boiler heat</x:v>
      </x:c>
      <x:c r="H359" s="74" t="str">
        <x:v>Proposed</x:v>
      </x:c>
      <x:c r="I359" s="86" t="str">
        <x:v>Needs Director review</x:v>
      </x:c>
      <x:c r="J359" s="83" t="str"/>
    </x:row>
    <x:row r="360" ht="40.5" customHeight="1">
      <x:c r="A360" s="74" t="n">
        <x:v>356</x:v>
      </x:c>
      <x:c r="B360" s="74" t="str">
        <x:v>XP-356</x:v>
      </x:c>
      <x:c r="C360" s="74" t="str">
        <x:v>Flywheel with guard</x:v>
      </x:c>
      <x:c r="D360" s="74" t="str">
        <x:v>Power and steam</x:v>
      </x:c>
      <x:c r="E360" s="74" t="str">
        <x:v>Power Roadmap v0.2</x:v>
      </x:c>
      <x:c r="F360" s="74" t="str">
        <x:v>H7</x:v>
      </x:c>
      <x:c r="G360" s="74" t="str">
        <x:v>Smooths torque through cycle</x:v>
      </x:c>
      <x:c r="H360" s="74" t="str">
        <x:v>Proposed</x:v>
      </x:c>
      <x:c r="I360" s="86" t="str">
        <x:v>Needs Director review</x:v>
      </x:c>
      <x:c r="J360" s="83" t="str"/>
    </x:row>
    <x:row r="361" ht="40.5" customHeight="1">
      <x:c r="A361" s="74" t="n">
        <x:v>357</x:v>
      </x:c>
      <x:c r="B361" s="74" t="str">
        <x:v>XP-357</x:v>
      </x:c>
      <x:c r="C361" s="74" t="str">
        <x:v>Fuse holder</x:v>
      </x:c>
      <x:c r="D361" s="74" t="str">
        <x:v>Power and steam</x:v>
      </x:c>
      <x:c r="E361" s="74" t="str">
        <x:v>Power Roadmap v0.2</x:v>
      </x:c>
      <x:c r="F361" s="74" t="str">
        <x:v>H3</x:v>
      </x:c>
      <x:c r="G361" s="74" t="str">
        <x:v>Replaceable overcurrent protection</x:v>
      </x:c>
      <x:c r="H361" s="74" t="str">
        <x:v>Proposed</x:v>
      </x:c>
      <x:c r="I361" s="86" t="str">
        <x:v>Needs Director review</x:v>
      </x:c>
      <x:c r="J361" s="83" t="str"/>
    </x:row>
    <x:row r="362" ht="40.5" customHeight="1">
      <x:c r="A362" s="74" t="n">
        <x:v>358</x:v>
      </x:c>
      <x:c r="B362" s="74" t="str">
        <x:v>XP-358</x:v>
      </x:c>
      <x:c r="C362" s="74" t="str">
        <x:v>Generator head</x:v>
      </x:c>
      <x:c r="D362" s="74" t="str">
        <x:v>Power and steam</x:v>
      </x:c>
      <x:c r="E362" s="74" t="str">
        <x:v>Power Roadmap v0.2</x:v>
      </x:c>
      <x:c r="F362" s="74" t="str">
        <x:v>H5</x:v>
      </x:c>
      <x:c r="G362" s="74" t="str">
        <x:v>Converts rotary work to electricity</x:v>
      </x:c>
      <x:c r="H362" s="74" t="str">
        <x:v>Proposed</x:v>
      </x:c>
      <x:c r="I362" s="86" t="str">
        <x:v>Needs Director review</x:v>
      </x:c>
      <x:c r="J362" s="83" t="str"/>
    </x:row>
    <x:row r="363" ht="40.5" customHeight="1">
      <x:c r="A363" s="74" t="n">
        <x:v>359</x:v>
      </x:c>
      <x:c r="B363" s="74" t="str">
        <x:v>XP-359</x:v>
      </x:c>
      <x:c r="C363" s="74" t="str">
        <x:v>Grounding and bonding set</x:v>
      </x:c>
      <x:c r="D363" s="74" t="str">
        <x:v>Power and steam</x:v>
      </x:c>
      <x:c r="E363" s="74" t="str">
        <x:v>Power Roadmap v0.2</x:v>
      </x:c>
      <x:c r="F363" s="74" t="str">
        <x:v>H5</x:v>
      </x:c>
      <x:c r="G363" s="74" t="str">
        <x:v>Controls fault paths and static where design requires</x:v>
      </x:c>
      <x:c r="H363" s="74" t="str">
        <x:v>Proposed</x:v>
      </x:c>
      <x:c r="I363" s="86" t="str">
        <x:v>Needs Director review</x:v>
      </x:c>
      <x:c r="J363" s="83" t="str"/>
    </x:row>
    <x:row r="364" ht="40.5" customHeight="1">
      <x:c r="A364" s="74" t="n">
        <x:v>360</x:v>
      </x:c>
      <x:c r="B364" s="74" t="str">
        <x:v>XP-360</x:v>
      </x:c>
      <x:c r="C364" s="74" t="str">
        <x:v>Hand-crank generator</x:v>
      </x:c>
      <x:c r="D364" s="74" t="str">
        <x:v>Power and steam</x:v>
      </x:c>
      <x:c r="E364" s="74" t="str">
        <x:v>Power Roadmap v0.2</x:v>
      </x:c>
      <x:c r="F364" s="74" t="str">
        <x:v>H3</x:v>
      </x:c>
      <x:c r="G364" s="74" t="str">
        <x:v>First controllable generation</x:v>
      </x:c>
      <x:c r="H364" s="74" t="str">
        <x:v>Proposed</x:v>
      </x:c>
      <x:c r="I364" s="86" t="str">
        <x:v>Needs Director review</x:v>
      </x:c>
      <x:c r="J364" s="83" t="str"/>
    </x:row>
    <x:row r="365" ht="40.5" customHeight="1">
      <x:c r="A365" s="74" t="n">
        <x:v>361</x:v>
      </x:c>
      <x:c r="B365" s="74" t="str">
        <x:v>XP-361</x:v>
      </x:c>
      <x:c r="C365" s="74" t="str">
        <x:v>Insulated hand tools</x:v>
      </x:c>
      <x:c r="D365" s="74" t="str">
        <x:v>Power and steam</x:v>
      </x:c>
      <x:c r="E365" s="74" t="str">
        <x:v>Power Roadmap v0.2</x:v>
      </x:c>
      <x:c r="F365" s="74" t="str">
        <x:v>H3</x:v>
      </x:c>
      <x:c r="G365" s="74" t="str">
        <x:v>Reduce accidental shorts and shock</x:v>
      </x:c>
      <x:c r="H365" s="74" t="str">
        <x:v>Proposed</x:v>
      </x:c>
      <x:c r="I365" s="86" t="str">
        <x:v>Needs Director review</x:v>
      </x:c>
      <x:c r="J365" s="83" t="str"/>
    </x:row>
    <x:row r="366" ht="40.5" customHeight="1">
      <x:c r="A366" s="74" t="n">
        <x:v>362</x:v>
      </x:c>
      <x:c r="B366" s="74" t="str">
        <x:v>XP-362</x:v>
      </x:c>
      <x:c r="C366" s="74" t="str">
        <x:v>Lead-acid battery bank</x:v>
      </x:c>
      <x:c r="D366" s="74" t="str">
        <x:v>Power and steam</x:v>
      </x:c>
      <x:c r="E366" s="74" t="str">
        <x:v>Power Roadmap v0.2</x:v>
      </x:c>
      <x:c r="F366" s="74" t="str">
        <x:v>H5</x:v>
      </x:c>
      <x:c r="G366" s="74" t="str">
        <x:v>Stores intermittent generation</x:v>
      </x:c>
      <x:c r="H366" s="74" t="str">
        <x:v>Proposed</x:v>
      </x:c>
      <x:c r="I366" s="86" t="str">
        <x:v>Needs Director review</x:v>
      </x:c>
      <x:c r="J366" s="83" t="str"/>
    </x:row>
    <x:row r="367" ht="40.5" customHeight="1">
      <x:c r="A367" s="74" t="n">
        <x:v>363</x:v>
      </x:c>
      <x:c r="B367" s="74" t="str">
        <x:v>XP-363</x:v>
      </x:c>
      <x:c r="C367" s="74" t="str">
        <x:v>LED lighting circuit</x:v>
      </x:c>
      <x:c r="D367" s="74" t="str">
        <x:v>Power and steam</x:v>
      </x:c>
      <x:c r="E367" s="74" t="str">
        <x:v>Power Roadmap v0.2</x:v>
      </x:c>
      <x:c r="F367" s="74" t="str">
        <x:v>H3</x:v>
      </x:c>
      <x:c r="G367" s="74" t="str">
        <x:v>First useful low-energy load</x:v>
      </x:c>
      <x:c r="H367" s="74" t="str">
        <x:v>Proposed</x:v>
      </x:c>
      <x:c r="I367" s="86" t="str">
        <x:v>Needs Director review</x:v>
      </x:c>
      <x:c r="J367" s="83" t="str"/>
    </x:row>
    <x:row r="368" ht="40.5" customHeight="1">
      <x:c r="A368" s="74" t="n">
        <x:v>364</x:v>
      </x:c>
      <x:c r="B368" s="74" t="str">
        <x:v>XP-364</x:v>
      </x:c>
      <x:c r="C368" s="74" t="str">
        <x:v>Low-voltage DC bus</x:v>
      </x:c>
      <x:c r="D368" s="74" t="str">
        <x:v>Power and steam</x:v>
      </x:c>
      <x:c r="E368" s="74" t="str">
        <x:v>Power Roadmap v0.2</x:v>
      </x:c>
      <x:c r="F368" s="74" t="str">
        <x:v>H4</x:v>
      </x:c>
      <x:c r="G368" s="74" t="str">
        <x:v>Distributes electricity to loads</x:v>
      </x:c>
      <x:c r="H368" s="74" t="str">
        <x:v>Proposed</x:v>
      </x:c>
      <x:c r="I368" s="86" t="str">
        <x:v>Needs Director review</x:v>
      </x:c>
      <x:c r="J368" s="83" t="str"/>
    </x:row>
    <x:row r="369" ht="40.5" customHeight="1">
      <x:c r="A369" s="74" t="n">
        <x:v>365</x:v>
      </x:c>
      <x:c r="B369" s="74" t="str">
        <x:v>XP-365</x:v>
      </x:c>
      <x:c r="C369" s="74" t="str">
        <x:v>Low-water protection</x:v>
      </x:c>
      <x:c r="D369" s="74" t="str">
        <x:v>Power and steam</x:v>
      </x:c>
      <x:c r="E369" s="74" t="str">
        <x:v>Power Roadmap v0.2</x:v>
      </x:c>
      <x:c r="F369" s="74" t="str">
        <x:v>H7</x:v>
      </x:c>
      <x:c r="G369" s="74" t="str">
        <x:v>Prevents overheated shell</x:v>
      </x:c>
      <x:c r="H369" s="74" t="str">
        <x:v>Proposed</x:v>
      </x:c>
      <x:c r="I369" s="86" t="str">
        <x:v>Needs Director review</x:v>
      </x:c>
      <x:c r="J369" s="83" t="str"/>
    </x:row>
    <x:row r="370" ht="40.5" customHeight="1">
      <x:c r="A370" s="74" t="n">
        <x:v>366</x:v>
      </x:c>
      <x:c r="B370" s="74" t="str">
        <x:v>XP-366</x:v>
      </x:c>
      <x:c r="C370" s="74" t="str">
        <x:v>Lubricator</x:v>
      </x:c>
      <x:c r="D370" s="74" t="str">
        <x:v>Power and steam</x:v>
      </x:c>
      <x:c r="E370" s="74" t="str">
        <x:v>Power Roadmap v0.2</x:v>
      </x:c>
      <x:c r="F370" s="74" t="str">
        <x:v>H5</x:v>
      </x:c>
      <x:c r="G370" s="74" t="str">
        <x:v>Protects cylinder and bearings</x:v>
      </x:c>
      <x:c r="H370" s="74" t="str">
        <x:v>Proposed</x:v>
      </x:c>
      <x:c r="I370" s="86" t="str">
        <x:v>Needs Director review</x:v>
      </x:c>
      <x:c r="J370" s="83" t="str"/>
    </x:row>
    <x:row r="371" ht="40.5" customHeight="1">
      <x:c r="A371" s="74" t="n">
        <x:v>367</x:v>
      </x:c>
      <x:c r="B371" s="74" t="str">
        <x:v>XP-367</x:v>
      </x:c>
      <x:c r="C371" s="74" t="str">
        <x:v>Machine-drive circuit</x:v>
      </x:c>
      <x:c r="D371" s="74" t="str">
        <x:v>Power and steam</x:v>
      </x:c>
      <x:c r="E371" s="74" t="str">
        <x:v>Power Roadmap v0.2</x:v>
      </x:c>
      <x:c r="F371" s="74" t="str">
        <x:v>H5</x:v>
      </x:c>
      <x:c r="G371" s="74" t="str">
        <x:v>Powers drill; lathe; blower</x:v>
      </x:c>
      <x:c r="H371" s="74" t="str">
        <x:v>Proposed</x:v>
      </x:c>
      <x:c r="I371" s="86" t="str">
        <x:v>Needs Director review</x:v>
      </x:c>
      <x:c r="J371" s="83" t="str"/>
    </x:row>
    <x:row r="372" ht="40.5" customHeight="1">
      <x:c r="A372" s="74" t="n">
        <x:v>368</x:v>
      </x:c>
      <x:c r="B372" s="74" t="str">
        <x:v>XP-368</x:v>
      </x:c>
      <x:c r="C372" s="74" t="str">
        <x:v>Main disconnect switch</x:v>
      </x:c>
      <x:c r="D372" s="74" t="str">
        <x:v>Power and steam</x:v>
      </x:c>
      <x:c r="E372" s="74" t="str">
        <x:v>Power Roadmap v0.2</x:v>
      </x:c>
      <x:c r="F372" s="74" t="str">
        <x:v>H4</x:v>
      </x:c>
      <x:c r="G372" s="74" t="str">
        <x:v>Allows safe maintenance</x:v>
      </x:c>
      <x:c r="H372" s="74" t="str">
        <x:v>Proposed</x:v>
      </x:c>
      <x:c r="I372" s="86" t="str">
        <x:v>Needs Director review</x:v>
      </x:c>
      <x:c r="J372" s="83" t="str"/>
    </x:row>
    <x:row r="373" ht="40.5" customHeight="1">
      <x:c r="A373" s="74" t="n">
        <x:v>369</x:v>
      </x:c>
      <x:c r="B373" s="74" t="str">
        <x:v>XP-369</x:v>
      </x:c>
      <x:c r="C373" s="74" t="str">
        <x:v>Main steam stop valve</x:v>
      </x:c>
      <x:c r="D373" s="74" t="str">
        <x:v>Power and steam</x:v>
      </x:c>
      <x:c r="E373" s="74" t="str">
        <x:v>Power Roadmap v0.2</x:v>
      </x:c>
      <x:c r="F373" s="74" t="str">
        <x:v>H6</x:v>
      </x:c>
      <x:c r="G373" s="74" t="str">
        <x:v>Isolates engine from boiler</x:v>
      </x:c>
      <x:c r="H373" s="74" t="str">
        <x:v>Proposed</x:v>
      </x:c>
      <x:c r="I373" s="86" t="str">
        <x:v>Needs Director review</x:v>
      </x:c>
      <x:c r="J373" s="83" t="str"/>
    </x:row>
    <x:row r="374" ht="40.5" customHeight="1">
      <x:c r="A374" s="74" t="n">
        <x:v>370</x:v>
      </x:c>
      <x:c r="B374" s="74" t="str">
        <x:v>XP-370</x:v>
      </x:c>
      <x:c r="C374" s="74" t="str">
        <x:v>Mechanical governor</x:v>
      </x:c>
      <x:c r="D374" s="74" t="str">
        <x:v>Power and steam</x:v>
      </x:c>
      <x:c r="E374" s="74" t="str">
        <x:v>Power Roadmap v0.2</x:v>
      </x:c>
      <x:c r="F374" s="74" t="str">
        <x:v>H7</x:v>
      </x:c>
      <x:c r="G374" s="74" t="str">
        <x:v>Controls speed</x:v>
      </x:c>
      <x:c r="H374" s="74" t="str">
        <x:v>Proposed</x:v>
      </x:c>
      <x:c r="I374" s="86" t="str">
        <x:v>Needs Director review</x:v>
      </x:c>
      <x:c r="J374" s="83" t="str"/>
    </x:row>
    <x:row r="375" ht="40.5" customHeight="1">
      <x:c r="A375" s="74" t="n">
        <x:v>371</x:v>
      </x:c>
      <x:c r="B375" s="74" t="str">
        <x:v>XP-371</x:v>
      </x:c>
      <x:c r="C375" s="74" t="str">
        <x:v>Mechanical transmission</x:v>
      </x:c>
      <x:c r="D375" s="74" t="str">
        <x:v>Power and steam</x:v>
      </x:c>
      <x:c r="E375" s="74" t="str">
        <x:v>Power Roadmap v0.2</x:v>
      </x:c>
      <x:c r="F375" s="74" t="str">
        <x:v>H4</x:v>
      </x:c>
      <x:c r="G375" s="74" t="str">
        <x:v>Matches source speed to generator</x:v>
      </x:c>
      <x:c r="H375" s="74" t="str">
        <x:v>Proposed</x:v>
      </x:c>
      <x:c r="I375" s="86" t="str">
        <x:v>Needs Director review</x:v>
      </x:c>
      <x:c r="J375" s="83" t="str"/>
    </x:row>
    <x:row r="376" ht="40.5" customHeight="1">
      <x:c r="A376" s="74" t="n">
        <x:v>372</x:v>
      </x:c>
      <x:c r="B376" s="74" t="str">
        <x:v>XP-372</x:v>
      </x:c>
      <x:c r="C376" s="74" t="str">
        <x:v>Multimeter</x:v>
      </x:c>
      <x:c r="D376" s="74" t="str">
        <x:v>Power and steam</x:v>
      </x:c>
      <x:c r="E376" s="74" t="str">
        <x:v>Power Roadmap v0.2</x:v>
      </x:c>
      <x:c r="F376" s="74" t="str">
        <x:v>H4</x:v>
      </x:c>
      <x:c r="G376" s="74" t="str">
        <x:v>Measurement gate for repair and charging</x:v>
      </x:c>
      <x:c r="H376" s="74" t="str">
        <x:v>Proposed</x:v>
      </x:c>
      <x:c r="I376" s="86" t="str">
        <x:v>Needs Director review</x:v>
      </x:c>
      <x:c r="J376" s="83" t="str"/>
    </x:row>
    <x:row r="377" ht="40.5" customHeight="1">
      <x:c r="A377" s="74" t="n">
        <x:v>373</x:v>
      </x:c>
      <x:c r="B377" s="74" t="str">
        <x:v>XP-373</x:v>
      </x:c>
      <x:c r="C377" s="74" t="str">
        <x:v>Piston and rings</x:v>
      </x:c>
      <x:c r="D377" s="74" t="str">
        <x:v>Power and steam</x:v>
      </x:c>
      <x:c r="E377" s="74" t="str">
        <x:v>Power Roadmap v0.2</x:v>
      </x:c>
      <x:c r="F377" s="74" t="str">
        <x:v>H6</x:v>
      </x:c>
      <x:c r="G377" s="74" t="str">
        <x:v>Moving seal inside cylinder</x:v>
      </x:c>
      <x:c r="H377" s="74" t="str">
        <x:v>Proposed</x:v>
      </x:c>
      <x:c r="I377" s="86" t="str">
        <x:v>Needs Director review</x:v>
      </x:c>
      <x:c r="J377" s="83" t="str"/>
    </x:row>
    <x:row r="378" ht="40.5" customHeight="1">
      <x:c r="A378" s="74" t="n">
        <x:v>374</x:v>
      </x:c>
      <x:c r="B378" s="74" t="str">
        <x:v>XP-374</x:v>
      </x:c>
      <x:c r="C378" s="74" t="str">
        <x:v>Piston rod and crosshead</x:v>
      </x:c>
      <x:c r="D378" s="74" t="str">
        <x:v>Power and steam</x:v>
      </x:c>
      <x:c r="E378" s="74" t="str">
        <x:v>Power Roadmap v0.2</x:v>
      </x:c>
      <x:c r="F378" s="74" t="str">
        <x:v>H6</x:v>
      </x:c>
      <x:c r="G378" s="74" t="str">
        <x:v>Transfers force while protecting seal</x:v>
      </x:c>
      <x:c r="H378" s="74" t="str">
        <x:v>Proposed</x:v>
      </x:c>
      <x:c r="I378" s="86" t="str">
        <x:v>Needs Director review</x:v>
      </x:c>
      <x:c r="J378" s="83" t="str"/>
    </x:row>
    <x:row r="379" ht="40.5" customHeight="1">
      <x:c r="A379" s="74" t="n">
        <x:v>375</x:v>
      </x:c>
      <x:c r="B379" s="74" t="str">
        <x:v>XP-375</x:v>
      </x:c>
      <x:c r="C379" s="74" t="str">
        <x:v>Radio charging outlet</x:v>
      </x:c>
      <x:c r="D379" s="74" t="str">
        <x:v>Power and steam</x:v>
      </x:c>
      <x:c r="E379" s="74" t="str">
        <x:v>Power Roadmap v0.2</x:v>
      </x:c>
      <x:c r="F379" s="74" t="str">
        <x:v>H4</x:v>
      </x:c>
      <x:c r="G379" s="74" t="str">
        <x:v>Information and rescue communications</x:v>
      </x:c>
      <x:c r="H379" s="74" t="str">
        <x:v>Proposed</x:v>
      </x:c>
      <x:c r="I379" s="86" t="str">
        <x:v>Needs Director review</x:v>
      </x:c>
      <x:c r="J379" s="83" t="str"/>
    </x:row>
    <x:row r="380" ht="40.5" customHeight="1">
      <x:c r="A380" s="74" t="n">
        <x:v>376</x:v>
      </x:c>
      <x:c r="B380" s="74" t="str">
        <x:v>XP-376</x:v>
      </x:c>
      <x:c r="C380" s="74" t="str">
        <x:v>Rated boiler shell</x:v>
      </x:c>
      <x:c r="D380" s="74" t="str">
        <x:v>Power and steam</x:v>
      </x:c>
      <x:c r="E380" s="74" t="str">
        <x:v>Power Roadmap v0.2</x:v>
      </x:c>
      <x:c r="F380" s="74" t="str">
        <x:v>H7</x:v>
      </x:c>
      <x:c r="G380" s="74" t="str">
        <x:v>Contains hot water and steam</x:v>
      </x:c>
      <x:c r="H380" s="74" t="str">
        <x:v>Proposed</x:v>
      </x:c>
      <x:c r="I380" s="86" t="str">
        <x:v>Needs Director review</x:v>
      </x:c>
      <x:c r="J380" s="83" t="str"/>
    </x:row>
    <x:row r="381" ht="40.5" customHeight="1">
      <x:c r="A381" s="74" t="n">
        <x:v>377</x:v>
      </x:c>
      <x:c r="B381" s="74" t="str">
        <x:v>XP-377</x:v>
      </x:c>
      <x:c r="C381" s="74" t="str">
        <x:v>Readable wiring diagram</x:v>
      </x:c>
      <x:c r="D381" s="74" t="str">
        <x:v>Power and steam</x:v>
      </x:c>
      <x:c r="E381" s="74" t="str">
        <x:v>Power Roadmap v0.2</x:v>
      </x:c>
      <x:c r="F381" s="74" t="str">
        <x:v>H2</x:v>
      </x:c>
      <x:c r="G381" s="74" t="str">
        <x:v>Knowledge gate for safe electrical work</x:v>
      </x:c>
      <x:c r="H381" s="74" t="str">
        <x:v>Proposed</x:v>
      </x:c>
      <x:c r="I381" s="86" t="str">
        <x:v>Needs Director review</x:v>
      </x:c>
      <x:c r="J381" s="83" t="str"/>
    </x:row>
    <x:row r="382" ht="40.5" customHeight="1">
      <x:c r="A382" s="74" t="n">
        <x:v>378</x:v>
      </x:c>
      <x:c r="B382" s="74" t="str">
        <x:v>XP-378</x:v>
      </x:c>
      <x:c r="C382" s="74" t="str">
        <x:v>Rectifier</x:v>
      </x:c>
      <x:c r="D382" s="74" t="str">
        <x:v>Power and steam</x:v>
      </x:c>
      <x:c r="E382" s="74" t="str">
        <x:v>Power Roadmap v0.2</x:v>
      </x:c>
      <x:c r="F382" s="74" t="str">
        <x:v>H4</x:v>
      </x:c>
      <x:c r="G382" s="74" t="str">
        <x:v>Converts AC generator output to DC</x:v>
      </x:c>
      <x:c r="H382" s="74" t="str">
        <x:v>Proposed</x:v>
      </x:c>
      <x:c r="I382" s="86" t="str">
        <x:v>Needs Director review</x:v>
      </x:c>
      <x:c r="J382" s="83" t="str"/>
    </x:row>
    <x:row r="383" ht="40.5" customHeight="1">
      <x:c r="A383" s="74" t="n">
        <x:v>379</x:v>
      </x:c>
      <x:c r="B383" s="74" t="str">
        <x:v>XP-379</x:v>
      </x:c>
      <x:c r="C383" s="74" t="str">
        <x:v>Resistive dump load</x:v>
      </x:c>
      <x:c r="D383" s="74" t="str">
        <x:v>Power and steam</x:v>
      </x:c>
      <x:c r="E383" s="74" t="str">
        <x:v>Power Roadmap v0.2</x:v>
      </x:c>
      <x:c r="F383" s="74" t="str">
        <x:v>H5</x:v>
      </x:c>
      <x:c r="G383" s="74" t="str">
        <x:v>Absorbs excess wind or water generation</x:v>
      </x:c>
      <x:c r="H383" s="74" t="str">
        <x:v>Proposed</x:v>
      </x:c>
      <x:c r="I383" s="86" t="str">
        <x:v>Needs Director review</x:v>
      </x:c>
      <x:c r="J383" s="83" t="str"/>
    </x:row>
    <x:row r="384" ht="40.5" customHeight="1">
      <x:c r="A384" s="74" t="n">
        <x:v>380</x:v>
      </x:c>
      <x:c r="B384" s="74" t="str">
        <x:v>XP-380</x:v>
      </x:c>
      <x:c r="C384" s="74" t="str">
        <x:v>Safety relief valve</x:v>
      </x:c>
      <x:c r="D384" s="74" t="str">
        <x:v>Power and steam</x:v>
      </x:c>
      <x:c r="E384" s="74" t="str">
        <x:v>Power Roadmap v0.2</x:v>
      </x:c>
      <x:c r="F384" s="74" t="str">
        <x:v>H7</x:v>
      </x:c>
      <x:c r="G384" s="74" t="str">
        <x:v>Prevents overpressure</x:v>
      </x:c>
      <x:c r="H384" s="74" t="str">
        <x:v>Proposed</x:v>
      </x:c>
      <x:c r="I384" s="86" t="str">
        <x:v>Needs Director review</x:v>
      </x:c>
      <x:c r="J384" s="83" t="str"/>
    </x:row>
    <x:row r="385" ht="40.5" customHeight="1">
      <x:c r="A385" s="74" t="n">
        <x:v>381</x:v>
      </x:c>
      <x:c r="B385" s="74" t="str">
        <x:v>XP-381</x:v>
      </x:c>
      <x:c r="C385" s="74" t="str">
        <x:v>Steam pipe and fittings</x:v>
      </x:c>
      <x:c r="D385" s="74" t="str">
        <x:v>Power and steam</x:v>
      </x:c>
      <x:c r="E385" s="74" t="str">
        <x:v>Power Roadmap v0.2</x:v>
      </x:c>
      <x:c r="F385" s="74" t="str">
        <x:v>H6</x:v>
      </x:c>
      <x:c r="G385" s="74" t="str">
        <x:v>Carries steam safely</x:v>
      </x:c>
      <x:c r="H385" s="74" t="str">
        <x:v>Proposed</x:v>
      </x:c>
      <x:c r="I385" s="86" t="str">
        <x:v>Needs Director review</x:v>
      </x:c>
      <x:c r="J385" s="83" t="str"/>
    </x:row>
    <x:row r="386" ht="40.5" customHeight="1">
      <x:c r="A386" s="74" t="n">
        <x:v>382</x:v>
      </x:c>
      <x:c r="B386" s="74" t="str">
        <x:v>XP-382</x:v>
      </x:c>
      <x:c r="C386" s="74" t="str">
        <x:v>Steam separator and drain</x:v>
      </x:c>
      <x:c r="D386" s="74" t="str">
        <x:v>Power and steam</x:v>
      </x:c>
      <x:c r="E386" s="74" t="str">
        <x:v>Power Roadmap v0.2</x:v>
      </x:c>
      <x:c r="F386" s="74" t="str">
        <x:v>H6</x:v>
      </x:c>
      <x:c r="G386" s="74" t="str">
        <x:v>Protects engine from wet steam</x:v>
      </x:c>
      <x:c r="H386" s="74" t="str">
        <x:v>Proposed</x:v>
      </x:c>
      <x:c r="I386" s="86" t="str">
        <x:v>Needs Director review</x:v>
      </x:c>
      <x:c r="J386" s="83" t="str"/>
    </x:row>
    <x:row r="387" ht="40.5" customHeight="1">
      <x:c r="A387" s="74" t="n">
        <x:v>383</x:v>
      </x:c>
      <x:c r="B387" s="74" t="str">
        <x:v>XP-383</x:v>
      </x:c>
      <x:c r="C387" s="74" t="str">
        <x:v>Steam-electric commissioning log</x:v>
      </x:c>
      <x:c r="D387" s="74" t="str">
        <x:v>Power and steam</x:v>
      </x:c>
      <x:c r="E387" s="74" t="str">
        <x:v>Power Roadmap v0.2</x:v>
      </x:c>
      <x:c r="F387" s="74" t="str">
        <x:v>H6</x:v>
      </x:c>
      <x:c r="G387" s="74" t="str">
        <x:v>Evidence that the plant was proved rather than merely assembled</x:v>
      </x:c>
      <x:c r="H387" s="74" t="str">
        <x:v>Proposed</x:v>
      </x:c>
      <x:c r="I387" s="86" t="str">
        <x:v>Needs Director review</x:v>
      </x:c>
      <x:c r="J387" s="83" t="str"/>
    </x:row>
    <x:row r="388" ht="40.5" customHeight="1">
      <x:c r="A388" s="74" t="n">
        <x:v>384</x:v>
      </x:c>
      <x:c r="B388" s="74" t="str">
        <x:v>XP-384</x:v>
      </x:c>
      <x:c r="C388" s="74" t="str">
        <x:v>Steam-engine cylinder</x:v>
      </x:c>
      <x:c r="D388" s="74" t="str">
        <x:v>Power and steam</x:v>
      </x:c>
      <x:c r="E388" s="74" t="str">
        <x:v>Power Roadmap v0.2</x:v>
      </x:c>
      <x:c r="F388" s="74" t="str">
        <x:v>H6</x:v>
      </x:c>
      <x:c r="G388" s="74" t="str">
        <x:v>Converts steam pressure to piston force</x:v>
      </x:c>
      <x:c r="H388" s="74" t="str">
        <x:v>Proposed</x:v>
      </x:c>
      <x:c r="I388" s="86" t="str">
        <x:v>Needs Director review</x:v>
      </x:c>
      <x:c r="J388" s="83" t="str"/>
    </x:row>
    <x:row r="389" ht="40.5" customHeight="1">
      <x:c r="A389" s="74" t="n">
        <x:v>385</x:v>
      </x:c>
      <x:c r="B389" s="74" t="str">
        <x:v>XP-385</x:v>
      </x:c>
      <x:c r="C389" s="74" t="str">
        <x:v>Tachometer</x:v>
      </x:c>
      <x:c r="D389" s="74" t="str">
        <x:v>Power and steam</x:v>
      </x:c>
      <x:c r="E389" s="74" t="str">
        <x:v>Power Roadmap v0.2</x:v>
      </x:c>
      <x:c r="F389" s="74" t="str">
        <x:v>H5</x:v>
      </x:c>
      <x:c r="G389" s="74" t="str">
        <x:v>Enables governor and overspeed proof</x:v>
      </x:c>
      <x:c r="H389" s="74" t="str">
        <x:v>Proposed</x:v>
      </x:c>
      <x:c r="I389" s="86" t="str">
        <x:v>Needs Director review</x:v>
      </x:c>
      <x:c r="J389" s="83" t="str"/>
    </x:row>
    <x:row r="390" ht="40.5" customHeight="1">
      <x:c r="A390" s="74" t="n">
        <x:v>386</x:v>
      </x:c>
      <x:c r="B390" s="74" t="str">
        <x:v>XP-386</x:v>
      </x:c>
      <x:c r="C390" s="74" t="str">
        <x:v>Test lamp</x:v>
      </x:c>
      <x:c r="D390" s="74" t="str">
        <x:v>Power and steam</x:v>
      </x:c>
      <x:c r="E390" s="74" t="str">
        <x:v>Power Roadmap v0.2</x:v>
      </x:c>
      <x:c r="F390" s="74" t="str">
        <x:v>H3</x:v>
      </x:c>
      <x:c r="G390" s="74" t="str">
        <x:v>Crude presence-of-voltage check</x:v>
      </x:c>
      <x:c r="H390" s="74" t="str">
        <x:v>Proposed</x:v>
      </x:c>
      <x:c r="I390" s="86" t="str">
        <x:v>Needs Director review</x:v>
      </x:c>
      <x:c r="J390" s="83" t="str"/>
    </x:row>
    <x:row r="391" ht="40.5" customHeight="1">
      <x:c r="A391" s="74" t="n">
        <x:v>387</x:v>
      </x:c>
      <x:c r="B391" s="74" t="str">
        <x:v>XP-387</x:v>
      </x:c>
      <x:c r="C391" s="74" t="str">
        <x:v>Treadle generator</x:v>
      </x:c>
      <x:c r="D391" s="74" t="str">
        <x:v>Power and steam</x:v>
      </x:c>
      <x:c r="E391" s="74" t="str">
        <x:v>Power Roadmap v0.2</x:v>
      </x:c>
      <x:c r="F391" s="74" t="str">
        <x:v>H4</x:v>
      </x:c>
      <x:c r="G391" s="74" t="str">
        <x:v>Higher human-powered generation</x:v>
      </x:c>
      <x:c r="H391" s="74" t="str">
        <x:v>Proposed</x:v>
      </x:c>
      <x:c r="I391" s="86" t="str">
        <x:v>Needs Director review</x:v>
      </x:c>
      <x:c r="J391" s="83" t="str"/>
    </x:row>
    <x:row r="392" ht="40.5" customHeight="1">
      <x:c r="A392" s="74" t="n">
        <x:v>388</x:v>
      </x:c>
      <x:c r="B392" s="74" t="str">
        <x:v>XP-388</x:v>
      </x:c>
      <x:c r="C392" s="74" t="str">
        <x:v>Voltage regulator</x:v>
      </x:c>
      <x:c r="D392" s="74" t="str">
        <x:v>Power and steam</x:v>
      </x:c>
      <x:c r="E392" s="74" t="str">
        <x:v>Power Roadmap v0.2</x:v>
      </x:c>
      <x:c r="F392" s="74" t="str">
        <x:v>H5</x:v>
      </x:c>
      <x:c r="G392" s="74" t="str">
        <x:v>Protects battery and loads</x:v>
      </x:c>
      <x:c r="H392" s="74" t="str">
        <x:v>Proposed</x:v>
      </x:c>
      <x:c r="I392" s="86" t="str">
        <x:v>Needs Director review</x:v>
      </x:c>
      <x:c r="J392" s="83" t="str"/>
    </x:row>
    <x:row r="393" ht="40.5" customHeight="1">
      <x:c r="A393" s="74" t="n">
        <x:v>389</x:v>
      </x:c>
      <x:c r="B393" s="74" t="str">
        <x:v>XP-389</x:v>
      </x:c>
      <x:c r="C393" s="74" t="str">
        <x:v>Water-level gauge</x:v>
      </x:c>
      <x:c r="D393" s="74" t="str">
        <x:v>Power and steam</x:v>
      </x:c>
      <x:c r="E393" s="74" t="str">
        <x:v>Power Roadmap v0.2</x:v>
      </x:c>
      <x:c r="F393" s="74" t="str">
        <x:v>H6</x:v>
      </x:c>
      <x:c r="G393" s="74" t="str">
        <x:v>Prevents dry firing</x:v>
      </x:c>
      <x:c r="H393" s="74" t="str">
        <x:v>Proposed</x:v>
      </x:c>
      <x:c r="I393" s="86" t="str">
        <x:v>Needs Director review</x:v>
      </x:c>
      <x:c r="J393" s="83" t="str"/>
    </x:row>
    <x:row r="394" ht="40.5" customHeight="1">
      <x:c r="A394" s="74" t="n">
        <x:v>390</x:v>
      </x:c>
      <x:c r="B394" s="74" t="str">
        <x:v>XP-390</x:v>
      </x:c>
      <x:c r="C394" s="74" t="str">
        <x:v>Water-pump circuit</x:v>
      </x:c>
      <x:c r="D394" s="74" t="str">
        <x:v>Power and steam</x:v>
      </x:c>
      <x:c r="E394" s="74" t="str">
        <x:v>Power Roadmap v0.2</x:v>
      </x:c>
      <x:c r="F394" s="74" t="str">
        <x:v>H4</x:v>
      </x:c>
      <x:c r="G394" s="74" t="str">
        <x:v>Moves water and irrigation</x:v>
      </x:c>
      <x:c r="H394" s="74" t="str">
        <x:v>Proposed</x:v>
      </x:c>
      <x:c r="I394" s="86" t="str">
        <x:v>Needs Director review</x:v>
      </x:c>
      <x:c r="J394" s="83" t="str"/>
    </x:row>
    <x:row r="395" ht="40.5" customHeight="1">
      <x:c r="A395" s="74" t="n">
        <x:v>391</x:v>
      </x:c>
      <x:c r="B395" s="74" t="str">
        <x:v>XP-391</x:v>
      </x:c>
      <x:c r="C395" s="74" t="str">
        <x:v>Waterwheel</x:v>
      </x:c>
      <x:c r="D395" s="74" t="str">
        <x:v>Power and steam</x:v>
      </x:c>
      <x:c r="E395" s="74" t="str">
        <x:v>Power Roadmap v0.2</x:v>
      </x:c>
      <x:c r="F395" s="74" t="str">
        <x:v>H4</x:v>
      </x:c>
      <x:c r="G395" s="74" t="str">
        <x:v>Continuous mechanical power where site permits</x:v>
      </x:c>
      <x:c r="H395" s="74" t="str">
        <x:v>Proposed</x:v>
      </x:c>
      <x:c r="I395" s="86" t="str">
        <x:v>Needs Director review</x:v>
      </x:c>
      <x:c r="J395" s="83" t="str"/>
    </x:row>
    <x:row r="396" ht="40.5" customHeight="1">
      <x:c r="A396" s="74" t="n">
        <x:v>392</x:v>
      </x:c>
      <x:c r="B396" s="74" t="str">
        <x:v>XP-392</x:v>
      </x:c>
      <x:c r="C396" s="74" t="str">
        <x:v>Wind rotor</x:v>
      </x:c>
      <x:c r="D396" s="74" t="str">
        <x:v>Power and steam</x:v>
      </x:c>
      <x:c r="E396" s="74" t="str">
        <x:v>Power Roadmap v0.2</x:v>
      </x:c>
      <x:c r="F396" s="74" t="str">
        <x:v>H5</x:v>
      </x:c>
      <x:c r="G396" s="74" t="str">
        <x:v>Intermittent mechanical power</x:v>
      </x:c>
      <x:c r="H396" s="74" t="str">
        <x:v>Proposed</x:v>
      </x:c>
      <x:c r="I396" s="86" t="str">
        <x:v>Needs Director review</x:v>
      </x:c>
      <x:c r="J396" s="83" t="str"/>
    </x:row>
    <x:row r="397" ht="40.5" customHeight="1">
      <x:c r="A397" s="74" t="n">
        <x:v>393</x:v>
      </x:c>
      <x:c r="B397" s="74" t="str">
        <x:v>XP-393</x:v>
      </x:c>
      <x:c r="C397" s="74" t="str">
        <x:v>Bow drill</x:v>
      </x:c>
      <x:c r="D397" s="74" t="str">
        <x:v>Rotary and fire tools</x:v>
      </x:c>
      <x:c r="E397" s="74" t="str">
        <x:v>Natural Tools v0.2</x:v>
      </x:c>
      <x:c r="F397" s="74" t="str">
        <x:v>H2</x:v>
      </x:c>
      <x:c r="G397" s="74" t="str">
        <x:v>Produce ember; bore repeated holes</x:v>
      </x:c>
      <x:c r="H397" s="74" t="str">
        <x:v>Proposed</x:v>
      </x:c>
      <x:c r="I397" s="86" t="str">
        <x:v>Needs Director review</x:v>
      </x:c>
      <x:c r="J397" s="83" t="str"/>
    </x:row>
    <x:row r="398" ht="40.5" customHeight="1">
      <x:c r="A398" s="74" t="n">
        <x:v>394</x:v>
      </x:c>
      <x:c r="B398" s="74" t="str">
        <x:v>XP-394</x:v>
      </x:c>
      <x:c r="C398" s="74" t="str">
        <x:v>Fire plough</x:v>
      </x:c>
      <x:c r="D398" s="74" t="str">
        <x:v>Rotary and fire tools</x:v>
      </x:c>
      <x:c r="E398" s="74" t="str">
        <x:v>Natural Tools v0.2</x:v>
      </x:c>
      <x:c r="F398" s="74" t="str">
        <x:v>H1</x:v>
      </x:c>
      <x:c r="G398" s="74" t="str">
        <x:v>Generate ember without cord; test tinder and wood pairs</x:v>
      </x:c>
      <x:c r="H398" s="74" t="str">
        <x:v>Proposed</x:v>
      </x:c>
      <x:c r="I398" s="86" t="str">
        <x:v>Needs Director review</x:v>
      </x:c>
      <x:c r="J398" s="83" t="str"/>
    </x:row>
    <x:row r="399" ht="40.5" customHeight="1">
      <x:c r="A399" s="74" t="n">
        <x:v>395</x:v>
      </x:c>
      <x:c r="B399" s="74" t="str">
        <x:v>XP-395</x:v>
      </x:c>
      <x:c r="C399" s="74" t="str">
        <x:v>Hand drill</x:v>
      </x:c>
      <x:c r="D399" s="74" t="str">
        <x:v>Rotary and fire tools</x:v>
      </x:c>
      <x:c r="E399" s="74" t="str">
        <x:v>Natural Tools v0.2</x:v>
      </x:c>
      <x:c r="F399" s="74" t="str">
        <x:v>H1</x:v>
      </x:c>
      <x:c r="G399" s="74" t="str">
        <x:v>Start fire sockets; perforate shell and soft wood</x:v>
      </x:c>
      <x:c r="H399" s="74" t="str">
        <x:v>Proposed</x:v>
      </x:c>
      <x:c r="I399" s="86" t="str">
        <x:v>Needs Director review</x:v>
      </x:c>
      <x:c r="J399" s="83" t="str"/>
    </x:row>
    <x:row r="400" ht="40.5" customHeight="1">
      <x:c r="A400" s="74" t="n">
        <x:v>396</x:v>
      </x:c>
      <x:c r="B400" s="74" t="str">
        <x:v>XP-396</x:v>
      </x:c>
      <x:c r="C400" s="74" t="str">
        <x:v>Pump drill</x:v>
      </x:c>
      <x:c r="D400" s="74" t="str">
        <x:v>Rotary and fire tools</x:v>
      </x:c>
      <x:c r="E400" s="74" t="str">
        <x:v>Natural Tools v0.2</x:v>
      </x:c>
      <x:c r="F400" s="74" t="str">
        <x:v>H3</x:v>
      </x:c>
      <x:c r="G400" s="74" t="str">
        <x:v>Higher-speed boring of shell; bone; soft metal salvage</x:v>
      </x:c>
      <x:c r="H400" s="74" t="str">
        <x:v>Proposed</x:v>
      </x:c>
      <x:c r="I400" s="86" t="str">
        <x:v>Needs Director review</x:v>
      </x:c>
      <x:c r="J400" s="83" t="str"/>
    </x:row>
    <x:row r="401" ht="40.5" customHeight="1">
      <x:c r="A401" s="74" t="n">
        <x:v>397</x:v>
      </x:c>
      <x:c r="B401" s="74" t="str">
        <x:v>XP-397</x:v>
      </x:c>
      <x:c r="C401" s="74" t="str">
        <x:v>Convex hide scraper</x:v>
      </x:c>
      <x:c r="D401" s="74" t="str">
        <x:v>Scraping and finishing</x:v>
      </x:c>
      <x:c r="E401" s="74" t="str">
        <x:v>Natural Tools v0.2</x:v>
      </x:c>
      <x:c r="F401" s="74" t="str">
        <x:v>H1</x:v>
      </x:c>
      <x:c r="G401" s="74" t="str">
        <x:v>Flesh hide; thin rawhide; soften dry fibers</x:v>
      </x:c>
      <x:c r="H401" s="74" t="str">
        <x:v>Proposed</x:v>
      </x:c>
      <x:c r="I401" s="86" t="str">
        <x:v>Needs Director review</x:v>
      </x:c>
      <x:c r="J401" s="83" t="str"/>
    </x:row>
    <x:row r="402" ht="40.5" customHeight="1">
      <x:c r="A402" s="74" t="n">
        <x:v>398</x:v>
      </x:c>
      <x:c r="B402" s="74" t="str">
        <x:v>XP-398</x:v>
      </x:c>
      <x:c r="C402" s="74" t="str">
        <x:v>Side scraper</x:v>
      </x:c>
      <x:c r="D402" s="74" t="str">
        <x:v>Scraping and finishing</x:v>
      </x:c>
      <x:c r="E402" s="74" t="str">
        <x:v>Natural Tools v0.2</x:v>
      </x:c>
      <x:c r="F402" s="74" t="str">
        <x:v>H0</x:v>
      </x:c>
      <x:c r="G402" s="74" t="str">
        <x:v>Scrape bark; smooth wood; clean hide; remove residue</x:v>
      </x:c>
      <x:c r="H402" s="74" t="str">
        <x:v>Proposed</x:v>
      </x:c>
      <x:c r="I402" s="86" t="str">
        <x:v>Needs Director review</x:v>
      </x:c>
      <x:c r="J402" s="83" t="str"/>
    </x:row>
    <x:row r="403" ht="40.5" customHeight="1">
      <x:c r="A403" s="74" t="n">
        <x:v>399</x:v>
      </x:c>
      <x:c r="B403" s="74" t="str">
        <x:v>XP-399</x:v>
      </x:c>
      <x:c r="C403" s="74" t="str">
        <x:v>Stone wedge</x:v>
      </x:c>
      <x:c r="D403" s="74" t="str">
        <x:v>Splitting and leverage</x:v>
      </x:c>
      <x:c r="E403" s="74" t="str">
        <x:v>Natural Tools v0.2</x:v>
      </x:c>
      <x:c r="F403" s="74" t="str">
        <x:v>H1</x:v>
      </x:c>
      <x:c r="G403" s="74" t="str">
        <x:v>Split wood; open cracks; lift fitted parts</x:v>
      </x:c>
      <x:c r="H403" s="74" t="str">
        <x:v>Proposed</x:v>
      </x:c>
      <x:c r="I403" s="86" t="str">
        <x:v>Needs Director review</x:v>
      </x:c>
      <x:c r="J403" s="83" t="str"/>
    </x:row>
    <x:row r="404" ht="40.5" customHeight="1">
      <x:c r="A404" s="74" t="n">
        <x:v>400</x:v>
      </x:c>
      <x:c r="B404" s="74" t="str">
        <x:v>XP-400</x:v>
      </x:c>
      <x:c r="C404" s="74" t="str">
        <x:v>Arrow shaft</x:v>
      </x:c>
      <x:c r="D404" s="74" t="str">
        <x:v>Weapons and hunting systems</x:v>
      </x:c>
      <x:c r="E404" s="74" t="str">
        <x:v>Natural Tools v0.2</x:v>
      </x:c>
      <x:c r="F404" s="74" t="str">
        <x:v>H2</x:v>
      </x:c>
      <x:c r="G404" s="74" t="str">
        <x:v>Carry arrowhead and stabilizer</x:v>
      </x:c>
      <x:c r="H404" s="74" t="str">
        <x:v>Proposed</x:v>
      </x:c>
      <x:c r="I404" s="86" t="str">
        <x:v>Needs Director review</x:v>
      </x:c>
      <x:c r="J404" s="83" t="str"/>
    </x:row>
    <x:row r="405" ht="40.5" customHeight="1">
      <x:c r="A405" s="74" t="n">
        <x:v>401</x:v>
      </x:c>
      <x:c r="B405" s="74" t="str">
        <x:v>XP-401</x:v>
      </x:c>
      <x:c r="C405" s="74" t="str">
        <x:v>Bowstring</x:v>
      </x:c>
      <x:c r="D405" s="74" t="str">
        <x:v>Weapons and hunting systems</x:v>
      </x:c>
      <x:c r="E405" s="74" t="str">
        <x:v>Natural Tools v0.2</x:v>
      </x:c>
      <x:c r="F405" s="74" t="str">
        <x:v>H2</x:v>
      </x:c>
      <x:c r="G405" s="74" t="str">
        <x:v>Store and release bow energy</x:v>
      </x:c>
      <x:c r="H405" s="74" t="str">
        <x:v>Proposed</x:v>
      </x:c>
      <x:c r="I405" s="86" t="str">
        <x:v>Needs Director review</x:v>
      </x:c>
      <x:c r="J405" s="83" t="str"/>
    </x:row>
    <x:row r="406" ht="40.5" customHeight="1">
      <x:c r="A406" s="74" t="n">
        <x:v>402</x:v>
      </x:c>
      <x:c r="B406" s="74" t="str">
        <x:v>XP-402</x:v>
      </x:c>
      <x:c r="C406" s="74" t="str">
        <x:v>Fiber sling</x:v>
      </x:c>
      <x:c r="D406" s="74" t="str">
        <x:v>Weapons and hunting systems</x:v>
      </x:c>
      <x:c r="E406" s="74" t="str">
        <x:v>Natural Tools v0.2</x:v>
      </x:c>
      <x:c r="F406" s="74" t="str">
        <x:v>H2</x:v>
      </x:c>
      <x:c r="G406" s="74" t="str">
        <x:v>Throw selected stones; scare animals; hunt small game</x:v>
      </x:c>
      <x:c r="H406" s="74" t="str">
        <x:v>Proposed</x:v>
      </x:c>
      <x:c r="I406" s="86" t="str">
        <x:v>Needs Director review</x:v>
      </x:c>
      <x:c r="J406" s="83" t="str"/>
    </x:row>
    <x:row r="407" ht="40.5" customHeight="1">
      <x:c r="A407" s="74" t="n">
        <x:v>403</x:v>
      </x:c>
      <x:c r="B407" s="74" t="str">
        <x:v>XP-403</x:v>
      </x:c>
      <x:c r="C407" s="74" t="str">
        <x:v>Palm-leaf arrow vane</x:v>
      </x:c>
      <x:c r="D407" s="74" t="str">
        <x:v>Weapons and hunting systems</x:v>
      </x:c>
      <x:c r="E407" s="74" t="str">
        <x:v>Natural Tools v0.2</x:v>
      </x:c>
      <x:c r="F407" s="74" t="str">
        <x:v>H2</x:v>
      </x:c>
      <x:c r="G407" s="74" t="str">
        <x:v>Stabilize arrow flight</x:v>
      </x:c>
      <x:c r="H407" s="74" t="str">
        <x:v>Proposed</x:v>
      </x:c>
      <x:c r="I407" s="86" t="str">
        <x:v>Needs Director review</x:v>
      </x:c>
      <x:c r="J407" s="83" t="str"/>
    </x:row>
    <x:row r="408" ht="40.5" customHeight="1">
      <x:c r="A408" s="74" t="n">
        <x:v>404</x:v>
      </x:c>
      <x:c r="B408" s="74" t="str">
        <x:v>XP-404</x:v>
      </x:c>
      <x:c r="C408" s="74" t="str">
        <x:v>Self bow</x:v>
      </x:c>
      <x:c r="D408" s="74" t="str">
        <x:v>Weapons and hunting systems</x:v>
      </x:c>
      <x:c r="E408" s="74" t="str">
        <x:v>Natural Tools v0.2</x:v>
      </x:c>
      <x:c r="F408" s="74" t="str">
        <x:v>H3</x:v>
      </x:c>
      <x:c r="G408" s="74" t="str">
        <x:v>Launch light arrows; hunt small and medium animals</x:v>
      </x:c>
      <x:c r="H408" s="74" t="str">
        <x:v>Proposed</x:v>
      </x:c>
      <x:c r="I408" s="86" t="str">
        <x:v>Needs Director review</x:v>
      </x:c>
      <x:c r="J408" s="83" t="str"/>
    </x:row>
    <x:row r="409" ht="40.5" customHeight="1">
      <x:c r="A409" s="74" t="n">
        <x:v>405</x:v>
      </x:c>
      <x:c r="B409" s="74" t="str">
        <x:v>XP-405</x:v>
      </x:c>
      <x:c r="C409" s="74" t="str">
        <x:v>Spear thrower</x:v>
      </x:c>
      <x:c r="D409" s="74" t="str">
        <x:v>Weapons and hunting systems</x:v>
      </x:c>
      <x:c r="E409" s="74" t="str">
        <x:v>Natural Tools v0.2</x:v>
      </x:c>
      <x:c r="F409" s="74" t="str">
        <x:v>H3</x:v>
      </x:c>
      <x:c r="G409" s="74" t="str">
        <x:v>Launch darts farther with leverage</x:v>
      </x:c>
      <x:c r="H409" s="74" t="str">
        <x:v>Proposed</x:v>
      </x:c>
      <x:c r="I409" s="86" t="str">
        <x:v>Needs Director review</x:v>
      </x:c>
      <x:c r="J409" s="83" t="str"/>
    </x:row>
    <x:row r="410" ht="40.5" customHeight="1">
      <x:c r="A410" s="74" t="n">
        <x:v>406</x:v>
      </x:c>
      <x:c r="B410" s="74" t="str">
        <x:v>XP-406</x:v>
      </x:c>
      <x:c r="C410" s="74" t="str">
        <x:v>Stone arrowhead</x:v>
      </x:c>
      <x:c r="D410" s="74" t="str">
        <x:v>Weapons and hunting systems</x:v>
      </x:c>
      <x:c r="E410" s="74" t="str">
        <x:v>Natural Tools v0.2</x:v>
      </x:c>
      <x:c r="F410" s="74" t="str">
        <x:v>H2</x:v>
      </x:c>
      <x:c r="G410" s="74" t="str">
        <x:v>Penetrating or cutting projectile head</x:v>
      </x:c>
      <x:c r="H410" s="74" t="str">
        <x:v>Proposed</x:v>
      </x:c>
      <x:c r="I410" s="86" t="str">
        <x:v>Needs Director review</x:v>
      </x:c>
      <x:c r="J410" s="83" t="str"/>
    </x:row>
    <x:row r="411" ht="40.5" customHeight="1">
      <x:c r="A411" s="74" t="n">
        <x:v>407</x:v>
      </x:c>
      <x:c r="B411" s="74" t="str">
        <x:v>XP-407</x:v>
      </x:c>
      <x:c r="C411" s="74" t="str">
        <x:v>Stone-tipped spear</x:v>
      </x:c>
      <x:c r="D411" s="74" t="str">
        <x:v>Weapons and hunting systems</x:v>
      </x:c>
      <x:c r="E411" s="74" t="str">
        <x:v>Natural Tools v0.2</x:v>
      </x:c>
      <x:c r="F411" s="74" t="str">
        <x:v>H2</x:v>
      </x:c>
      <x:c r="G411" s="74" t="str">
        <x:v>Hunt; defend at reach; finish dangerous animals</x:v>
      </x:c>
      <x:c r="H411" s="74" t="str">
        <x:v>Proposed</x:v>
      </x:c>
      <x:c r="I411" s="86" t="str">
        <x:v>Needs Director review</x:v>
      </x:c>
      <x:c r="J411" s="83" t="str"/>
    </x:row>
    <x:row r="412" ht="40.5" customHeight="1">
      <x:c r="A412" s="74" t="n">
        <x:v>408</x:v>
      </x:c>
      <x:c r="B412" s="74" t="str">
        <x:v>XP-408</x:v>
      </x:c>
      <x:c r="C412" s="74" t="str">
        <x:v>Throwing dart</x:v>
      </x:c>
      <x:c r="D412" s="74" t="str">
        <x:v>Weapons and hunting systems</x:v>
      </x:c>
      <x:c r="E412" s="74" t="str">
        <x:v>Natural Tools v0.2</x:v>
      </x:c>
      <x:c r="F412" s="74" t="str">
        <x:v>H3</x:v>
      </x:c>
      <x:c r="G412" s="74" t="str">
        <x:v>Projectile for spear thrower; line carrier</x:v>
      </x:c>
      <x:c r="H412" s="74" t="str">
        <x:v>Proposed</x:v>
      </x:c>
      <x:c r="I412" s="86" t="str">
        <x:v>Needs Director review</x:v>
      </x:c>
      <x:c r="J412" s="83" t="str"/>
    </x:row>
    <x:row r="413" ht="40.5" customHeight="1">
      <x:c r="A413" s="74" t="n">
        <x:v>409</x:v>
      </x:c>
      <x:c r="B413" s="74" t="str">
        <x:v>XP-409</x:v>
      </x:c>
      <x:c r="C413" s="74" t="str">
        <x:v>Toggle harpoon</x:v>
      </x:c>
      <x:c r="D413" s="74" t="str">
        <x:v>Weapons and hunting systems</x:v>
      </x:c>
      <x:c r="E413" s="74" t="str">
        <x:v>Natural Tools v0.2</x:v>
      </x:c>
      <x:c r="F413" s="74" t="str">
        <x:v>H3</x:v>
      </x:c>
      <x:c r="G413" s="74" t="str">
        <x:v>Retain large fish; retrieve floating cargo</x:v>
      </x:c>
      <x:c r="H413" s="74" t="str">
        <x:v>Proposed</x:v>
      </x:c>
      <x:c r="I413" s="86" t="str">
        <x:v>Needs Director review</x:v>
      </x:c>
      <x:c r="J413" s="83" t="str"/>
    </x:row>
    <x:row r="414" ht="40.5" customHeight="1">
      <x:c r="A414" s="74" t="n">
        <x:v>410</x:v>
      </x:c>
      <x:c r="B414" s="74" t="str">
        <x:v>XP-410</x:v>
      </x:c>
      <x:c r="C414" s="74" t="str">
        <x:v>Coconut hot-stone boiler</x:v>
      </x:c>
      <x:c r="D414" s="74" t="str">
        <x:v>Whole-use coconut tools</x:v>
      </x:c>
      <x:c r="E414" s="74" t="str">
        <x:v>Natural Tools v0.2</x:v>
      </x:c>
      <x:c r="F414" s="74" t="str">
        <x:v>H2</x:v>
      </x:c>
      <x:c r="G414" s="74" t="str">
        <x:v>Heat and sometimes boil small water volumes indirectly</x:v>
      </x:c>
      <x:c r="H414" s="74" t="str">
        <x:v>Proposed</x:v>
      </x:c>
      <x:c r="I414" s="86" t="str">
        <x:v>Needs Director review</x:v>
      </x:c>
      <x:c r="J414" s="83" t="str"/>
    </x:row>
    <x:row r="415" ht="40.5" customHeight="1">
      <x:c r="A415" s="74" t="n">
        <x:v>411</x:v>
      </x:c>
      <x:c r="B415" s="74" t="str">
        <x:v>XP-411</x:v>
      </x:c>
      <x:c r="C415" s="74" t="str">
        <x:v>Coconut shell canteen</x:v>
      </x:c>
      <x:c r="D415" s="74" t="str">
        <x:v>Whole-use coconut tools</x:v>
      </x:c>
      <x:c r="E415" s="74" t="str">
        <x:v>Natural Tools v0.2</x:v>
      </x:c>
      <x:c r="F415" s="74" t="str">
        <x:v>H2</x:v>
      </x:c>
      <x:c r="G415" s="74" t="str">
        <x:v>Carry a small reserve of water or dry tinder</x:v>
      </x:c>
      <x:c r="H415" s="74" t="str">
        <x:v>Proposed</x:v>
      </x:c>
      <x:c r="I415" s="86" t="str">
        <x:v>Needs Director review</x:v>
      </x:c>
      <x:c r="J415" s="83" t="str"/>
    </x:row>
    <x:row r="416" ht="40.5" customHeight="1">
      <x:c r="A416" s="74" t="n">
        <x:v>412</x:v>
      </x:c>
      <x:c r="B416" s="74" t="str">
        <x:v>XP-412</x:v>
      </x:c>
      <x:c r="C416" s="74" t="str">
        <x:v>Coconut shell cup</x:v>
      </x:c>
      <x:c r="D416" s="74" t="str">
        <x:v>Whole-use coconut tools</x:v>
      </x:c>
      <x:c r="E416" s="74" t="str">
        <x:v>Natural Tools v0.2</x:v>
      </x:c>
      <x:c r="F416" s="74" t="str">
        <x:v>H0</x:v>
      </x:c>
      <x:c r="G416" s="74" t="str">
        <x:v>Drink; measure; collect rain; scoop dry goods</x:v>
      </x:c>
      <x:c r="H416" s="74" t="str">
        <x:v>Proposed</x:v>
      </x:c>
      <x:c r="I416" s="86" t="str">
        <x:v>Needs Director review</x:v>
      </x:c>
      <x:c r="J416" s="83" t="str"/>
    </x:row>
    <x:row r="417" ht="40.5" customHeight="1">
      <x:c r="A417" s="74" t="n">
        <x:v>413</x:v>
      </x:c>
      <x:c r="B417" s="74" t="str">
        <x:v>XP-413</x:v>
      </x:c>
      <x:c r="C417" s="74" t="str">
        <x:v>Coconut shell ladle</x:v>
      </x:c>
      <x:c r="D417" s="74" t="str">
        <x:v>Whole-use coconut tools</x:v>
      </x:c>
      <x:c r="E417" s="74" t="str">
        <x:v>Natural Tools v0.2</x:v>
      </x:c>
      <x:c r="F417" s="74" t="str">
        <x:v>H1</x:v>
      </x:c>
      <x:c r="G417" s="74" t="str">
        <x:v>Transfer hot or cold water; serve food; bail small craft</x:v>
      </x:c>
      <x:c r="H417" s="74" t="str">
        <x:v>Proposed</x:v>
      </x:c>
      <x:c r="I417" s="86" t="str">
        <x:v>Needs Director review</x:v>
      </x:c>
      <x:c r="J417" s="83" t="str"/>
    </x:row>
    <x:row r="418" ht="40.5" customHeight="1">
      <x:c r="A418" s="74" t="n">
        <x:v>414</x:v>
      </x:c>
      <x:c r="B418" s="74" t="str">
        <x:v>XP-414</x:v>
      </x:c>
      <x:c r="C418" s="74" t="str">
        <x:v>Coconut shell oil lamp</x:v>
      </x:c>
      <x:c r="D418" s="74" t="str">
        <x:v>Whole-use coconut tools</x:v>
      </x:c>
      <x:c r="E418" s="74" t="str">
        <x:v>Natural Tools v0.2</x:v>
      </x:c>
      <x:c r="F418" s="74" t="str">
        <x:v>H1</x:v>
      </x:c>
      <x:c r="G418" s="74" t="str">
        <x:v>Low light; ember transfer; task lighting</x:v>
      </x:c>
      <x:c r="H418" s="74" t="str">
        <x:v>Proposed</x:v>
      </x:c>
      <x:c r="I418" s="86" t="str">
        <x:v>Needs Director review</x:v>
      </x:c>
      <x:c r="J418" s="83" t="str"/>
    </x:row>
    <x:row r="419" ht="40.5" customHeight="1">
      <x:c r="A419" s="74" t="n">
        <x:v>415</x:v>
      </x:c>
      <x:c r="B419" s="74" t="str">
        <x:v>XP-415</x:v>
      </x:c>
      <x:c r="C419" s="74" t="str">
        <x:v>Bench hook and stop set</x:v>
      </x:c>
      <x:c r="D419" s="74" t="str">
        <x:v>Woodworking and workholding</x:v>
      </x:c>
      <x:c r="E419" s="74" t="str">
        <x:v>Natural Tools v0.2</x:v>
      </x:c>
      <x:c r="F419" s="74" t="str">
        <x:v>H2</x:v>
      </x:c>
      <x:c r="G419" s="74" t="str">
        <x:v>Resist cutting and planing force; locate repeated parts</x:v>
      </x:c>
      <x:c r="H419" s="74" t="str">
        <x:v>Proposed</x:v>
      </x:c>
      <x:c r="I419" s="86" t="str">
        <x:v>Needs Director review</x:v>
      </x:c>
      <x:c r="J419" s="83" t="str"/>
    </x:row>
    <x:row r="420" ht="40.5" customHeight="1">
      <x:c r="A420" s="74" t="n">
        <x:v>416</x:v>
      </x:c>
      <x:c r="B420" s="74" t="str">
        <x:v>XP-416</x:v>
      </x:c>
      <x:c r="C420" s="74" t="str">
        <x:v>Carving baton</x:v>
      </x:c>
      <x:c r="D420" s="74" t="str">
        <x:v>Woodworking and workholding</x:v>
      </x:c>
      <x:c r="E420" s="74" t="str">
        <x:v>Natural Tools v0.2</x:v>
      </x:c>
      <x:c r="F420" s="74" t="str">
        <x:v>H0</x:v>
      </x:c>
      <x:c r="G420" s="74" t="str">
        <x:v>Drive cutter safely; split small stock; tap joints</x:v>
      </x:c>
      <x:c r="H420" s="74" t="str">
        <x:v>Proposed</x:v>
      </x:c>
      <x:c r="I420" s="86" t="str">
        <x:v>Needs Director review</x:v>
      </x:c>
      <x:c r="J420" s="83" t="str"/>
    </x:row>
    <x:row r="421" ht="40.5" customHeight="1">
      <x:c r="A421" s="74" t="n">
        <x:v>417</x:v>
      </x:c>
      <x:c r="B421" s="74" t="str">
        <x:v>XP-417</x:v>
      </x:c>
      <x:c r="C421" s="74" t="str">
        <x:v>Cordage tourniquet clamp</x:v>
      </x:c>
      <x:c r="D421" s="74" t="str">
        <x:v>Woodworking and workholding</x:v>
      </x:c>
      <x:c r="E421" s="74" t="str">
        <x:v>Natural Tools v0.2</x:v>
      </x:c>
      <x:c r="F421" s="74" t="str">
        <x:v>H1</x:v>
      </x:c>
      <x:c r="G421" s="74" t="str">
        <x:v>Apply controlled compression to bundles and repairs</x:v>
      </x:c>
      <x:c r="H421" s="74" t="str">
        <x:v>Proposed</x:v>
      </x:c>
      <x:c r="I421" s="86" t="str">
        <x:v>Needs Director review</x:v>
      </x:c>
      <x:c r="J421" s="83" t="str"/>
    </x:row>
    <x:row r="422" ht="40.5" customHeight="1">
      <x:c r="A422" s="74" t="n">
        <x:v>418</x:v>
      </x:c>
      <x:c r="B422" s="74" t="str">
        <x:v>XP-418</x:v>
      </x:c>
      <x:c r="C422" s="74" t="str">
        <x:v>Peg and treenail set</x:v>
      </x:c>
      <x:c r="D422" s="74" t="str">
        <x:v>Woodworking and workholding</x:v>
      </x:c>
      <x:c r="E422" s="74" t="str">
        <x:v>Natural Tools v0.2</x:v>
      </x:c>
      <x:c r="F422" s="74" t="str">
        <x:v>H1</x:v>
      </x:c>
      <x:c r="G422" s="74" t="str">
        <x:v>Join frames without metal; pin handles; repair hull planks</x:v>
      </x:c>
      <x:c r="H422" s="74" t="str">
        <x:v>Proposed</x:v>
      </x:c>
      <x:c r="I422" s="86" t="str">
        <x:v>Needs Director review</x:v>
      </x:c>
      <x:c r="J422" s="83" t="str"/>
    </x:row>
    <x:row r="423" ht="40.5" customHeight="1">
      <x:c r="A423" s="74" t="n">
        <x:v>419</x:v>
      </x:c>
      <x:c r="B423" s="74" t="str">
        <x:v>XP-419</x:v>
      </x:c>
      <x:c r="C423" s="74" t="str">
        <x:v>Splitting glut set</x:v>
      </x:c>
      <x:c r="D423" s="74" t="str">
        <x:v>Woodworking and workholding</x:v>
      </x:c>
      <x:c r="E423" s="74" t="str">
        <x:v>Natural Tools v0.2</x:v>
      </x:c>
      <x:c r="F423" s="74" t="str">
        <x:v>H1</x:v>
      </x:c>
      <x:c r="G423" s="74" t="str">
        <x:v>Continue a long split after the stone wedge starts it</x:v>
      </x:c>
      <x:c r="H423" s="74" t="str">
        <x:v>Proposed</x:v>
      </x:c>
      <x:c r="I423" s="86" t="str">
        <x:v>Needs Director review</x:v>
      </x:c>
      <x:c r="J423" s="83" t="str"/>
    </x:row>
    <x:row r="424" ht="40.5" customHeight="1">
      <x:c r="A424" s="74" t="n">
        <x:v>420</x:v>
      </x:c>
      <x:c r="B424" s="74" t="str">
        <x:v>XP-420</x:v>
      </x:c>
      <x:c r="C424" s="74" t="str">
        <x:v>Wedge clamp</x:v>
      </x:c>
      <x:c r="D424" s="74" t="str">
        <x:v>Woodworking and workholding</x:v>
      </x:c>
      <x:c r="E424" s="74" t="str">
        <x:v>Natural Tools v0.2</x:v>
      </x:c>
      <x:c r="F424" s="74" t="str">
        <x:v>H1</x:v>
      </x:c>
      <x:c r="G424" s="74" t="str">
        <x:v>Hold stock for cutting; glue; drilling; lashing</x:v>
      </x:c>
      <x:c r="H424" s="74" t="str">
        <x:v>Proposed</x:v>
      </x:c>
      <x:c r="I424" s="86" t="str">
        <x:v>Needs Director review</x:v>
      </x:c>
      <x:c r="J424" s="83" t="str"/>
    </x:row>
    <x:row r="425" ht="40.5" customHeight="1">
      <x:c r="A425" s="74" t="n">
        <x:v>421</x:v>
      </x:c>
      <x:c r="B425" s="74" t="str">
        <x:v>XP-421</x:v>
      </x:c>
      <x:c r="C425" s="74" t="str">
        <x:v>Wooden mallet</x:v>
      </x:c>
      <x:c r="D425" s="74" t="str">
        <x:v>Woodworking and workholding</x:v>
      </x:c>
      <x:c r="E425" s="74" t="str">
        <x:v>Natural Tools v0.2</x:v>
      </x:c>
      <x:c r="F425" s="74" t="str">
        <x:v>H1</x:v>
      </x:c>
      <x:c r="G425" s="74" t="str">
        <x:v>Drive pegs; seat joints; strike chisels and wedges</x:v>
      </x:c>
      <x:c r="H425" s="74" t="str">
        <x:v>Proposed</x:v>
      </x:c>
      <x:c r="I425" s="86" t="str">
        <x:v>Needs Director review</x:v>
      </x:c>
      <x:c r="J425" s="83" t="str"/>
    </x:row>
    <x:row r="426" ht="40.5" customHeight="1">
      <x:c r="A426" s="75" t="n">
        <x:v>422</x:v>
      </x:c>
      <x:c r="B426" s="75" t="str">
        <x:v>XP-422</x:v>
      </x:c>
      <x:c r="C426" s="75" t="str">
        <x:v>Wooden wedge set</x:v>
      </x:c>
      <x:c r="D426" s="75" t="str">
        <x:v>Woodworking and workholding</x:v>
      </x:c>
      <x:c r="E426" s="75" t="str">
        <x:v>Natural Tools v0.2</x:v>
      </x:c>
      <x:c r="F426" s="75" t="str">
        <x:v>H0</x:v>
      </x:c>
      <x:c r="G426" s="75" t="str">
        <x:v>Split timber; clamp joints; level structures</x:v>
      </x:c>
      <x:c r="H426" s="75" t="str">
        <x:v>Proposed</x:v>
      </x:c>
      <x:c r="I426" s="87" t="str">
        <x:v>Needs Director review</x:v>
      </x:c>
      <x:c r="J426" s="84" t="str"/>
    </x:row>
  </x:sheetData>
  <x:mergeCells>
    <x:mergeCell ref="A1:J1"/>
    <x:mergeCell ref="A2:J2"/>
  </x:mergeCells>
  <x:conditionalFormatting sqref="I5:I426">
    <x:cfRule type="containsText" dxfId="3" priority="1" operator="containsText" text="Keep"/>
    <x:cfRule type="containsText" dxfId="4" priority="2" operator="containsText" text="Remove"/>
  </x:conditionalFormatting>
  <x:dataValidations count="1">
    <x:dataValidation type="list" sqref="I5:I426">
      <x:formula1>"Keep,Rename,Split variants,Merge,Remove,Research,Needs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f51a5a78e046f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0" hidden="0" customWidth="1"/>
    <x:col min="3" max="3" width="16.670000076293945" hidden="0" customWidth="1"/>
    <x:col min="4" max="4" width="8.329999923706055" hidden="0" customWidth="1"/>
    <x:col min="5" max="5" width="16.110000610351562" hidden="0" customWidth="1"/>
    <x:col min="6" max="6" width="8.329999923706055" hidden="0" customWidth="1"/>
    <x:col min="7" max="7" width="16.670000076293945" hidden="0" customWidth="1"/>
    <x:col min="8" max="8" width="8.329999923706055" hidden="0" customWidth="1"/>
    <x:col min="9" max="9" width="16.110000610351562" hidden="0" customWidth="1"/>
    <x:col min="10" max="10" width="8.329999923706055" hidden="0" customWidth="1"/>
  </x:cols>
  <x:sheetData>
    <x:row r="1" ht="28.5" customHeight="1">
      <x:c r="A1" s="89" t="str">
        <x:v>THE FIRST NIGHT — Crafting and Wreckfall Expansion v0.2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2" ht="36" customHeight="1">
      <x:c r="A2" s="60" t="str">
        <x:v>A circular crafting ecology: natural tools create the first verbs; recurring wreckfall adds forms and mechanisms; knowledge controls reuse, repair, dismantling, reshaping, recycling and safe rejection.</x:v>
      </x:c>
      <x:c r="B2" s="60"/>
      <x:c r="C2" s="60"/>
      <x:c r="D2" s="60"/>
      <x:c r="E2" s="60"/>
      <x:c r="F2" s="60"/>
      <x:c r="G2" s="60"/>
      <x:c r="H2" s="60"/>
      <x:c r="I2" s="60"/>
      <x:c r="J2" s="60"/>
    </x:row>
    <x:row r="4">
      <x:c r="A4" s="64" t="str">
        <x:v>Catalogue</x:v>
      </x:c>
      <x:c r="B4" s="64" t="str">
        <x:v>Count</x:v>
      </x:c>
      <x:c r="C4" s="64" t="str">
        <x:v>System</x:v>
      </x:c>
      <x:c r="D4" s="64" t="str">
        <x:v>Count</x:v>
      </x:c>
      <x:c r="E4" s="64" t="str">
        <x:v>Material ecology</x:v>
      </x:c>
      <x:c r="F4" s="64" t="str">
        <x:v>Count</x:v>
      </x:c>
      <x:c r="G4" s="64" t="str">
        <x:v>Power</x:v>
      </x:c>
      <x:c r="H4" s="64" t="str">
        <x:v>Count</x:v>
      </x:c>
      <x:c r="I4" s="64" t="str">
        <x:v>Director review</x:v>
      </x:c>
      <x:c r="J4" s="64" t="str">
        <x:v>Count</x:v>
      </x:c>
    </x:row>
    <x:row r="5">
      <x:c r="A5" s="98" t="str">
        <x:v>Existing named graph nodes</x:v>
      </x:c>
      <x:c r="B5" s="101" t="n">
        <x:v>222</x:v>
      </x:c>
      <x:c r="C5" s="98" t="str">
        <x:v>Disassembly action families</x:v>
      </x:c>
      <x:c r="D5" s="101" t="n">
        <x:f>COUNTA('Disassembly v0.2'!$B$5:$B$40)</x:f>
        <x:v>36</x:v>
      </x:c>
      <x:c r="E5" s="98" t="str">
        <x:v>Material routes</x:v>
      </x:c>
      <x:c r="F5" s="101" t="n">
        <x:f>COUNTA('Material Routes v0.2'!$B$5:$B$70)</x:f>
        <x:v>66</x:v>
      </x:c>
      <x:c r="G5" s="98" t="str">
        <x:v>Power and steam components</x:v>
      </x:c>
      <x:c r="H5" s="101" t="n">
        <x:f>COUNTA('Power Roadmap v0.2'!$B$5:$B$55)</x:f>
        <x:v>51</x:v>
      </x:c>
      <x:c r="I5" s="98" t="str">
        <x:v>Decisions entered</x:v>
      </x:c>
      <x:c r="J5" s="101" t="n">
        <x:f>COUNTIF('Expansion Index v0.2'!$I$5:$I$426,"&lt;&gt;Needs Director review")</x:f>
        <x:v>0</x:v>
      </x:c>
    </x:row>
    <x:row r="6">
      <x:c r="A6" s="99" t="str">
        <x:v>New unique proposed names</x:v>
      </x:c>
      <x:c r="B6" s="102" t="n">
        <x:f>COUNTA('Expansion Index v0.2'!$C$5:$C$426)</x:f>
        <x:v>422</x:v>
      </x:c>
      <x:c r="C6" s="99" t="str">
        <x:v>Recurring arrival events</x:v>
      </x:c>
      <x:c r="D6" s="102" t="n">
        <x:f>COUNTA('Beach Ecology v0.2'!$B$5:$B$19)</x:f>
        <x:v>15</x:v>
      </x:c>
      <x:c r="E6" s="99" t="str">
        <x:v>Coconut and coir routes</x:v>
      </x:c>
      <x:c r="F6" s="102" t="n">
        <x:f>COUNTA('Material Routes v0.2'!$B$5:$B$10)</x:f>
        <x:v>6</x:v>
      </x:c>
      <x:c r="G6" s="99" t="str">
        <x:v>Pre-steam electrical components</x:v>
      </x:c>
      <x:c r="H6" s="102" t="n">
        <x:f>COUNTA('Power Roadmap v0.2'!$B$5:$B$28)</x:f>
        <x:v>24</x:v>
      </x:c>
      <x:c r="I6" s="99" t="str">
        <x:v>Still needs review</x:v>
      </x:c>
      <x:c r="J6" s="102" t="n">
        <x:f>COUNTIF('Expansion Index v0.2'!$I$5:$I$426,"Needs Director review")</x:f>
        <x:v>422</x:v>
      </x:c>
    </x:row>
    <x:row r="7">
      <x:c r="A7" s="99" t="str">
        <x:v>Natural tools and weapon components</x:v>
      </x:c>
      <x:c r="B7" s="102" t="n">
        <x:f>COUNTA('Natural Tools v0.2'!$B$5:$B$92)</x:f>
        <x:v>88</x:v>
      </x:c>
      <x:c r="C7" s="99" t="str">
        <x:v>Weapons and hunting entries</x:v>
      </x:c>
      <x:c r="D7" s="102" t="n">
        <x:f>COUNTA('Natural Tools v0.2'!$B$74:$B$87)</x:f>
        <x:v>14</x:v>
      </x:c>
      <x:c r="E7" s="99" t="str">
        <x:v>Animal-origin routes</x:v>
      </x:c>
      <x:c r="F7" s="102" t="n">
        <x:f>COUNTA('Material Routes v0.2'!$B$20:$B$36)</x:f>
        <x:v>17</x:v>
      </x:c>
      <x:c r="G7" s="99" t="str">
        <x:v>Steam-plant components</x:v>
      </x:c>
      <x:c r="H7" s="102" t="n">
        <x:f>COUNTA('Power Roadmap v0.2'!$B$29:$B$55)</x:f>
        <x:v>27</x:v>
      </x:c>
      <x:c r="I7" s="99" t="str">
        <x:v>Director notes entered</x:v>
      </x:c>
      <x:c r="J7" s="102" t="n">
        <x:f>COUNTIF('Expansion Index v0.2'!$J$5:$J$426,"?*")</x:f>
        <x:v>0</x:v>
      </x:c>
    </x:row>
    <x:row r="8">
      <x:c r="A8" s="100" t="str">
        <x:v>Named salvage objects</x:v>
      </x:c>
      <x:c r="B8" s="103" t="n">
        <x:f>COUNTA('Salvage Manifest v0.2'!$B$5:$B$230)</x:f>
        <x:v>226</x:v>
      </x:c>
      <x:c r="C8" s="100" t="str">
        <x:v>Research sources</x:v>
      </x:c>
      <x:c r="D8" s="103" t="n">
        <x:f>COUNTA('Research Sources v0.2'!$B$5:$B$21)</x:f>
        <x:v>17</x:v>
      </x:c>
      <x:c r="E8" s="100" t="str">
        <x:v>Machine-element routes</x:v>
      </x:c>
      <x:c r="F8" s="103" t="n">
        <x:f>COUNTA('Material Routes v0.2'!$B$53:$B$59)</x:f>
        <x:v>7</x:v>
      </x:c>
      <x:c r="G8" s="100" t="str">
        <x:v>Critical-hazard components</x:v>
      </x:c>
      <x:c r="H8" s="103" t="n">
        <x:f>COUNTIF('Power Roadmap v0.2'!$I$5:$I$55,"Critical")</x:f>
        <x:v>24</x:v>
      </x:c>
      <x:c r="I8" s="100" t="str">
        <x:v>Blank addition rows in old catalogue</x:v>
      </x:c>
      <x:c r="J8" s="103" t="n">
        <x:v>100</x:v>
      </x:c>
    </x:row>
    <x:row r="10">
      <x:c r="A10" s="105" t="str">
        <x:v>Five governing decisions</x:v>
      </x:c>
      <x:c r="B10" s="105"/>
      <x:c r="C10" s="105"/>
      <x:c r="D10" s="105"/>
      <x:c r="E10" s="105"/>
      <x:c r="F10" s="105"/>
      <x:c r="G10" s="105"/>
      <x:c r="H10" s="105"/>
      <x:c r="I10" s="105"/>
      <x:c r="J10" s="105"/>
    </x:row>
    <x:row r="11" ht="31.5" customHeight="1">
      <x:c r="A11" s="128" t="str">
        <x:v>1</x:v>
      </x:c>
      <x:c r="B11" s="116" t="str">
        <x:v>Natural tools are verbs</x:v>
      </x:c>
      <x:c r="C11" s="116"/>
      <x:c r="D11" s="119" t="str">
        <x:v>A hammerstone, scraper, awl, axe, drill and gauge must do different work; recipe count is not progression.</x:v>
      </x:c>
      <x:c r="E11" s="119"/>
      <x:c r="F11" s="119"/>
      <x:c r="G11" s="119"/>
      <x:c r="H11" s="119"/>
      <x:c r="I11" s="119"/>
      <x:c r="J11" s="119"/>
    </x:row>
    <x:row r="12" ht="31.5" customHeight="1">
      <x:c r="A12" s="129" t="str">
        <x:v>2</x:v>
      </x:c>
      <x:c r="B12" s="117" t="str">
        <x:v>Assemblies arrive before materials</x:v>
      </x:c>
      <x:c r="C12" s="117"/>
      <x:c r="D12" s="120" t="str">
        <x:v>The player meets a hatch, pump, radio or wreck zone. Correct disassembly preserves intact objects and fasteners.</x:v>
      </x:c>
      <x:c r="E12" s="120"/>
      <x:c r="F12" s="120"/>
      <x:c r="G12" s="120"/>
      <x:c r="H12" s="120"/>
      <x:c r="I12" s="120"/>
      <x:c r="J12" s="120"/>
    </x:row>
    <x:row r="13" ht="31.5" customHeight="1">
      <x:c r="A13" s="129" t="str">
        <x:v>3</x:v>
      </x:c>
      <x:c r="B13" s="117" t="str">
        <x:v>Reuse outranks recycling</x:v>
      </x:c>
      <x:c r="C13" s="117"/>
      <x:c r="D13" s="120" t="str">
        <x:v>A sound pot is cookware; a damaged pot becomes sheet; only then does it become smelting feedstock.</x:v>
      </x:c>
      <x:c r="E13" s="120"/>
      <x:c r="F13" s="120"/>
      <x:c r="G13" s="120"/>
      <x:c r="H13" s="120"/>
      <x:c r="I13" s="120"/>
      <x:c r="J13" s="120"/>
    </x:row>
    <x:row r="14" ht="31.5" customHeight="1">
      <x:c r="A14" s="129" t="str">
        <x:v>4</x:v>
      </x:c>
      <x:c r="B14" s="117" t="str">
        <x:v>Wreckfall has mass and memory</x:v>
      </x:c>
      <x:c r="C14" s="117"/>
      <x:c r="D14" s="120" t="str">
        <x:v>Tides redistribute a finite cohort. Parent wrecks shed recognizable parts; player cleanup changes ecology and future finds.</x:v>
      </x:c>
      <x:c r="E14" s="120"/>
      <x:c r="F14" s="120"/>
      <x:c r="G14" s="120"/>
      <x:c r="H14" s="120"/>
      <x:c r="I14" s="120"/>
      <x:c r="J14" s="120"/>
    </x:row>
    <x:row r="15" ht="31.5" customHeight="1">
      <x:c r="A15" s="130" t="str">
        <x:v>5</x:v>
      </x:c>
      <x:c r="B15" s="118" t="str">
        <x:v>Steam is a proved plant</x:v>
      </x:c>
      <x:c r="C15" s="118"/>
      <x:c r="D15" s="121" t="str">
        <x:v>A pressure-rated boiler, relief valve, water-level control, engine, coupling, generator, regulation and commissioning evidence are mandatory.</x:v>
      </x:c>
      <x:c r="E15" s="121"/>
      <x:c r="F15" s="121"/>
      <x:c r="G15" s="121"/>
      <x:c r="H15" s="121"/>
      <x:c r="I15" s="121"/>
      <x:c r="J15" s="121"/>
    </x:row>
    <x:row r="17">
      <x:c r="A17" s="131" t="str">
        <x:v>Recommended first playable tranche</x:v>
      </x:c>
      <x:c r="B17" s="131"/>
      <x:c r="C17" s="131"/>
      <x:c r="D17" s="131"/>
      <x:c r="E17" s="131"/>
      <x:c r="F17" s="131"/>
      <x:c r="G17" s="131"/>
      <x:c r="H17" s="131"/>
      <x:c r="I17" s="131"/>
      <x:c r="J17" s="131"/>
    </x:row>
    <x:row r="18" ht="31.5" customHeight="1">
      <x:c r="A18" s="144" t="str">
        <x:v>Natural</x:v>
      </x:c>
      <x:c r="B18" s="147" t="str">
        <x:v>Hammerstone → flake → backed cutter → scraper → cord → mallet → wedge clamp → hafted axe</x:v>
      </x:c>
      <x:c r="C18" s="147"/>
      <x:c r="D18" s="147"/>
      <x:c r="E18" s="147"/>
      <x:c r="F18" s="147"/>
      <x:c r="G18" s="147"/>
      <x:c r="H18" s="147"/>
      <x:c r="I18" s="147"/>
      <x:c r="J18" s="147"/>
    </x:row>
    <x:row r="19" ht="31.5" customHeight="1">
      <x:c r="A19" s="145" t="str">
        <x:v>Salvage</x:v>
      </x:c>
      <x:c r="B19" s="148" t="str">
        <x:v>Screwdriver + pliers + wrench + hacksaw unlock one grounded dinghy: hatch, cloth, rope, fasteners, sheet, pump and wiring</x:v>
      </x:c>
      <x:c r="C19" s="148"/>
      <x:c r="D19" s="148"/>
      <x:c r="E19" s="148"/>
      <x:c r="F19" s="148"/>
      <x:c r="G19" s="148"/>
      <x:c r="H19" s="148"/>
      <x:c r="I19" s="148"/>
      <x:c r="J19" s="148"/>
    </x:row>
    <x:row r="20" ht="31.5" customHeight="1">
      <x:c r="A20" s="145" t="str">
        <x:v>Power</x:v>
      </x:c>
      <x:c r="B20" s="148" t="str">
        <x:v>Meter → fuse → hand crank → battery → DC light → water pump; wind/water and steam follow after controls</x:v>
      </x:c>
      <x:c r="C20" s="148"/>
      <x:c r="D20" s="148"/>
      <x:c r="E20" s="148"/>
      <x:c r="F20" s="148"/>
      <x:c r="G20" s="148"/>
      <x:c r="H20" s="148"/>
      <x:c r="I20" s="148"/>
      <x:c r="J20" s="148"/>
    </x:row>
    <x:row r="21" ht="31.5" customHeight="1">
      <x:c r="A21" s="146" t="str">
        <x:v>Whole-use</x:v>
      </x:c>
      <x:c r="B21" s="149" t="str">
        <x:v>Coconut food → cup/rain collector → ladle/hot-stone boiler → lamp → charcoal/button route; failure creates fuel or aggregate</x:v>
      </x:c>
      <x:c r="C21" s="149"/>
      <x:c r="D21" s="149"/>
      <x:c r="E21" s="149"/>
      <x:c r="F21" s="149"/>
      <x:c r="G21" s="149"/>
      <x:c r="H21" s="149"/>
      <x:c r="I21" s="149"/>
      <x:c r="J21" s="149"/>
    </x:row>
  </x:sheetData>
  <x:mergeCells>
    <x:mergeCell ref="A1:J1"/>
    <x:mergeCell ref="A2:J2"/>
    <x:mergeCell ref="A10:J10"/>
    <x:mergeCell ref="B11:C11"/>
    <x:mergeCell ref="D11:J11"/>
    <x:mergeCell ref="B12:C12"/>
    <x:mergeCell ref="D12:J12"/>
    <x:mergeCell ref="B13:C13"/>
    <x:mergeCell ref="D13:J13"/>
    <x:mergeCell ref="B14:C14"/>
    <x:mergeCell ref="D14:J14"/>
    <x:mergeCell ref="B15:C15"/>
    <x:mergeCell ref="D15:J15"/>
    <x:mergeCell ref="A17:J17"/>
    <x:mergeCell ref="B18:J18"/>
    <x:mergeCell ref="B19:J19"/>
    <x:mergeCell ref="B20:J20"/>
    <x:mergeCell ref="B21:J21"/>
  </x:mergeCells>
  <x:pageMargins left="0.7" right="0.7" top="0.75" bottom="0.75" header="0.3" footer="0.3"/>
</x:worksheet>
</file>