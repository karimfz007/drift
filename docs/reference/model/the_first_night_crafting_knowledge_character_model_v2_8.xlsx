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29.xml" ContentType="application/vnd.openxmlformats-officedocument.spreadsheetml.table+xml"/>
  <Override PartName="/xl/worksheets/sheet34.xml" ContentType="application/vnd.openxmlformats-officedocument.spreadsheetml.worksheet+xml"/>
  <Override PartName="/xl/tables/table30.xml" ContentType="application/vnd.openxmlformats-officedocument.spreadsheetml.table+xml"/>
  <Override PartName="/xl/worksheets/sheet35.xml" ContentType="application/vnd.openxmlformats-officedocument.spreadsheetml.worksheet+xml"/>
  <Override PartName="/xl/tables/table31.xml" ContentType="application/vnd.openxmlformats-officedocument.spreadsheetml.table+xml"/>
  <Override PartName="/xl/worksheets/sheet36.xml" ContentType="application/vnd.openxmlformats-officedocument.spreadsheetml.worksheet+xml"/>
  <Override PartName="/xl/tables/table3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e2f7eecb8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a10911cd59ca45c2"/>
    <x:sheet xmlns:r="http://schemas.openxmlformats.org/officeDocument/2006/relationships" name="Body Baseline" sheetId="2" r:id="Ra03602cbe0c6486f"/>
    <x:sheet xmlns:r="http://schemas.openxmlformats.org/officeDocument/2006/relationships" name="Performance Lab" sheetId="3" r:id="R12b0b7bc0cd84286"/>
    <x:sheet xmlns:r="http://schemas.openxmlformats.org/officeDocument/2006/relationships" name="Adaptation" sheetId="4" r:id="R1c07105c19e2475d"/>
    <x:sheet xmlns:r="http://schemas.openxmlformats.org/officeDocument/2006/relationships" name="Activities" sheetId="5" r:id="R64d474beb11c42b6"/>
    <x:sheet xmlns:r="http://schemas.openxmlformats.org/officeDocument/2006/relationships" name="Water Sources" sheetId="6" r:id="Re05d237e74c8436d"/>
    <x:sheet xmlns:r="http://schemas.openxmlformats.org/officeDocument/2006/relationships" name="Treatment Matrix" sheetId="7" r:id="R183626f548264f78"/>
    <x:sheet xmlns:r="http://schemas.openxmlformats.org/officeDocument/2006/relationships" name="Illness Paths" sheetId="8" r:id="R5c1a81b84b4c4e72"/>
    <x:sheet xmlns:r="http://schemas.openxmlformats.org/officeDocument/2006/relationships" name="Water Craft Tree" sheetId="9" r:id="R06ffd60903664b49"/>
    <x:sheet xmlns:r="http://schemas.openxmlformats.org/officeDocument/2006/relationships" name="Craft Nodes" sheetId="10" r:id="R4e73194fa7a64233"/>
    <x:sheet xmlns:r="http://schemas.openxmlformats.org/officeDocument/2006/relationships" name="Dependency Edges" sheetId="11" r:id="R4b8f2803974d4fd0"/>
    <x:sheet xmlns:r="http://schemas.openxmlformats.org/officeDocument/2006/relationships" name="Time Model" sheetId="12" r:id="R330e0fd5c9034b9e"/>
    <x:sheet xmlns:r="http://schemas.openxmlformats.org/officeDocument/2006/relationships" name="Graph Audit" sheetId="13" r:id="R7cf92c8b04be45cb"/>
    <x:sheet xmlns:r="http://schemas.openxmlformats.org/officeDocument/2006/relationships" name="Sources" sheetId="14" r:id="Rd51246245bcb4a5e"/>
    <x:sheet xmlns:r="http://schemas.openxmlformats.org/officeDocument/2006/relationships" name="System Weave" sheetId="15" r:id="Rfb78dac5a5f8435f"/>
    <x:sheet xmlns:r="http://schemas.openxmlformats.org/officeDocument/2006/relationships" name="Fire &amp; Power" sheetId="16" r:id="R263a6f1a856346a6"/>
    <x:sheet xmlns:r="http://schemas.openxmlformats.org/officeDocument/2006/relationships" name="Workbench" sheetId="17" r:id="R3e2506e36feb4796"/>
    <x:sheet xmlns:r="http://schemas.openxmlformats.org/officeDocument/2006/relationships" name="Fiber Economy" sheetId="18" r:id="Rccfc329916ab4a22"/>
    <x:sheet xmlns:r="http://schemas.openxmlformats.org/officeDocument/2006/relationships" name="Material Economy" sheetId="19" r:id="R64d8b3e6786a402d"/>
    <x:sheet xmlns:r="http://schemas.openxmlformats.org/officeDocument/2006/relationships" name="Salvage Ecology" sheetId="20" r:id="R0e6ae2835d0d4c93"/>
    <x:sheet xmlns:r="http://schemas.openxmlformats.org/officeDocument/2006/relationships" name="Shelter Resilience" sheetId="21" r:id="Rd00719a212404e80"/>
    <x:sheet xmlns:r="http://schemas.openxmlformats.org/officeDocument/2006/relationships" name="Food Systems" sheetId="22" r:id="R898d95dfeb0d4702"/>
    <x:sheet xmlns:r="http://schemas.openxmlformats.org/officeDocument/2006/relationships" name="Diving Growth" sheetId="23" r:id="R683923e619c44214"/>
    <x:sheet xmlns:r="http://schemas.openxmlformats.org/officeDocument/2006/relationships" name="Second-Life Clock" sheetId="24" r:id="Rbef63ceb4411419c"/>
    <x:sheet xmlns:r="http://schemas.openxmlformats.org/officeDocument/2006/relationships" name="v2.7 Sources" sheetId="25" r:id="Rb1e0c952702a4a04"/>
    <x:sheet xmlns:r="http://schemas.openxmlformats.org/officeDocument/2006/relationships" name="v2.8 Progression" sheetId="26" r:id="Rff72f463755a402e"/>
    <x:sheet xmlns:r="http://schemas.openxmlformats.org/officeDocument/2006/relationships" name="Characteristics" sheetId="27" r:id="Re60885e3404e4de0"/>
    <x:sheet xmlns:r="http://schemas.openxmlformats.org/officeDocument/2006/relationships" name="Skill Architecture" sheetId="28" r:id="Rfb0dfa13d2ca4cdc"/>
    <x:sheet xmlns:r="http://schemas.openxmlformats.org/officeDocument/2006/relationships" name="Knowledge Ledger" sheetId="29" r:id="Rc7d2f68a49014f92"/>
    <x:sheet xmlns:r="http://schemas.openxmlformats.org/officeDocument/2006/relationships" name="Trait Constellation" sheetId="30" r:id="R5a5cca36c4ad4f34"/>
    <x:sheet xmlns:r="http://schemas.openxmlformats.org/officeDocument/2006/relationships" name="Learning Resolver" sheetId="31" r:id="Re438c485c61b4621"/>
    <x:sheet xmlns:r="http://schemas.openxmlformats.org/officeDocument/2006/relationships" name="Craft Resolver" sheetId="32" r:id="R932b60e4cc584f12"/>
    <x:sheet xmlns:r="http://schemas.openxmlformats.org/officeDocument/2006/relationships" name="Workbench Build v2.8" sheetId="33" r:id="R23de67477ade4d4a"/>
    <x:sheet xmlns:r="http://schemas.openxmlformats.org/officeDocument/2006/relationships" name="Core Craft Tree v2.8" sheetId="34" r:id="R1c9c3cc305ec44b5"/>
    <x:sheet xmlns:r="http://schemas.openxmlformats.org/officeDocument/2006/relationships" name="Craft Time Seeds v2.8" sheetId="35" r:id="R5d7d203369ea4daa"/>
    <x:sheet xmlns:r="http://schemas.openxmlformats.org/officeDocument/2006/relationships" name="v2.8 Sources" sheetId="36" r:id="Rdc0b596daa72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%"/>
    <x:numFmt numFmtId="203" formatCode="0"/>
    <x:numFmt numFmtId="204" formatCode="0.0"/>
  </x:numFmts>
  <x:fonts count="1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03247"/>
      <x:name val="Carlito"/>
    </x:font>
    <x:font>
      <x:b/>
      <x:sz val="11"/>
      <x:color rgb="FF182230"/>
      <x:name val="Carlito"/>
    </x:font>
    <x:font>
      <x:sz val="11"/>
      <x:color rgb="FF182230"/>
      <x:name val="Carlito"/>
    </x:font>
    <x:font>
      <x:b/>
      <x:sz val="11"/>
      <x:color rgb="FFD96632"/>
      <x:name val="Carlito"/>
    </x:font>
    <x:font>
      <x:b/>
      <x:sz val="11"/>
      <x:color rgb="FF2F7D73"/>
      <x:name val="Carlito"/>
    </x:font>
    <x:font>
      <x:sz val="11"/>
      <x:color rgb="FF2E5D7B"/>
      <x:name val="Carlito"/>
    </x:font>
    <x:font>
      <x:b/>
      <x:sz val="11"/>
      <x:color rgb="FF2E7D59"/>
      <x:name val="Carlito"/>
    </x:font>
    <x:font>
      <x:sz val="11"/>
      <x:color rgb="FFB8473F"/>
      <x:name val="Carlito"/>
    </x:font>
    <x:font>
      <x:sz val="11"/>
      <x:color rgb="FFD96632"/>
      <x:name val="Carlito"/>
    </x:font>
    <x:font>
      <x:b/>
      <x:sz val="16"/>
      <x:color rgb="FFFFFFFF"/>
      <x:name val="Carlito"/>
    </x:font>
    <x:font>
      <x:i/>
      <x:sz val="10"/>
      <x:color rgb="FF263444"/>
      <x:name val="Carlito"/>
    </x:font>
    <x:font>
      <x:sz val="10"/>
      <x:color rgb="FF263444"/>
      <x:name val="Carlito"/>
    </x:font>
    <x:font>
      <x:b/>
      <x:sz val="11"/>
      <x:color rgb="FF263444"/>
      <x:name val="Carlito"/>
    </x:font>
    <x:font>
      <x:b/>
      <x:sz val="10"/>
      <x:color rgb="FF263444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82230"/>
      </x:patternFill>
    </x:fill>
    <x:fill>
      <x:patternFill patternType="solid">
        <x:fgColor rgb="FFF6F0E6"/>
      </x:patternFill>
    </x:fill>
    <x:fill>
      <x:patternFill patternType="solid">
        <x:fgColor rgb="FF203247"/>
      </x:patternFill>
    </x:fill>
    <x:fill>
      <x:patternFill patternType="solid">
        <x:fgColor rgb="FFEEF2F5"/>
      </x:patternFill>
    </x:fill>
    <x:fill>
      <x:patternFill patternType="solid">
        <x:fgColor rgb="FFD96632"/>
      </x:patternFill>
    </x:fill>
    <x:fill>
      <x:patternFill patternType="solid">
        <x:fgColor rgb="FFDCEAF4"/>
      </x:patternFill>
    </x:fill>
    <x:fill>
      <x:patternFill patternType="solid">
        <x:fgColor rgb="FFDDEFE7"/>
      </x:patternFill>
    </x:fill>
    <x:fill>
      <x:patternFill patternType="solid">
        <x:fgColor rgb="FF182230"/>
      </x:patternFill>
    </x:fill>
    <x:fill>
      <x:patternFill patternType="solid">
        <x:fgColor rgb="FFF6F0E6"/>
      </x:patternFill>
    </x:fill>
    <x:fill>
      <x:patternFill patternType="solid">
        <x:fgColor rgb="FF203247"/>
      </x:patternFill>
    </x:fill>
    <x:fill>
      <x:patternFill patternType="solid">
        <x:fgColor rgb="FFD9EEF8"/>
      </x:patternFill>
    </x:fill>
    <x:fill>
      <x:patternFill patternType="solid">
        <x:fgColor rgb="FFE2F0D9"/>
      </x:patternFill>
    </x:fill>
    <x:fill>
      <x:patternFill patternType="solid">
        <x:fgColor rgb="FF1B2638"/>
      </x:patternFill>
    </x:fill>
    <x:fill>
      <x:patternFill patternType="solid">
        <x:fgColor rgb="FFF3EEE6"/>
      </x:patternFill>
    </x:fill>
    <x:fill>
      <x:patternFill patternType="solid">
        <x:fgColor rgb="FF263A50"/>
      </x:patternFill>
    </x:fill>
    <x:fill>
      <x:patternFill patternType="solid">
        <x:fgColor rgb="FFDDEBFF"/>
      </x:patternFill>
    </x:fill>
  </x:fills>
  <x:borders count="28">
    <x:border/>
    <x:border>
      <x:left style="thin">
        <x:color rgb="FFCCD4DC"/>
      </x:left>
      <x:top style="thin">
        <x:color rgb="FFCCD4DC"/>
      </x:top>
      <x:bottom style="thin">
        <x:color rgb="FFCCD4DC"/>
      </x:bottom>
    </x:border>
    <x:border>
      <x:top style="thin">
        <x:color rgb="FFCCD4DC"/>
      </x:top>
      <x:bottom style="thin">
        <x:color rgb="FFCCD4DC"/>
      </x:bottom>
    </x:border>
    <x:border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bottom style="thin">
        <x:color rgb="FFCCD4DC"/>
      </x:bottom>
    </x:border>
    <x:border>
      <x:top style="thin">
        <x:color rgb="FFCCD4DC"/>
      </x:top>
    </x:border>
    <x:border>
      <x:bottom style="thin">
        <x:color rgb="FFE1E6EA"/>
      </x:bottom>
    </x:border>
    <x:border>
      <x:top style="thin">
        <x:color rgb="FFE1E6EA"/>
      </x:top>
      <x:bottom style="thin">
        <x:color rgb="FFE1E6EA"/>
      </x:bottom>
    </x:border>
    <x:border>
      <x:top style="thin">
        <x:color rgb="FFE1E6EA"/>
      </x:top>
      <x:bottom style="thin">
        <x:color rgb="FFCCD4DC"/>
      </x:bottom>
    </x:border>
    <x:border>
      <x:left style="thin">
        <x:color rgb="FFCCD4DC"/>
      </x:left>
      <x:right style="thin">
        <x:color rgb="FFCCD4DC"/>
      </x:right>
      <x:top style="thin">
        <x:color rgb="FFCCD4DC"/>
      </x:top>
    </x:border>
    <x:border>
      <x:left style="thin">
        <x:color rgb="FFCCD4DC"/>
      </x:left>
      <x:right style="thin">
        <x:color rgb="FFCCD4DC"/>
      </x:right>
    </x:border>
    <x:border>
      <x:left style="thin">
        <x:color rgb="FFCCD4DC"/>
      </x:left>
      <x:right style="thin">
        <x:color rgb="FFCCD4DC"/>
      </x:right>
      <x:bottom style="thin">
        <x:color rgb="FFCCD4DC"/>
      </x:bottom>
    </x:border>
    <x:border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right style="thin">
        <x:color rgb="FFC9D2DC"/>
      </x:right>
    </x:border>
    <x:border>
      <x:left style="thin">
        <x:color rgb="FFC9D2DC"/>
      </x:left>
      <x:right style="thin">
        <x:color rgb="FFC9D2DC"/>
      </x:right>
    </x:border>
    <x:border>
      <x:left style="thin">
        <x:color rgb="FFC9D2DC"/>
      </x:left>
    </x:border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  <x:right style="thin">
        <x:color rgb="FFC9D2DC"/>
      </x:right>
      <x:top style="thin">
        <x:color rgb="FFC9D2DC"/>
      </x:top>
    </x:border>
    <x:border>
      <x:left style="thin">
        <x:color rgb="FFC9D2DC"/>
      </x:left>
      <x:top style="thin">
        <x:color rgb="FFC9D2DC"/>
      </x:top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200" fontId="3" fillId="5" borderId="2" xfId="0" applyNumberFormat="1" applyFont="1" applyFill="1" applyBorder="1"/>
    <x:xf numFmtId="200" fontId="3" fillId="5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201" fontId="7" fillId="7" borderId="9" xfId="0" applyNumberFormat="1" applyFont="1" applyFill="1" applyBorder="1"/>
    <x:xf numFmtId="201" fontId="7" fillId="7" borderId="10" xfId="0" applyNumberFormat="1" applyFont="1" applyFill="1" applyBorder="1"/>
    <x:xf numFmtId="201" fontId="7" fillId="7" borderId="1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201" fontId="8" fillId="8" borderId="9" xfId="0" applyNumberFormat="1" applyFont="1" applyFill="1" applyBorder="1"/>
    <x:xf numFmtId="201" fontId="8" fillId="8" borderId="10" xfId="0" applyNumberFormat="1" applyFont="1" applyFill="1" applyBorder="1"/>
    <x:xf numFmtId="201" fontId="8" fillId="8" borderId="11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4" fillId="0" borderId="6" xfId="0" applyNumberFormat="1" applyFont="1" applyFill="1" applyBorder="1" applyAlignment="1">
      <x:alignment vertical="top" wrapText="1"/>
    </x:xf>
    <x:xf numFmtId="203" fontId="4" fillId="0" borderId="7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4" fillId="0" xfId="0" applyNumberFormat="1" applyFont="1" applyFill="1" applyBorder="0"/>
    <x:xf numFmtId="0" fontId="4" fillId="0" borderId="12" xfId="0" applyNumberFormat="1" applyFont="1" applyFill="1" applyBorder="1"/>
    <x:xf numFmtId="0" fontId="4" fillId="0" xfId="0" applyNumberFormat="1" applyFont="1" applyFill="1" applyBorder="0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13" xfId="0" applyNumberFormat="1" applyFont="1" applyFill="1" applyBorder="1"/>
    <x:xf numFmtId="0" fontId="1" fillId="11" borderId="14" xfId="0" applyNumberFormat="1" applyFont="1" applyFill="1" applyBorder="1"/>
    <x:xf numFmtId="0" fontId="1" fillId="11" borderId="15" xfId="0" applyNumberFormat="1" applyFont="1" applyFill="1" applyBorder="1"/>
    <x:xf numFmtId="0" fontId="1" fillId="11" borderId="13" xfId="0" applyNumberFormat="1" applyFont="1" applyFill="1" applyBorder="1" applyAlignment="1">
      <x:alignment wrapText="1"/>
    </x:xf>
    <x:xf numFmtId="0" fontId="1" fillId="11" borderId="14" xfId="0" applyNumberFormat="1" applyFont="1" applyFill="1" applyBorder="1" applyAlignment="1">
      <x:alignment wrapText="1"/>
    </x:xf>
    <x:xf numFmtId="0" fontId="1" fillId="11" borderId="15" xfId="0" applyNumberFormat="1" applyFont="1" applyFill="1" applyBorder="1" applyAlignment="1">
      <x:alignment wrapText="1"/>
    </x:xf>
    <x:xf numFmtId="0" fontId="1" fillId="11" borderId="13" xfId="0" applyNumberFormat="1" applyFont="1" applyFill="1" applyBorder="1" applyAlignment="1">
      <x:alignment vertical="center" wrapText="1"/>
    </x:xf>
    <x:xf numFmtId="0" fontId="1" fillId="11" borderId="14" xfId="0" applyNumberFormat="1" applyFont="1" applyFill="1" applyBorder="1" applyAlignment="1">
      <x:alignment vertical="center" wrapText="1"/>
    </x:xf>
    <x:xf numFmtId="0" fontId="1" fillId="11" borderId="15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12" xfId="0" applyNumberFormat="1" applyFont="1" applyFill="1" applyBorder="0" applyAlignment="1">
      <x:alignment vertical="top" wrapText="1"/>
    </x:xf>
    <x:xf numFmtId="0" fontId="4" fillId="12" borderId="12" xfId="0" applyNumberFormat="1" applyFont="1" applyFill="1" applyBorder="1" applyAlignment="1">
      <x:alignment vertical="top" wrapText="1"/>
    </x:xf>
    <x:xf numFmtId="0" fontId="4" fillId="13" xfId="0" applyNumberFormat="1" applyFont="1" applyFill="1" applyBorder="0" applyAlignment="1">
      <x:alignment vertical="top" wrapText="1"/>
    </x:xf>
    <x:xf numFmtId="0" fontId="4" fillId="13" borderId="12" xfId="0" applyNumberFormat="1" applyFont="1" applyFill="1" applyBorder="1" applyAlignment="1">
      <x:alignment vertical="top" wrapText="1"/>
    </x:xf>
    <x:xf numFmtId="204" fontId="4" fillId="13" xfId="0" applyNumberFormat="1" applyFont="1" applyFill="1" applyBorder="0" applyAlignment="1">
      <x:alignment vertical="top" wrapText="1"/>
    </x:xf>
    <x:xf numFmtId="204" fontId="4" fillId="13" borderId="12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1" fillId="16" borderId="16" xfId="0" applyNumberFormat="1" applyFont="1" applyFill="1" applyBorder="1"/>
    <x:xf numFmtId="0" fontId="1" fillId="16" borderId="17" xfId="0" applyNumberFormat="1" applyFont="1" applyFill="1" applyBorder="1"/>
    <x:xf numFmtId="0" fontId="1" fillId="16" borderId="18" xfId="0" applyNumberFormat="1" applyFont="1" applyFill="1" applyBorder="1"/>
    <x:xf numFmtId="0" fontId="1" fillId="16" borderId="16" xfId="0" applyNumberFormat="1" applyFont="1" applyFill="1" applyBorder="1" applyAlignment="1">
      <x:alignment wrapText="1"/>
    </x:xf>
    <x:xf numFmtId="0" fontId="1" fillId="16" borderId="17" xfId="0" applyNumberFormat="1" applyFont="1" applyFill="1" applyBorder="1" applyAlignment="1">
      <x:alignment wrapText="1"/>
    </x:xf>
    <x:xf numFmtId="0" fontId="1" fillId="16" borderId="18" xfId="0" applyNumberFormat="1" applyFont="1" applyFill="1" applyBorder="1" applyAlignment="1">
      <x:alignment wrapText="1"/>
    </x:xf>
    <x:xf numFmtId="0" fontId="1" fillId="16" borderId="16" xfId="0" applyNumberFormat="1" applyFont="1" applyFill="1" applyBorder="1" applyAlignment="1">
      <x:alignment vertical="center" wrapText="1"/>
    </x:xf>
    <x:xf numFmtId="0" fontId="1" fillId="16" borderId="17" xfId="0" applyNumberFormat="1" applyFont="1" applyFill="1" applyBorder="1" applyAlignment="1">
      <x:alignment vertical="center" wrapText="1"/>
    </x:xf>
    <x:xf numFmtId="0" fontId="1" fillId="16" borderId="18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19" xfId="0" applyNumberFormat="1" applyFont="1" applyFill="1" applyBorder="1"/>
    <x:xf numFmtId="0" fontId="13" fillId="0" borderId="20" xfId="0" applyNumberFormat="1" applyFont="1" applyFill="1" applyBorder="1"/>
    <x:xf numFmtId="0" fontId="13" fillId="0" borderId="21" xfId="0" applyNumberFormat="1" applyFont="1" applyFill="1" applyBorder="1"/>
    <x:xf numFmtId="0" fontId="13" fillId="0" borderId="22" xfId="0" applyNumberFormat="1" applyFont="1" applyFill="1" applyBorder="1"/>
    <x:xf numFmtId="0" fontId="13" fillId="0" borderId="23" xfId="0" applyNumberFormat="1" applyFont="1" applyFill="1" applyBorder="1"/>
    <x:xf numFmtId="0" fontId="13" fillId="0" borderId="24" xfId="0" applyNumberFormat="1" applyFont="1" applyFill="1" applyBorder="1"/>
    <x:xf numFmtId="0" fontId="13" fillId="0" borderId="25" xfId="0" applyNumberFormat="1" applyFont="1" applyFill="1" applyBorder="1"/>
    <x:xf numFmtId="0" fontId="13" fillId="0" borderId="26" xfId="0" applyNumberFormat="1" applyFont="1" applyFill="1" applyBorder="1"/>
    <x:xf numFmtId="0" fontId="13" fillId="0" borderId="27" xfId="0" applyNumberFormat="1" applyFont="1" applyFill="1" applyBorder="1"/>
    <x:xf numFmtId="0" fontId="13" fillId="0" borderId="19" xfId="0" applyNumberFormat="1" applyFont="1" applyFill="1" applyBorder="1" applyAlignment="1">
      <x:alignment wrapText="1"/>
    </x:xf>
    <x:xf numFmtId="0" fontId="13" fillId="0" borderId="20" xfId="0" applyNumberFormat="1" applyFont="1" applyFill="1" applyBorder="1" applyAlignment="1">
      <x:alignment wrapText="1"/>
    </x:xf>
    <x:xf numFmtId="0" fontId="13" fillId="0" borderId="21" xfId="0" applyNumberFormat="1" applyFont="1" applyFill="1" applyBorder="1" applyAlignment="1">
      <x:alignment wrapText="1"/>
    </x:xf>
    <x:xf numFmtId="0" fontId="13" fillId="0" borderId="22" xfId="0" applyNumberFormat="1" applyFont="1" applyFill="1" applyBorder="1" applyAlignment="1">
      <x:alignment wrapText="1"/>
    </x:xf>
    <x:xf numFmtId="0" fontId="13" fillId="0" borderId="23" xfId="0" applyNumberFormat="1" applyFont="1" applyFill="1" applyBorder="1" applyAlignment="1">
      <x:alignment wrapText="1"/>
    </x:xf>
    <x:xf numFmtId="0" fontId="13" fillId="0" borderId="24" xfId="0" applyNumberFormat="1" applyFont="1" applyFill="1" applyBorder="1" applyAlignment="1">
      <x:alignment wrapText="1"/>
    </x:xf>
    <x:xf numFmtId="0" fontId="13" fillId="0" borderId="25" xfId="0" applyNumberFormat="1" applyFont="1" applyFill="1" applyBorder="1" applyAlignment="1">
      <x:alignment wrapText="1"/>
    </x:xf>
    <x:xf numFmtId="0" fontId="13" fillId="0" borderId="26" xfId="0" applyNumberFormat="1" applyFont="1" applyFill="1" applyBorder="1" applyAlignment="1">
      <x:alignment wrapText="1"/>
    </x:xf>
    <x:xf numFmtId="0" fontId="13" fillId="0" borderId="27" xfId="0" applyNumberFormat="1" applyFont="1" applyFill="1" applyBorder="1" applyAlignment="1">
      <x:alignment wrapText="1"/>
    </x:xf>
    <x:xf numFmtId="0" fontId="13" fillId="0" borderId="19" xfId="0" applyNumberFormat="1" applyFont="1" applyFill="1" applyBorder="1" applyAlignment="1">
      <x:alignment vertical="top" wrapText="1"/>
    </x:xf>
    <x:xf numFmtId="0" fontId="13" fillId="0" borderId="20" xfId="0" applyNumberFormat="1" applyFont="1" applyFill="1" applyBorder="1" applyAlignment="1">
      <x:alignment vertical="top" wrapText="1"/>
    </x:xf>
    <x:xf numFmtId="0" fontId="13" fillId="0" borderId="21" xfId="0" applyNumberFormat="1" applyFont="1" applyFill="1" applyBorder="1" applyAlignment="1">
      <x:alignment vertical="top" wrapText="1"/>
    </x:xf>
    <x:xf numFmtId="0" fontId="13" fillId="0" borderId="22" xfId="0" applyNumberFormat="1" applyFont="1" applyFill="1" applyBorder="1" applyAlignment="1">
      <x:alignment vertical="top" wrapText="1"/>
    </x:xf>
    <x:xf numFmtId="0" fontId="13" fillId="0" borderId="23" xfId="0" applyNumberFormat="1" applyFont="1" applyFill="1" applyBorder="1" applyAlignment="1">
      <x:alignment vertical="top" wrapText="1"/>
    </x:xf>
    <x:xf numFmtId="0" fontId="13" fillId="0" borderId="24" xfId="0" applyNumberFormat="1" applyFont="1" applyFill="1" applyBorder="1" applyAlignment="1">
      <x:alignment vertical="top" wrapText="1"/>
    </x:xf>
    <x:xf numFmtId="0" fontId="13" fillId="0" borderId="25" xfId="0" applyNumberFormat="1" applyFont="1" applyFill="1" applyBorder="1" applyAlignment="1">
      <x:alignment vertical="top" wrapText="1"/>
    </x:xf>
    <x:xf numFmtId="0" fontId="13" fillId="0" borderId="26" xfId="0" applyNumberFormat="1" applyFont="1" applyFill="1" applyBorder="1" applyAlignment="1">
      <x:alignment vertical="top" wrapText="1"/>
    </x:xf>
    <x:xf numFmtId="0" fontId="13" fillId="0" borderId="27" xfId="0" applyNumberFormat="1" applyFont="1" applyFill="1" applyBorder="1" applyAlignment="1">
      <x:alignment vertical="top" wrapText="1"/>
    </x:xf>
    <x:xf numFmtId="201" fontId="13" fillId="0" borderId="19" xfId="0" applyNumberFormat="1" applyFont="1" applyFill="1" applyBorder="1" applyAlignment="1">
      <x:alignment vertical="top" wrapText="1"/>
    </x:xf>
    <x:xf numFmtId="201" fontId="13" fillId="0" borderId="22" xfId="0" applyNumberFormat="1" applyFont="1" applyFill="1" applyBorder="1" applyAlignment="1">
      <x:alignment vertical="top" wrapText="1"/>
    </x:xf>
    <x:xf numFmtId="201" fontId="13" fillId="0" borderId="25" xfId="0" applyNumberFormat="1" applyFont="1" applyFill="1" applyBorder="1" applyAlignment="1">
      <x:alignment vertical="top" wrapText="1"/>
    </x:xf>
    <x:xf numFmtId="202" fontId="13" fillId="0" borderId="20" xfId="0" applyNumberFormat="1" applyFont="1" applyFill="1" applyBorder="1" applyAlignment="1">
      <x:alignment vertical="top" wrapText="1"/>
    </x:xf>
    <x:xf numFmtId="202" fontId="13" fillId="0" borderId="23" xfId="0" applyNumberFormat="1" applyFont="1" applyFill="1" applyBorder="1" applyAlignment="1">
      <x:alignment vertical="top" wrapText="1"/>
    </x:xf>
    <x:xf numFmtId="202" fontId="13" fillId="0" borderId="26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/>
    <x:xf numFmtId="0" fontId="0" fillId="17" borderId="0" xfId="0" applyNumberFormat="1" applyFont="1" applyFill="1" applyBorder="1"/>
    <x:xf numFmtId="202" fontId="0" fillId="17" borderId="0" xfId="0" applyNumberFormat="1" applyFont="1" applyFill="1" applyBorder="1"/>
    <x:xf numFmtId="204" fontId="0" fillId="17" borderId="0" xfId="0" applyNumberFormat="1" applyFont="1" applyFill="1" applyBorder="1"/>
    <x:xf numFmtId="0" fontId="15" fillId="0" borderId="0" xfId="0" applyNumberFormat="1" applyFont="1" applyFill="1" applyBorder="1"/>
    <x:xf numFmtId="204" fontId="13" fillId="17" borderId="0" xfId="0" applyNumberFormat="1" applyFont="1" applyFill="1" applyBorder="1"/>
    <x:xf numFmtId="202" fontId="13" fillId="17" borderId="0" xfId="0" applyNumberFormat="1" applyFont="1" applyFill="1" applyBorder="1"/>
    <x:xf numFmtId="0" fontId="15" fillId="0" borderId="19" xfId="0" applyNumberFormat="1" applyFont="1" applyFill="1" applyBorder="1"/>
    <x:xf numFmtId="204" fontId="13" fillId="17" borderId="21" xfId="0" applyNumberFormat="1" applyFont="1" applyFill="1" applyBorder="1"/>
    <x:xf numFmtId="0" fontId="15" fillId="0" borderId="22" xfId="0" applyNumberFormat="1" applyFont="1" applyFill="1" applyBorder="1"/>
    <x:xf numFmtId="202" fontId="13" fillId="17" borderId="24" xfId="0" applyNumberFormat="1" applyFont="1" applyFill="1" applyBorder="1"/>
    <x:xf numFmtId="0" fontId="15" fillId="0" borderId="25" xfId="0" applyNumberFormat="1" applyFont="1" applyFill="1" applyBorder="1"/>
    <x:xf numFmtId="202" fontId="13" fillId="17" borderId="27" xfId="0" applyNumberFormat="1" applyFont="1" applyFill="1" applyBorder="1"/>
    <x:xf numFmtId="0" fontId="15" fillId="0" borderId="19" xfId="0" applyNumberFormat="1" applyFont="1" applyFill="1" applyBorder="1" applyAlignment="1">
      <x:alignment wrapText="1"/>
    </x:xf>
    <x:xf numFmtId="204" fontId="13" fillId="17" borderId="21" xfId="0" applyNumberFormat="1" applyFont="1" applyFill="1" applyBorder="1" applyAlignment="1">
      <x:alignment wrapText="1"/>
    </x:xf>
    <x:xf numFmtId="0" fontId="15" fillId="0" borderId="22" xfId="0" applyNumberFormat="1" applyFont="1" applyFill="1" applyBorder="1" applyAlignment="1">
      <x:alignment wrapText="1"/>
    </x:xf>
    <x:xf numFmtId="202" fontId="13" fillId="17" borderId="24" xfId="0" applyNumberFormat="1" applyFont="1" applyFill="1" applyBorder="1" applyAlignment="1">
      <x:alignment wrapText="1"/>
    </x:xf>
    <x:xf numFmtId="0" fontId="15" fillId="0" borderId="25" xfId="0" applyNumberFormat="1" applyFont="1" applyFill="1" applyBorder="1" applyAlignment="1">
      <x:alignment wrapText="1"/>
    </x:xf>
    <x:xf numFmtId="202" fontId="13" fillId="17" borderId="27" xfId="0" applyNumberFormat="1" applyFont="1" applyFill="1" applyBorder="1" applyAlignment="1">
      <x:alignment wrapText="1"/>
    </x:xf>
    <x:xf numFmtId="0" fontId="15" fillId="0" borderId="19" xfId="0" applyNumberFormat="1" applyFont="1" applyFill="1" applyBorder="1" applyAlignment="1">
      <x:alignment vertical="top" wrapText="1"/>
    </x:xf>
    <x:xf numFmtId="204" fontId="13" fillId="17" borderId="21" xfId="0" applyNumberFormat="1" applyFont="1" applyFill="1" applyBorder="1" applyAlignment="1">
      <x:alignment vertical="top" wrapText="1"/>
    </x:xf>
    <x:xf numFmtId="0" fontId="15" fillId="0" borderId="22" xfId="0" applyNumberFormat="1" applyFont="1" applyFill="1" applyBorder="1" applyAlignment="1">
      <x:alignment vertical="top" wrapText="1"/>
    </x:xf>
    <x:xf numFmtId="202" fontId="13" fillId="17" borderId="24" xfId="0" applyNumberFormat="1" applyFont="1" applyFill="1" applyBorder="1" applyAlignment="1">
      <x:alignment vertical="top" wrapText="1"/>
    </x:xf>
    <x:xf numFmtId="0" fontId="15" fillId="0" borderId="25" xfId="0" applyNumberFormat="1" applyFont="1" applyFill="1" applyBorder="1" applyAlignment="1">
      <x:alignment vertical="top" wrapText="1"/>
    </x:xf>
    <x:xf numFmtId="202" fontId="13" fillId="17" borderId="27" xfId="0" applyNumberFormat="1" applyFont="1" applyFill="1" applyBorder="1" applyAlignment="1">
      <x:alignment vertical="top" wrapText="1"/>
    </x:xf>
    <x:xf numFmtId="202" fontId="13" fillId="0" borderId="21" xfId="0" applyNumberFormat="1" applyFont="1" applyFill="1" applyBorder="1" applyAlignment="1">
      <x:alignment vertical="top" wrapText="1"/>
    </x:xf>
    <x:xf numFmtId="202" fontId="13" fillId="0" borderId="24" xfId="0" applyNumberFormat="1" applyFont="1" applyFill="1" applyBorder="1" applyAlignment="1">
      <x:alignment vertical="top" wrapText="1"/>
    </x:xf>
    <x:xf numFmtId="201" fontId="13" fillId="0" borderId="24" xfId="0" applyNumberFormat="1" applyFont="1" applyFill="1" applyBorder="1" applyAlignment="1">
      <x:alignment vertical="top" wrapText="1"/>
    </x:xf>
    <x:xf numFmtId="0" fontId="13" fillId="17" borderId="21" xfId="0" applyNumberFormat="1" applyFont="1" applyFill="1" applyBorder="1" applyAlignment="1">
      <x:alignment vertical="top" wrapText="1"/>
    </x:xf>
    <x:xf numFmtId="0" fontId="13" fillId="17" borderId="24" xfId="0" applyNumberFormat="1" applyFont="1" applyFill="1" applyBorder="1" applyAlignment="1">
      <x:alignment vertical="top" wrapText="1"/>
    </x:xf>
    <x:xf numFmtId="0" fontId="13" fillId="17" borderId="27" xfId="0" applyNumberFormat="1" applyFont="1" applyFill="1" applyBorder="1" applyAlignment="1">
      <x:alignment vertical="top" wrapText="1"/>
    </x:xf>
    <x:xf numFmtId="203" fontId="13" fillId="17" borderId="21" xfId="0" applyNumberFormat="1" applyFont="1" applyFill="1" applyBorder="1" applyAlignment="1">
      <x:alignment vertical="top" wrapText="1"/>
    </x:xf>
    <x:xf numFmtId="203" fontId="13" fillId="17" borderId="24" xfId="0" applyNumberFormat="1" applyFont="1" applyFill="1" applyBorder="1" applyAlignment="1">
      <x:alignment vertical="top" wrapText="1"/>
    </x:xf>
    <x:xf numFmtId="204" fontId="13" fillId="0" borderId="24" xfId="0" applyNumberFormat="1" applyFont="1" applyFill="1" applyBorder="1" applyAlignment="1">
      <x:alignment vertical="top" wrapText="1"/>
    </x:xf>
    <x:xf numFmtId="200" fontId="13" fillId="0" borderId="20" xfId="0" applyNumberFormat="1" applyFont="1" applyFill="1" applyBorder="1" applyAlignment="1">
      <x:alignment vertical="top" wrapText="1"/>
    </x:xf>
    <x:xf numFmtId="200" fontId="13" fillId="0" borderId="23" xfId="0" applyNumberFormat="1" applyFont="1" applyFill="1" applyBorder="1" applyAlignment="1">
      <x:alignment vertical="top" wrapText="1"/>
    </x:xf>
    <x:xf numFmtId="200" fontId="13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B8473F"/>
      </x:font>
      <x:fill>
        <x:patternFill>
          <x:bgColor rgb="FFF6D5D2"/>
        </x:patternFill>
      </x:fill>
    </x:dxf>
    <x:dxf>
      <x:font>
        <x:b/>
        <x:color rgb="FF9A6A18"/>
      </x:font>
      <x:fill>
        <x:patternFill>
          <x:bgColor rgb="FFF6E8C9"/>
        </x:patternFill>
      </x:fill>
    </x:dxf>
    <x:dxf>
      <x:font>
        <x:b/>
        <x:color rgb="FFB8473F"/>
      </x:font>
      <x:fill>
        <x:patternFill>
          <x:bgColor rgb="FFF6D5D2"/>
        </x:patternFill>
      </x:fill>
    </x:dxf>
    <x:dxf>
      <x:font>
        <x:b/>
        <x:color rgb="FF2E7D59"/>
      </x:font>
      <x:fill>
        <x:patternFill>
          <x:bgColor rgb="FFDDEFE7"/>
        </x:patternFill>
      </x:fill>
    </x:dxf>
    <x:dxf>
      <x:font>
        <x:b/>
        <x:color rgb="FFB8473F"/>
      </x:font>
      <x:fill>
        <x:patternFill>
          <x:bgColor rgb="FFF6D5D2"/>
        </x:patternFill>
      </x:fill>
    </x:dxf>
    <x:dxf>
      <x:font>
        <x:color rgb="FFB8473F"/>
      </x:font>
      <x:fill>
        <x:patternFill>
          <x:bgColor rgb="FFF6D5D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E0642F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221e5cc0f40ea" /><Relationship Type="http://schemas.openxmlformats.org/officeDocument/2006/relationships/theme" Target="/xl/theme/theme1.xml" Id="R738b4c370f7c469c" /><Relationship Type="http://schemas.openxmlformats.org/officeDocument/2006/relationships/sharedStrings" Target="/xl/sharedStrings.xml" Id="R1cbdd2589e96450b" /><Relationship Type="http://schemas.openxmlformats.org/officeDocument/2006/relationships/worksheet" Target="/xl/worksheets/sheet1.xml" Id="Ra10911cd59ca45c2" /><Relationship Type="http://schemas.openxmlformats.org/officeDocument/2006/relationships/worksheet" Target="/xl/worksheets/sheet2.xml" Id="Ra03602cbe0c6486f" /><Relationship Type="http://schemas.openxmlformats.org/officeDocument/2006/relationships/worksheet" Target="/xl/worksheets/sheet3.xml" Id="R12b0b7bc0cd84286" /><Relationship Type="http://schemas.openxmlformats.org/officeDocument/2006/relationships/worksheet" Target="/xl/worksheets/sheet4.xml" Id="R1c07105c19e2475d" /><Relationship Type="http://schemas.openxmlformats.org/officeDocument/2006/relationships/worksheet" Target="/xl/worksheets/sheet5.xml" Id="R64d474beb11c42b6" /><Relationship Type="http://schemas.openxmlformats.org/officeDocument/2006/relationships/worksheet" Target="/xl/worksheets/sheet6.xml" Id="Re05d237e74c8436d" /><Relationship Type="http://schemas.openxmlformats.org/officeDocument/2006/relationships/worksheet" Target="/xl/worksheets/sheet7.xml" Id="R183626f548264f78" /><Relationship Type="http://schemas.openxmlformats.org/officeDocument/2006/relationships/worksheet" Target="/xl/worksheets/sheet8.xml" Id="R5c1a81b84b4c4e72" /><Relationship Type="http://schemas.openxmlformats.org/officeDocument/2006/relationships/worksheet" Target="/xl/worksheets/sheet9.xml" Id="R06ffd60903664b49" /><Relationship Type="http://schemas.openxmlformats.org/officeDocument/2006/relationships/worksheet" Target="/xl/worksheets/sheet10.xml" Id="R4e73194fa7a64233" /><Relationship Type="http://schemas.openxmlformats.org/officeDocument/2006/relationships/worksheet" Target="/xl/worksheets/sheet11.xml" Id="R4b8f2803974d4fd0" /><Relationship Type="http://schemas.openxmlformats.org/officeDocument/2006/relationships/worksheet" Target="/xl/worksheets/sheet12.xml" Id="R330e0fd5c9034b9e" /><Relationship Type="http://schemas.openxmlformats.org/officeDocument/2006/relationships/worksheet" Target="/xl/worksheets/sheet13.xml" Id="R7cf92c8b04be45cb" /><Relationship Type="http://schemas.openxmlformats.org/officeDocument/2006/relationships/worksheet" Target="/xl/worksheets/sheet14.xml" Id="Rd51246245bcb4a5e" /><Relationship Type="http://schemas.openxmlformats.org/officeDocument/2006/relationships/worksheet" Target="/xl/worksheets/sheet15.xml" Id="Rfb78dac5a5f8435f" /><Relationship Type="http://schemas.openxmlformats.org/officeDocument/2006/relationships/worksheet" Target="/xl/worksheets/sheet16.xml" Id="R263a6f1a856346a6" /><Relationship Type="http://schemas.openxmlformats.org/officeDocument/2006/relationships/worksheet" Target="/xl/worksheets/sheet17.xml" Id="R3e2506e36feb4796" /><Relationship Type="http://schemas.openxmlformats.org/officeDocument/2006/relationships/worksheet" Target="/xl/worksheets/sheet18.xml" Id="Rccfc329916ab4a22" /><Relationship Type="http://schemas.openxmlformats.org/officeDocument/2006/relationships/worksheet" Target="/xl/worksheets/sheet19.xml" Id="R64d8b3e6786a402d" /><Relationship Type="http://schemas.openxmlformats.org/officeDocument/2006/relationships/worksheet" Target="/xl/worksheets/sheet20.xml" Id="R0e6ae2835d0d4c93" /><Relationship Type="http://schemas.openxmlformats.org/officeDocument/2006/relationships/worksheet" Target="/xl/worksheets/sheet21.xml" Id="Rd00719a212404e80" /><Relationship Type="http://schemas.openxmlformats.org/officeDocument/2006/relationships/worksheet" Target="/xl/worksheets/sheet22.xml" Id="R898d95dfeb0d4702" /><Relationship Type="http://schemas.openxmlformats.org/officeDocument/2006/relationships/worksheet" Target="/xl/worksheets/sheet23.xml" Id="R683923e619c44214" /><Relationship Type="http://schemas.openxmlformats.org/officeDocument/2006/relationships/worksheet" Target="/xl/worksheets/sheet24.xml" Id="Rbef63ceb4411419c" /><Relationship Type="http://schemas.openxmlformats.org/officeDocument/2006/relationships/worksheet" Target="/xl/worksheets/sheet25.xml" Id="Rb1e0c952702a4a04" /><Relationship Type="http://schemas.openxmlformats.org/officeDocument/2006/relationships/worksheet" Target="/xl/worksheets/sheet26.xml" Id="Rff72f463755a402e" /><Relationship Type="http://schemas.openxmlformats.org/officeDocument/2006/relationships/worksheet" Target="/xl/worksheets/sheet27.xml" Id="Re60885e3404e4de0" /><Relationship Type="http://schemas.openxmlformats.org/officeDocument/2006/relationships/worksheet" Target="/xl/worksheets/sheet28.xml" Id="Rfb0dfa13d2ca4cdc" /><Relationship Type="http://schemas.openxmlformats.org/officeDocument/2006/relationships/worksheet" Target="/xl/worksheets/sheet29.xml" Id="Rc7d2f68a49014f92" /><Relationship Type="http://schemas.openxmlformats.org/officeDocument/2006/relationships/worksheet" Target="/xl/worksheets/sheet30.xml" Id="R5a5cca36c4ad4f34" /><Relationship Type="http://schemas.openxmlformats.org/officeDocument/2006/relationships/worksheet" Target="/xl/worksheets/sheet31.xml" Id="Re438c485c61b4621" /><Relationship Type="http://schemas.openxmlformats.org/officeDocument/2006/relationships/worksheet" Target="/xl/worksheets/sheet32.xml" Id="R932b60e4cc584f12" /><Relationship Type="http://schemas.openxmlformats.org/officeDocument/2006/relationships/worksheet" Target="/xl/worksheets/sheet33.xml" Id="R23de67477ade4d4a" /><Relationship Type="http://schemas.openxmlformats.org/officeDocument/2006/relationships/worksheet" Target="/xl/worksheets/sheet34.xml" Id="R1c9c3cc305ec44b5" /><Relationship Type="http://schemas.openxmlformats.org/officeDocument/2006/relationships/worksheet" Target="/xl/worksheets/sheet35.xml" Id="R5d7d203369ea4daa" /><Relationship Type="http://schemas.openxmlformats.org/officeDocument/2006/relationships/worksheet" Target="/xl/worksheets/sheet36.xml" Id="Rdc0b596daa724d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9695ad506b40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Load must be felt before overload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Relative speed seed</c:v>
          </c:tx>
          <c:marker>
            <c:symbol val="none"/>
          </c:marker>
          <c:cat>
            <c:strRef>
              <c:f>'Performance Lab'!$H$5:$H$10</c:f>
              <c:strCache>
                <c:ptCount val="0"/>
              </c:strCache>
            </c:strRef>
          </c:cat>
          <c:val>
            <c:numRef>
              <c:f>'Performance Lab'!$I$5:$I$10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9695ad506b40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dyBaselineTable" displayName="BodyBaselineTable" ref="A4:G27" headerRowCount="1" totalsRowCount="0" totalsRowShown="0">
  <x:tableColumns count="7">
    <x:tableColumn id="1" name="Layer"/>
    <x:tableColumn id="2" name="Characteristic"/>
    <x:tableColumn id="3" name="Unit"/>
    <x:tableColumn id="4" name="Reference seed"/>
    <x:tableColumn id="5" name="Trainable?"/>
    <x:tableColumn id="6" name="Felt outputs"/>
    <x:tableColumn id="7" name="Guardr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aptationTable" displayName="AdaptationTable" ref="A4:H12" headerRowCount="1" totalsRowCount="0" totalsRowShown="0">
  <x:tableColumns count="8">
    <x:tableColumn id="1" name="Capacity"/>
    <x:tableColumn id="2" name="Stimulus"/>
    <x:tableColumn id="3" name="Productive band"/>
    <x:tableColumn id="4" name="Recovery need"/>
    <x:tableColumn id="5" name="Felt-change horizon"/>
    <x:tableColumn id="6" name="Suppressors"/>
    <x:tableColumn id="7" name="Anti-grind"/>
    <x:tableColumn id="8" name="Blind pro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yTable" displayName="ActivityTable" ref="A4:F26" headerRowCount="1" totalsRowCount="0" totalsRowShown="0">
  <x:tableColumns count="6">
    <x:tableColumn id="1" name="Activity"/>
    <x:tableColumn id="2" name="Workload"/>
    <x:tableColumn id="3" name="Adaptation candidates"/>
    <x:tableColumn id="4" name="Immediate consequences"/>
    <x:tableColumn id="5" name="Dominant hazards"/>
    <x:tableColumn id="6" name="Intelligent mitig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erSourcesTable" displayName="WaterSourcesTable" ref="A4:F16" headerRowCount="1" totalsRowCount="0" totalsRowShown="0">
  <x:tableColumns count="6">
    <x:tableColumn id="1" name="Source"/>
    <x:tableColumn id="2" name="Microbial risk"/>
    <x:tableColumn id="3" name="Salt risk"/>
    <x:tableColumn id="4" name="Other hazards"/>
    <x:tableColumn id="5" name="Rational first posture"/>
    <x:tableColumn id="6" name="Desig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eatmentMatrixTable" displayName="TreatmentMatrixTable" ref="A4:G14" headerRowCount="1" totalsRowCount="0" totalsRowShown="0">
  <x:tableColumns count="7">
    <x:tableColumn id="1" name="Operation"/>
    <x:tableColumn id="2" name="Primary target"/>
    <x:tableColumn id="3" name="Burden"/>
    <x:tableColumn id="4" name="Required ancestry"/>
    <x:tableColumn id="5" name="Can improve"/>
    <x:tableColumn id="6" name="Cannot claim"/>
    <x:tableColumn id="7" name="Qualification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llnessPathsTable" displayName="IllnessPathsTable" ref="A4:G12" headerRowCount="1" totalsRowCount="0" totalsRowShown="0">
  <x:tableColumns count="7">
    <x:tableColumn id="1" name="Syndrome"/>
    <x:tableColumn id="2" name="Exposure route"/>
    <x:tableColumn id="3" name="Incubation seed"/>
    <x:tableColumn id="4" name="Evidence"/>
    <x:tableColumn id="5" name="Felt functional effect"/>
    <x:tableColumn id="6" name="Support / response"/>
    <x:tableColumn id="7" name="Water-treatment re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aterCraftTable" displayName="WaterCraftTable" ref="A4:H19" headerRowCount="1" totalsRowCount="0" totalsRowShown="0">
  <x:tableColumns count="8">
    <x:tableColumn id="1" name="Stage"/>
    <x:tableColumn id="2" name="Capability"/>
    <x:tableColumn id="3" name="Matter / prerequisites"/>
    <x:tableColumn id="4" name="Workspace"/>
    <x:tableColumn id="5" name="Operations"/>
    <x:tableColumn id="6" name="Skill / knowledge"/>
    <x:tableColumn id="7" name="Active time seed"/>
    <x:tableColumn id="8" name="Failure / lim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raftNodesTable" displayName="CraftNodesTable" ref="A4:T163" headerRowCount="1" totalsRowCount="0" totalsRowShown="0">
  <x:tableColumns count="20">
    <x:tableColumn id="1" name="Node ID"/>
    <x:tableColumn id="2" name="Name"/>
    <x:tableColumn id="3" name="Domain"/>
    <x:tableColumn id="4" name="Class"/>
    <x:tableColumn id="5" name="Threshold"/>
    <x:tableColumn id="6" name="Inputs"/>
    <x:tableColumn id="7" name="Operations"/>
    <x:tableColumn id="8" name="Required tools"/>
    <x:tableColumn id="9" name="Workspace"/>
    <x:tableColumn id="10" name="Skills/knowledge"/>
    <x:tableColumn id="11" name="Body demand"/>
    <x:tableColumn id="12" name="Active min"/>
    <x:tableColumn id="13" name="Passive min"/>
    <x:tableColumn id="14" name="Qualification test"/>
    <x:tableColumn id="15" name="Failure"/>
    <x:tableColumn id="16" name="Substitute"/>
    <x:tableColumn id="17" name="Endpoint?"/>
    <x:tableColumn id="18" name="Incoming edges"/>
    <x:tableColumn id="19" name="Outgoing uses"/>
    <x:tableColumn id="20" name="Node aud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pendencyEdgesTable" displayName="DependencyEdgesTable" ref="A4:I538" headerRowCount="1" totalsRowCount="0" totalsRowShown="0">
  <x:tableColumns count="9">
    <x:tableColumn id="1" name="From node"/>
    <x:tableColumn id="2" name="To node"/>
    <x:tableColumn id="3" name="Relation"/>
    <x:tableColumn id="4" name="Required?"/>
    <x:tableColumn id="5" name="Substitution group"/>
    <x:tableColumn id="6" name="Note"/>
    <x:tableColumn id="7" name="From exists"/>
    <x:tableColumn id="8" name="To exists"/>
    <x:tableColumn id="9" name="Edge audi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imeModelTable" displayName="TimeModelTable" ref="A4:E24" headerRowCount="1" totalsRowCount="0" totalsRowShown="0">
  <x:tableColumns count="5">
    <x:tableColumn id="1" name="Mode / task"/>
    <x:tableColumn id="2" name="Example"/>
    <x:tableColumn id="3" name="Duration seed"/>
    <x:tableColumn id="4" name="Ownership"/>
    <x:tableColumn id="5" name="Constitu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sTable" displayName="SourcesTable" ref="A4:D23" headerRowCount="1" totalsRowCount="0" totalsRowShown="0">
  <x:tableColumns count="4">
    <x:tableColumn id="1" name="Source"/>
    <x:tableColumn id="2" name="Domain"/>
    <x:tableColumn id="3" name="URL"/>
    <x:tableColumn id="4" name="Design us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ystemWeaveV27" displayName="SystemWeaveV27" ref="A4:F12" headerRowCount="1" totalsRowCount="0" totalsRowShown="0">
  <x:tableColumns count="6">
    <x:tableColumn id="1" name="System"/>
    <x:tableColumn id="2" name="Consumes"/>
    <x:tableColumn id="3" name="Transforms"/>
    <x:tableColumn id="4" name="Produces"/>
    <x:tableColumn id="5" name="Creates obligation"/>
    <x:tableColumn id="6" name="Feed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WorkbenchV27" displayName="WorkbenchV27" ref="A4:G11" headerRowCount="1" totalsRowCount="0" totalsRowShown="0">
  <x:tableColumns count="7">
    <x:tableColumn id="1" name="State"/>
    <x:tableColumn id="2" name="Physical additions"/>
    <x:tableColumn id="3" name="Coordinated positions"/>
    <x:tableColumn id="4" name="Operations opened"/>
    <x:tableColumn id="5" name="Quality gain"/>
    <x:tableColumn id="6" name="New failure/obligation"/>
    <x:tableColumn id="7" name="Never grant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berEconomyV27" displayName="FiberEconomyV27" ref="A4:F14" headerRowCount="1" totalsRowCount="0" totalsRowShown="0">
  <x:tableColumns count="6">
    <x:tableColumn id="1" name="Source/process"/>
    <x:tableColumn id="2" name="Preparation"/>
    <x:tableColumn id="3" name="Property emphasis"/>
    <x:tableColumn id="4" name="Early uses"/>
    <x:tableColumn id="5" name="Developed uses"/>
    <x:tableColumn id="6" name="Disqualifier/limi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aterialEconomyV27" displayName="MaterialEconomyV27" ref="A4:G12" headerRowCount="1" totalsRowCount="0" totalsRowShown="0">
  <x:tableColumns count="7">
    <x:tableColumn id="1" name="Family/form"/>
    <x:tableColumn id="2" name="Best-value first route"/>
    <x:tableColumn id="3" name="Transformations"/>
    <x:tableColumn id="4" name="Core properties"/>
    <x:tableColumn id="5" name="Major uses"/>
    <x:tableColumn id="6" name="Persistent limits"/>
    <x:tableColumn id="7" name="Late circular rou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alvageEcologyV27" displayName="SalvageEcologyV27" ref="A4:M14" headerRowCount="1" totalsRowCount="0" totalsRowShown="0">
  <x:tableColumns count="13">
    <x:tableColumn id="1" name="Object"/>
    <x:tableColumn id="2" name="Class"/>
    <x:tableColumn id="3" name="Need"/>
    <x:tableColumn id="4" name="Unique"/>
    <x:tableColumn id="5" name="Window"/>
    <x:tableColumn id="6" name="Reuse"/>
    <x:tableColumn id="7" name="Eco"/>
    <x:tableColumn id="8" name="Hazard"/>
    <x:tableColumn id="9" name="Unknown"/>
    <x:tableColumn id="10" name="Transport"/>
    <x:tableColumn id="11" name="Preserve"/>
    <x:tableColumn id="12" name="Priority"/>
    <x:tableColumn id="13" name="First rou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helterResilienceV27" displayName="ShelterResilienceV27" ref="A4:K12" headerRowCount="1" totalsRowCount="0" totalsRowShown="0">
  <x:tableColumns count="11">
    <x:tableColumn id="1" name="Hazard"/>
    <x:tableColumn id="2" name="Demand"/>
    <x:tableColumn id="3" name="Exposure"/>
    <x:tableColumn id="4" name="Vulnerability"/>
    <x:tableColumn id="5" name="Condition uncertainty"/>
    <x:tableColumn id="6" name="Criticality"/>
    <x:tableColumn id="7" name="Redundancy"/>
    <x:tableColumn id="8" name="Consequence seed"/>
    <x:tableColumn id="9" name="Primary mechanism"/>
    <x:tableColumn id="10" name="Readable cue"/>
    <x:tableColumn id="11" name="Best first respons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FoodSystemsV27" displayName="FoodSystemsV27" ref="A4:H14" headerRowCount="1" totalsRowCount="0" totalsRowShown="0">
  <x:tableColumns count="8">
    <x:tableColumn id="1" name="Route/state"/>
    <x:tableColumn id="2" name="Matter/input"/>
    <x:tableColumn id="3" name="Tools/infrastructure"/>
    <x:tableColumn id="4" name="Knowledge/body"/>
    <x:tableColumn id="5" name="Time pattern"/>
    <x:tableColumn id="6" name="Output"/>
    <x:tableColumn id="7" name="Failure/obligation"/>
    <x:tableColumn id="8" name="Feeds nex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econdLifeV27" displayName="SecondLifeV27" ref="A4:K16" headerRowCount="1" totalsRowCount="0" totalsRowShown="0">
  <x:tableColumns count="11">
    <x:tableColumn id="1" name="Process"/>
    <x:tableColumn id="2" name="Commissioned"/>
    <x:tableColumn id="3" name="Inputs staged"/>
    <x:tableColumn id="4" name="Output capacity"/>
    <x:tableColumn id="5" name="Safe stop"/>
    <x:tableColumn id="6" name="Hazard permitted"/>
    <x:tableColumn id="7" name="Novel judgment"/>
    <x:tableColumn id="8" name="Irreversible"/>
    <x:tableColumn id="9" name="Eligibility"/>
    <x:tableColumn id="10" name="Offline resolution"/>
    <x:tableColumn id="11" name="Return eviden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sV27" displayName="SourcesV27" ref="A4:D30" headerRowCount="1" totalsRowCount="0" totalsRowShown="0">
  <x:tableColumns count="4">
    <x:tableColumn id="1" name="Source"/>
    <x:tableColumn id="2" name="Domain"/>
    <x:tableColumn id="3" name="URL"/>
    <x:tableColumn id="4" name="Design us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V28ProgressionLayers" displayName="V28ProgressionLayers" ref="A5:I12" headerRowCount="1" totalsRowCount="0" totalsRowShown="0">
  <x:tableColumns count="9">
    <x:tableColumn id="1" name="Layer"/>
    <x:tableColumn id="2" name="Core question"/>
    <x:tableColumn id="3" name="State form"/>
    <x:tableColumn id="4" name="Changes through"/>
    <x:tableColumn id="5" name="Immediate output"/>
    <x:tableColumn id="6" name="Cannot replace"/>
    <x:tableColumn id="7" name="Persists after death"/>
    <x:tableColumn id="8" name="Player view"/>
    <x:tableColumn id="9" name="Primary audi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V28CapabilityGates" displayName="V28CapabilityGates" ref="A15:I25" headerRowCount="1" totalsRowCount="0" totalsRowShown="0">
  <x:tableColumns count="9">
    <x:tableColumn id="1" name="Gate"/>
    <x:tableColumn id="2" name="Question"/>
    <x:tableColumn id="3" name="Low-state route"/>
    <x:tableColumn id="4" name="Blocks silently?"/>
    <x:tableColumn id="5" name="Typical evidence"/>
    <x:tableColumn id="6" name="Characteristic emphasis"/>
    <x:tableColumn id="7" name="Skill emphasis"/>
    <x:tableColumn id="8" name="Knowledge emphasis"/>
    <x:tableColumn id="9" name="Proof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V28Characteristics" displayName="V28Characteristics" ref="A4:J12" headerRowCount="1" totalsRowCount="0" totalsRowShown="0">
  <x:tableColumns count="10">
    <x:tableColumn id="1" name="Characteristic"/>
    <x:tableColumn id="2" name="Definition"/>
    <x:tableColumn id="3" name="Primary derived outputs"/>
    <x:tableColumn id="4" name="Development route"/>
    <x:tableColumn id="5" name="Fast suppressors"/>
    <x:tableColumn id="6" name="Slow losses/changes"/>
    <x:tableColumn id="7" name="Strong craft contribution"/>
    <x:tableColumn id="8" name="Weak substitution route"/>
    <x:tableColumn id="9" name="Cannot replace"/>
    <x:tableColumn id="10" name="Example trait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V28SkillFamilies" displayName="V28SkillFamilies" ref="A4:I14" headerRowCount="1" totalsRowCount="0" totalsRowShown="0">
  <x:tableColumns count="9">
    <x:tableColumn id="1" name="Family"/>
    <x:tableColumn id="2" name="Technique strands"/>
    <x:tableColumn id="3" name="Knowledge strands"/>
    <x:tableColumn id="4" name="Transfer motifs"/>
    <x:tableColumn id="5" name="Representative proof"/>
    <x:tableColumn id="6" name="Typical trait links"/>
    <x:tableColumn id="7" name="Fast suppressors"/>
    <x:tableColumn id="8" name="Rust sensitivity"/>
    <x:tableColumn id="9" name="Forbidden shortcu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V28SkillStages" displayName="V28SkillStages" ref="A17:I24" headerRowCount="1" totalsRowCount="0" totalsRowShown="0">
  <x:tableColumns count="9">
    <x:tableColumn id="1" name="Stage"/>
    <x:tableColumn id="2" name="Internal score seed"/>
    <x:tableColumn id="3" name="Execution"/>
    <x:tableColumn id="4" name="Required reproductions"/>
    <x:tableColumn id="5" name="Required variations"/>
    <x:tableColumn id="6" name="Required diagnoses"/>
    <x:tableColumn id="7" name="Retention"/>
    <x:tableColumn id="8" name="Typical support"/>
    <x:tableColumn id="9" name="Player languag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V28KnowledgeStates" displayName="V28KnowledgeStates" ref="A4:J10" headerRowCount="1" totalsRowCount="0" totalsRowShown="0">
  <x:tableColumns count="10">
    <x:tableColumn id="1" name="State"/>
    <x:tableColumn id="2" name="Authority"/>
    <x:tableColumn id="3" name="Required evidence"/>
    <x:tableColumn id="4" name="Context coverage"/>
    <x:tableColumn id="5" name="What it enables"/>
    <x:tableColumn id="6" name="Does not enable"/>
    <x:tableColumn id="7" name="Typical next action"/>
    <x:tableColumn id="8" name="Survivor wording"/>
    <x:tableColumn id="9" name="Can be inherited?"/>
    <x:tableColumn id="10" name="Audi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V28KnowledgeEvidence" displayName="V28KnowledgeEvidence" ref="A13:J23" headerRowCount="1" totalsRowCount="0" totalsRowShown="0">
  <x:tableColumns count="10">
    <x:tableColumn id="1" name="Evidence type"/>
    <x:tableColumn id="2" name="Base reliability"/>
    <x:tableColumn id="3" name="Information value"/>
    <x:tableColumn id="4" name="Common bias/failure"/>
    <x:tableColumn id="5" name="Needs"/>
    <x:tableColumn id="6" name="Good for skill?"/>
    <x:tableColumn id="7" name="Good for knowledge?"/>
    <x:tableColumn id="8" name="Can contradict?"/>
    <x:tableColumn id="9" name="Carrier"/>
    <x:tableColumn id="10" name="Exampl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V28Traits" displayName="V28Traits" ref="A4:J36" headerRowCount="1" totalsRowCount="0" totalsRowShown="0">
  <x:tableColumns count="10">
    <x:tableColumn id="1" name="Characteristic"/>
    <x:tableColumn id="2" name="Trait"/>
    <x:tableColumn id="3" name="Technique gate"/>
    <x:tableColumn id="4" name="Knowledge gate"/>
    <x:tableColumn id="5" name="Proof/junction"/>
    <x:tableColumn id="6" name="Choice effect"/>
    <x:tableColumn id="7" name="Felt signal"/>
    <x:tableColumn id="8" name="Cannot do"/>
    <x:tableColumn id="9" name="Successor inheritance"/>
    <x:tableColumn id="10" name="Prototype priority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V28WorkbenchModules" displayName="V28WorkbenchModules" ref="A4:L29" headerRowCount="1" totalsRowCount="0" totalsRowShown="0">
  <x:tableColumns count="12">
    <x:tableColumn id="1" name="State"/>
    <x:tableColumn id="2" name="Module"/>
    <x:tableColumn id="3" name="Main resources"/>
    <x:tableColumn id="4" name="Upstream tools"/>
    <x:tableColumn id="5" name="Required operations"/>
    <x:tableColumn id="6" name="Knowledge minimum"/>
    <x:tableColumn id="7" name="Skill minimum"/>
    <x:tableColumn id="8" name="Active min"/>
    <x:tableColumn id="9" name="Passive min"/>
    <x:tableColumn id="10" name="Relations added"/>
    <x:tableColumn id="11" name="Qualification"/>
    <x:tableColumn id="12" name="New obligatio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V28CoreCraftTree" displayName="V28CoreCraftTree" ref="A4:N41" headerRowCount="1" totalsRowCount="0" totalsRowShown="0">
  <x:tableColumns count="14">
    <x:tableColumn id="1" name="ID"/>
    <x:tableColumn id="2" name="Node"/>
    <x:tableColumn id="3" name="Class"/>
    <x:tableColumn id="4" name="Predecessors / alternate routes"/>
    <x:tableColumn id="5" name="Consumed resources"/>
    <x:tableColumn id="6" name="Tools"/>
    <x:tableColumn id="7" name="Workspace"/>
    <x:tableColumn id="8" name="Operations"/>
    <x:tableColumn id="9" name="Knowledge minimum"/>
    <x:tableColumn id="10" name="Skill minimum"/>
    <x:tableColumn id="11" name="Active min"/>
    <x:tableColumn id="12" name="Passive min"/>
    <x:tableColumn id="13" name="Proof"/>
    <x:tableColumn id="14" name="Downstream rol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V28CraftTimeSeeds" displayName="V28CraftTimeSeeds" ref="A4:M29" headerRowCount="1" totalsRowCount="0" totalsRowShown="0">
  <x:tableColumns count="13">
    <x:tableColumn id="1" name="Task"/>
    <x:tableColumn id="2" name="Band"/>
    <x:tableColumn id="3" name="Resources"/>
    <x:tableColumn id="4" name="Tool/workspace"/>
    <x:tableColumn id="5" name="Knowledge state"/>
    <x:tableColumn id="6" name="Skill state"/>
    <x:tableColumn id="7" name="Setup min"/>
    <x:tableColumn id="8" name="Active min"/>
    <x:tableColumn id="9" name="Irreversible min"/>
    <x:tableColumn id="10" name="Passive min"/>
    <x:tableColumn id="11" name="Test min"/>
    <x:tableColumn id="12" name="Dominant failure"/>
    <x:tableColumn id="13" name="Learning opportunity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V28Sources" displayName="V28Sources" ref="A4:F16" headerRowCount="1" totalsRowCount="0" totalsRowShown="0">
  <x:tableColumns count="6">
    <x:tableColumn id="1" name="Domain"/>
    <x:tableColumn id="2" name="Source"/>
    <x:tableColumn id="3" name="URL"/>
    <x:tableColumn id="4" name="Finding"/>
    <x:tableColumn id="5" name="Adopted"/>
    <x:tableColumn id="6" name="Rejected/limi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eb7ca99b6344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f9f2b9894c042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b7cc1891e80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389b641a66f4d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b645b0c116b46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738de0865d243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8e7071d9d1a40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9171d58dafa4a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2d7bf68aaab42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1e54abe8aa4d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fd82e1c67064b0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25967f7b0024af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56fb6729b9d4a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889541c4b6bd4d9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dffa8fcd33e64ce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76f6397dae684bd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e8e19964c8d74d1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4d3685f76b3d4ac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0eec9a467c1b4bf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d88e65b1b1b04fe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c086cc75701b420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9976b85387764abe" /><Relationship Type="http://schemas.openxmlformats.org/officeDocument/2006/relationships/table" Target="/xl/tables/table22.xml" Id="R2934b70150f440e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009e7644c13049c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4.xml" Id="Raee50fd5ba694d7f" /><Relationship Type="http://schemas.openxmlformats.org/officeDocument/2006/relationships/table" Target="/xl/tables/table25.xml" Id="Rdecf8ee55b55405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6.xml" Id="Ra4e8de9a959d47ae" /><Relationship Type="http://schemas.openxmlformats.org/officeDocument/2006/relationships/table" Target="/xl/tables/table27.xml" Id="R627f9be739cb4e5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9f47b991997e4b9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9.xml" Id="R87f03b9df94141c4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0.xml" Id="R1f5fd6f5d5bd486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1.xml" Id="R23f2fc6f5065404c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2.xml" Id="Rff99672ac64b44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24" hidden="0" customWidth="1"/>
    <x:col min="5" max="5" width="42" hidden="0" customWidth="1"/>
    <x:col min="6" max="6" width="12" hidden="0" customWidth="1"/>
    <x:col min="7" max="7" width="20" hidden="0" customWidth="1"/>
    <x:col min="8" max="8" width="12" hidden="0" customWidth="1"/>
    <x:col min="9" max="9" width="20" hidden="0" customWidth="1"/>
    <x:col min="10" max="10" width="12" hidden="0" customWidth="1"/>
  </x:cols>
  <x:sheetData>
    <x:row r="1" ht="30" customHeight="1">
      <x:c r="A1" s="115" t="str">
        <x:v>THE FIRST NIGHT v2.8 — Crafting, Knowledge &amp; Character Growth Model</x:v>
      </x:c>
      <x:c r="B1" s="115"/>
      <x:c r="C1" s="115"/>
      <x:c r="D1" s="115"/>
      <x:c r="E1" s="115"/>
      <x:c r="F1" s="115"/>
      <x:c r="G1" s="115"/>
      <x:c r="H1" s="115"/>
      <x:c r="I1" s="115"/>
      <x:c r="J1" s="115"/>
    </x:row>
    <x:row r="2" ht="32" customHeight="1">
      <x:c r="A2" s="7" t="str">
        <x:v>Successor to v2.7. The inherited 222-node civilization graph remains intact; v2.8 adds one progression resolver, eight characteristics, staged skill/knowledge, qualitative traits, phase-based craft time, and a fully back-chained workbench model.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9" t="str">
        <x:v>Craft nodes</x:v>
      </x:c>
      <x:c r="B4" s="9" t="str">
        <x:v>Value</x:v>
      </x:c>
      <x:c r="C4" s="9" t="str">
        <x:v>Dependency edges</x:v>
      </x:c>
      <x:c r="D4" s="9" t="str">
        <x:v>Value</x:v>
      </x:c>
      <x:c r="E4" s="9" t="str">
        <x:v>Endpoint nodes</x:v>
      </x:c>
      <x:c r="F4" s="9" t="str">
        <x:v>Value</x:v>
      </x:c>
      <x:c r="G4" s="9" t="str">
        <x:v>Graph pass</x:v>
      </x:c>
      <x:c r="H4" s="9" t="str">
        <x:v>Value</x:v>
      </x:c>
      <x:c r="I4" s="9" t="str">
        <x:v>Research sources</x:v>
      </x:c>
      <x:c r="J4" s="9" t="str">
        <x:v>Value</x:v>
      </x:c>
    </x:row>
    <x:row r="5">
      <x:c r="A5" s="12" t="str">
        <x:v>Craft nodes</x:v>
      </x:c>
      <x:c r="B5" s="15" t="n">
        <x:f>'Graph Audit'!B5</x:f>
        <x:v>222</x:v>
      </x:c>
      <x:c r="C5" s="15" t="str">
        <x:v>Dependency edges</x:v>
      </x:c>
      <x:c r="D5" s="15" t="n">
        <x:f>'Graph Audit'!B6</x:f>
        <x:v>649</x:v>
      </x:c>
      <x:c r="E5" s="13" t="str">
        <x:v>Endpoint nodes</x:v>
      </x:c>
      <x:c r="F5" s="15" t="n">
        <x:f>'Graph Audit'!B8</x:f>
        <x:v>58</x:v>
      </x:c>
      <x:c r="G5" s="15" t="str">
        <x:v>Graph errors</x:v>
      </x:c>
      <x:c r="H5" s="15" t="str">
        <x:f>'Graph Audit'!B13</x:f>
        <x:v>PASS</x:v>
      </x:c>
      <x:c r="I5" s="15" t="str">
        <x:v>Research sources</x:v>
      </x:c>
      <x:c r="J5" s="16" t="n">
        <x:f>19+COUNTA('v2.7 Sources'!A5:A100)</x:f>
        <x:v>45</x:v>
      </x:c>
    </x:row>
    <x:row r="8">
      <x:c r="A8" s="24" t="str">
        <x:v>Progression signature</x:v>
      </x:c>
      <x:c r="B8" s="21" t="str">
        <x:v>Attempt → Observe → Explain → Control → Prove → Generalize → Teach</x:v>
      </x:c>
      <x:c r="C8" s="27" t="str">
        <x:v>Character</x:v>
      </x:c>
      <x:c r="D8" s="21" t="str">
        <x:v>8 characteristics + specific capacities + condition + skill + knowledge + proof + earned traits</x:v>
      </x:c>
      <x:c r="E8" s="21"/>
    </x:row>
    <x:row r="9">
      <x:c r="A9" s="25" t="str">
        <x:v>Material economy</x:v>
      </x:c>
      <x:c r="B9" s="22" t="str">
        <x:v>Preserve form before melting; wood, stone, fiber and metal are property families</x:v>
      </x:c>
      <x:c r="C9" s="28" t="str">
        <x:v>Salvage</x:v>
      </x:c>
      <x:c r="D9" s="22" t="str">
        <x:v>Visual abundance + useful scarcity; junk requires triage</x:v>
      </x:c>
      <x:c r="E9" s="22"/>
    </x:row>
    <x:row r="10">
      <x:c r="A10" s="25" t="str">
        <x:v>Shelter</x:v>
      </x:c>
      <x:c r="B10" s="22" t="str">
        <x:v>Protection is a maintained service network, not one durability number</x:v>
      </x:c>
      <x:c r="C10" s="28" t="str">
        <x:v>Food</x:v>
      </x:c>
      <x:c r="D10" s="22" t="str">
        <x:v>Portfolio across forage, fish, hunt, grow, preserve and husbandry</x:v>
      </x:c>
      <x:c r="E10" s="22"/>
    </x:row>
    <x:row r="11">
      <x:c r="A11" s="25" t="str">
        <x:v>Diving</x:v>
      </x:c>
      <x:c r="B11" s="22" t="str">
        <x:v>Swimming, breath control, marine work and equipment remain separate</x:v>
      </x:c>
      <x:c r="C11" s="28" t="str">
        <x:v>Second life</x:v>
      </x:c>
      <x:c r="D11" s="22" t="str">
        <x:v>Safe proven routines continue; dangerous agency waits</x:v>
      </x:c>
      <x:c r="E11" s="22"/>
    </x:row>
    <x:row r="12">
      <x:c r="A12" s="26" t="str">
        <x:v>Production order</x:v>
      </x:c>
      <x:c r="B12" s="23" t="str">
        <x:v>RT0 → embodied materials → fire/water → bench → beach → shelter → food → shallow diving → forge → stewardship</x:v>
      </x:c>
      <x:c r="C12" s="29" t="str">
        <x:v>Scope</x:v>
      </x:c>
      <x:c r="D12" s="23" t="str">
        <x:v>No broad roster expansion before representative loops pass</x:v>
      </x:c>
      <x:c r="E12" s="23"/>
    </x:row>
    <x:row r="15" ht="38" customHeight="1">
      <x:c r="A15" s="32" t="str">
        <x:v>SIGNATURE: Let identity shape the method, work train the hands, evidence teach the mind, proof qualify the pattern, and physical records carry civilization across lives.</x:v>
      </x:c>
      <x:c r="B15" s="32"/>
      <x:c r="C15" s="32"/>
      <x:c r="D15" s="32"/>
      <x:c r="E15" s="32"/>
      <x:c r="F15" s="32"/>
      <x:c r="G15" s="32"/>
      <x:c r="H15" s="32"/>
      <x:c r="I15" s="32"/>
      <x:c r="J15" s="32"/>
    </x:row>
  </x:sheetData>
  <x:mergeCells>
    <x:mergeCell ref="A1:J1"/>
    <x:mergeCell ref="A2:J2"/>
    <x:mergeCell ref="A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36" hidden="0" customWidth="1"/>
    <x:col min="7" max="7" width="34" hidden="0" customWidth="1"/>
  </x:cols>
  <x:sheetData>
    <x:row r="1" ht="30" customHeight="1">
      <x:c r="A1" s="3" t="str">
        <x:v>Castaway Body Architecture</x:v>
      </x:c>
      <x:c r="B1" s="3"/>
      <x:c r="C1" s="3"/>
      <x:c r="D1" s="3"/>
      <x:c r="E1" s="3"/>
      <x:c r="F1" s="3"/>
      <x:c r="G1" s="3"/>
    </x:row>
    <x:row r="2" ht="32" customHeight="1">
      <x:c r="A2" s="7" t="str">
        <x:v>Four layers: stable structure, trainable capacity, current readiness, and cause-bound burden. Values are model seeds, not clinical percentages.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Layer</x:v>
      </x:c>
      <x:c r="B4" s="40" t="str">
        <x:v>Characteristic</x:v>
      </x:c>
      <x:c r="C4" s="40" t="str">
        <x:v>Unit</x:v>
      </x:c>
      <x:c r="D4" s="40" t="str">
        <x:v>Reference seed</x:v>
      </x:c>
      <x:c r="E4" s="40" t="str">
        <x:v>Trainable?</x:v>
      </x:c>
      <x:c r="F4" s="40" t="str">
        <x:v>Felt outputs</x:v>
      </x:c>
      <x:c r="G4" s="41" t="str">
        <x:v>Guardrail</x:v>
      </x:c>
    </x:row>
    <x:row r="5">
      <x:c r="A5" s="48" t="str">
        <x:v>Stable</x:v>
      </x:c>
      <x:c r="B5" s="48" t="str">
        <x:v>Stature / reach</x:v>
      </x:c>
      <x:c r="C5" s="48" t="str">
        <x:v>m / band</x:v>
      </x:c>
      <x:c r="D5" s="48" t="str">
        <x:v>1.74 / medium</x:v>
      </x:c>
      <x:c r="E5" s="48" t="str">
        <x:v>No</x:v>
      </x:c>
      <x:c r="F5" s="48" t="str">
        <x:v>Stride tendency, leverage, overhead reach, fitting spaces</x:v>
      </x:c>
      <x:c r="G5" s="48" t="str">
        <x:v>Never a universal advantage</x:v>
      </x:c>
    </x:row>
    <x:row r="6">
      <x:c r="A6" s="49" t="str">
        <x:v>Stable</x:v>
      </x:c>
      <x:c r="B6" s="49" t="str">
        <x:v>Body mass / composition</x:v>
      </x:c>
      <x:c r="C6" s="49" t="str">
        <x:v>kg / band</x:v>
      </x:c>
      <x:c r="D6" s="49" t="str">
        <x:v>72 / ordinary</x:v>
      </x:c>
      <x:c r="E6" s="49" t="str">
        <x:v>Slow</x:v>
      </x:c>
      <x:c r="F6" s="49" t="str">
        <x:v>Load ratios, thermal inertia, buoyancy, energy reserve</x:v>
      </x:c>
      <x:c r="G6" s="49" t="str">
        <x:v>Not a moral or class ranking</x:v>
      </x:c>
    </x:row>
    <x:row r="7">
      <x:c r="A7" s="49" t="str">
        <x:v>Stable</x:v>
      </x:c>
      <x:c r="B7" s="49" t="str">
        <x:v>Age band</x:v>
      </x:c>
      <x:c r="C7" s="49" t="str">
        <x:v>band</x:v>
      </x:c>
      <x:c r="D7" s="49" t="str">
        <x:v>adult</x:v>
      </x:c>
      <x:c r="E7" s="49" t="str">
        <x:v>No</x:v>
      </x:c>
      <x:c r="F7" s="49" t="str">
        <x:v>Recovery tendency, prior history</x:v>
      </x:c>
      <x:c r="G7" s="49" t="str">
        <x:v>Older is not incapable; younger is not skilled</x:v>
      </x:c>
    </x:row>
    <x:row r="8">
      <x:c r="A8" s="49" t="str">
        <x:v>Stable</x:v>
      </x:c>
      <x:c r="B8" s="49" t="str">
        <x:v>Dominant hand</x:v>
      </x:c>
      <x:c r="C8" s="49" t="str">
        <x:v>side</x:v>
      </x:c>
      <x:c r="D8" s="49" t="str">
        <x:v>right</x:v>
      </x:c>
      <x:c r="E8" s="49" t="str">
        <x:v>Adaptable</x:v>
      </x:c>
      <x:c r="F8" s="49" t="str">
        <x:v>One-handed precision and injury consequence</x:v>
      </x:c>
      <x:c r="G8" s="49" t="str">
        <x:v>Off-hand technique can improve</x:v>
      </x:c>
    </x:row>
    <x:row r="9">
      <x:c r="A9" s="49" t="str">
        <x:v>Stable</x:v>
      </x:c>
      <x:c r="B9" s="49" t="str">
        <x:v>Prior activity</x:v>
      </x:c>
      <x:c r="C9" s="49" t="str">
        <x:v>evidence</x:v>
      </x:c>
      <x:c r="D9" s="49" t="str">
        <x:v>basic walking + swimming</x:v>
      </x:c>
      <x:c r="E9" s="49" t="str">
        <x:v>No</x:v>
      </x:c>
      <x:c r="F9" s="49" t="str">
        <x:v>Starting hypotheses and technique familiarity</x:v>
      </x:c>
      <x:c r="G9" s="49" t="str">
        <x:v>Never grants recipes</x:v>
      </x:c>
    </x:row>
    <x:row r="10">
      <x:c r="A10" s="49" t="str">
        <x:v>Capacity</x:v>
      </x:c>
      <x:c r="B10" s="49" t="str">
        <x:v>Strength</x:v>
      </x:c>
      <x:c r="C10" s="49" t="str">
        <x:v>0–1</x:v>
      </x:c>
      <x:c r="D10" s="51" t="n">
        <x:v>0.46</x:v>
      </x:c>
      <x:c r="E10" s="49" t="str">
        <x:v>Yes</x:v>
      </x:c>
      <x:c r="F10" s="49" t="str">
        <x:v>Controllable force, lift/hold, heavy-tool stability</x:v>
      </x:c>
      <x:c r="G10" s="49" t="str">
        <x:v>Does not erase mass or joints</x:v>
      </x:c>
    </x:row>
    <x:row r="11">
      <x:c r="A11" s="49" t="str">
        <x:v>Capacity</x:v>
      </x:c>
      <x:c r="B11" s="49" t="str">
        <x:v>Endurance</x:v>
      </x:c>
      <x:c r="C11" s="49" t="str">
        <x:v>0–1</x:v>
      </x:c>
      <x:c r="D11" s="51" t="n">
        <x:v>0.42</x:v>
      </x:c>
      <x:c r="E11" s="49" t="str">
        <x:v>Yes</x:v>
      </x:c>
      <x:c r="F11" s="49" t="str">
        <x:v>Sustainable pace, stamina reserve, recovery</x:v>
      </x:c>
      <x:c r="G11" s="49" t="str">
        <x:v>Does not prevent dehydration</x:v>
      </x:c>
    </x:row>
    <x:row r="12">
      <x:c r="A12" s="49" t="str">
        <x:v>Capacity</x:v>
      </x:c>
      <x:c r="B12" s="49" t="str">
        <x:v>Load tolerance</x:v>
      </x:c>
      <x:c r="C12" s="49" t="str">
        <x:v>0–1</x:v>
      </x:c>
      <x:c r="D12" s="51" t="n">
        <x:v>0.34</x:v>
      </x:c>
      <x:c r="E12" s="49" t="str">
        <x:v>Yes</x:v>
      </x:c>
      <x:c r="F12" s="49" t="str">
        <x:v>Pack comfort, gait economy, tissue tolerance</x:v>
      </x:c>
      <x:c r="G12" s="49" t="str">
        <x:v>Overload remains harmful</x:v>
      </x:c>
    </x:row>
    <x:row r="13">
      <x:c r="A13" s="49" t="str">
        <x:v>Capacity</x:v>
      </x:c>
      <x:c r="B13" s="49" t="str">
        <x:v>Mobility</x:v>
      </x:c>
      <x:c r="C13" s="49" t="str">
        <x:v>0–1</x:v>
      </x:c>
      <x:c r="D13" s="51" t="n">
        <x:v>0.58</x:v>
      </x:c>
      <x:c r="E13" s="49" t="str">
        <x:v>Yes</x:v>
      </x:c>
      <x:c r="F13" s="49" t="str">
        <x:v>Crouch, climb, reach, work posture</x:v>
      </x:c>
      <x:c r="G13" s="49" t="str">
        <x:v>Injury and structure remain</x:v>
      </x:c>
    </x:row>
    <x:row r="14">
      <x:c r="A14" s="49" t="str">
        <x:v>Capacity</x:v>
      </x:c>
      <x:c r="B14" s="49" t="str">
        <x:v>Balance</x:v>
      </x:c>
      <x:c r="C14" s="49" t="str">
        <x:v>0–1</x:v>
      </x:c>
      <x:c r="D14" s="51" t="n">
        <x:v>0.51</x:v>
      </x:c>
      <x:c r="E14" s="49" t="str">
        <x:v>Yes</x:v>
      </x:c>
      <x:c r="F14" s="49" t="str">
        <x:v>Uneven ground, boat motion, loaded turning</x:v>
      </x:c>
      <x:c r="G14" s="49" t="str">
        <x:v>Asymmetric load and fatigue remain</x:v>
      </x:c>
    </x:row>
    <x:row r="15">
      <x:c r="A15" s="49" t="str">
        <x:v>Capacity</x:v>
      </x:c>
      <x:c r="B15" s="49" t="str">
        <x:v>Dexterity</x:v>
      </x:c>
      <x:c r="C15" s="49" t="str">
        <x:v>0–1</x:v>
      </x:c>
      <x:c r="D15" s="51" t="n">
        <x:v>0.55</x:v>
      </x:c>
      <x:c r="E15" s="49" t="str">
        <x:v>Yes</x:v>
      </x:c>
      <x:c r="F15" s="49" t="str">
        <x:v>Steadiness, fitting, knots, cutting</x:v>
      </x:c>
      <x:c r="G15" s="49" t="str">
        <x:v>Cannot replace knowledge/tools</x:v>
      </x:c>
    </x:row>
    <x:row r="16">
      <x:c r="A16" s="49" t="str">
        <x:v>Capacity</x:v>
      </x:c>
      <x:c r="B16" s="49" t="str">
        <x:v>Grip endurance</x:v>
      </x:c>
      <x:c r="C16" s="49" t="str">
        <x:v>0–1</x:v>
      </x:c>
      <x:c r="D16" s="51" t="n">
        <x:v>0.41</x:v>
      </x:c>
      <x:c r="E16" s="49" t="str">
        <x:v>Yes</x:v>
      </x:c>
      <x:c r="F16" s="49" t="str">
        <x:v>Rope, tool, carry and climb duration</x:v>
      </x:c>
      <x:c r="G16" s="49" t="str">
        <x:v>Skin/tendon/tool fit remain</x:v>
      </x:c>
    </x:row>
    <x:row r="17">
      <x:c r="A17" s="49" t="str">
        <x:v>Capacity</x:v>
      </x:c>
      <x:c r="B17" s="49" t="str">
        <x:v>Water confidence</x:v>
      </x:c>
      <x:c r="C17" s="49" t="str">
        <x:v>0–1</x:v>
      </x:c>
      <x:c r="D17" s="51" t="n">
        <x:v>0.43</x:v>
      </x:c>
      <x:c r="E17" s="49" t="str">
        <x:v>Yes</x:v>
      </x:c>
      <x:c r="F17" s="49" t="str">
        <x:v>Calm breathing, stroke economy, reboarding</x:v>
      </x:c>
      <x:c r="G17" s="49" t="str">
        <x:v>Cannot create air or cancel surf</x:v>
      </x:c>
    </x:row>
    <x:row r="18">
      <x:c r="A18" s="49" t="str">
        <x:v>Capacity</x:v>
      </x:c>
      <x:c r="B18" s="49" t="str">
        <x:v>Heat acclimatization</x:v>
      </x:c>
      <x:c r="C18" s="49" t="str">
        <x:v>0–1</x:v>
      </x:c>
      <x:c r="D18" s="51" t="n">
        <x:v>0.24</x:v>
      </x:c>
      <x:c r="E18" s="49" t="str">
        <x:v>Temporary</x:v>
      </x:c>
      <x:c r="F18" s="49" t="str">
        <x:v>Lower strain and better pacing in familiar heat</x:v>
      </x:c>
      <x:c r="G18" s="49" t="str">
        <x:v>Not immunity; decays</x:v>
      </x:c>
    </x:row>
    <x:row r="19">
      <x:c r="A19" s="49" t="str">
        <x:v>Capacity</x:v>
      </x:c>
      <x:c r="B19" s="49" t="str">
        <x:v>Composure</x:v>
      </x:c>
      <x:c r="C19" s="49" t="str">
        <x:v>0–1</x:v>
      </x:c>
      <x:c r="D19" s="51" t="n">
        <x:v>0.47</x:v>
      </x:c>
      <x:c r="E19" s="49" t="str">
        <x:v>Yes</x:v>
      </x:c>
      <x:c r="F19" s="49" t="str">
        <x:v>Attention and procedural control under pressure</x:v>
      </x:c>
      <x:c r="G19" s="49" t="str">
        <x:v>Not fearlessness</x:v>
      </x:c>
    </x:row>
    <x:row r="20">
      <x:c r="A20" s="49" t="str">
        <x:v>Readiness</x:v>
      </x:c>
      <x:c r="B20" s="49" t="str">
        <x:v>Stamina</x:v>
      </x:c>
      <x:c r="C20" s="49" t="str">
        <x:v>0–1</x:v>
      </x:c>
      <x:c r="D20" s="49" t="n">
        <x:v>0.42</x:v>
      </x:c>
      <x:c r="E20" s="49" t="str">
        <x:v>Minute-scale</x:v>
      </x:c>
      <x:c r="F20" s="49" t="str">
        <x:v>Immediate action reserve</x:v>
      </x:c>
      <x:c r="G20" s="49" t="str">
        <x:v>Not Endurance</x:v>
      </x:c>
    </x:row>
    <x:row r="21">
      <x:c r="A21" s="49" t="str">
        <x:v>Readiness</x:v>
      </x:c>
      <x:c r="B21" s="49" t="str">
        <x:v>Hydration readiness</x:v>
      </x:c>
      <x:c r="C21" s="49" t="str">
        <x:v>0–1</x:v>
      </x:c>
      <x:c r="D21" s="49" t="n">
        <x:v>0.68</x:v>
      </x:c>
      <x:c r="E21" s="49" t="str">
        <x:v>Hour-scale</x:v>
      </x:c>
      <x:c r="F21" s="49" t="str">
        <x:v>Recovery, cognition, heat control</x:v>
      </x:c>
      <x:c r="G21" s="49" t="str">
        <x:v>Thirst is not a fixed timer</x:v>
      </x:c>
    </x:row>
    <x:row r="22">
      <x:c r="A22" s="49" t="str">
        <x:v>Readiness</x:v>
      </x:c>
      <x:c r="B22" s="49" t="str">
        <x:v>Energy / alertness</x:v>
      </x:c>
      <x:c r="C22" s="49" t="str">
        <x:v>0–1</x:v>
      </x:c>
      <x:c r="D22" s="49" t="n">
        <x:v>0.55</x:v>
      </x:c>
      <x:c r="E22" s="49" t="str">
        <x:v>Hour/day-scale</x:v>
      </x:c>
      <x:c r="F22" s="49" t="str">
        <x:v>Attention, learning, recovery</x:v>
      </x:c>
      <x:c r="G22" s="49" t="str">
        <x:v>Not sprint reserve</x:v>
      </x:c>
    </x:row>
    <x:row r="23">
      <x:c r="A23" s="49" t="str">
        <x:v>Readiness</x:v>
      </x:c>
      <x:c r="B23" s="49" t="str">
        <x:v>Thermal readiness</x:v>
      </x:c>
      <x:c r="C23" s="49" t="str">
        <x:v>0–1</x:v>
      </x:c>
      <x:c r="D23" s="49" t="n">
        <x:v>0.52</x:v>
      </x:c>
      <x:c r="E23" s="49" t="str">
        <x:v>Continuous</x:v>
      </x:c>
      <x:c r="F23" s="49" t="str">
        <x:v>Dexterity, pace, recovery, safety</x:v>
      </x:c>
      <x:c r="G23" s="49" t="str">
        <x:v>Warmth is bidirectional</x:v>
      </x:c>
    </x:row>
    <x:row r="24">
      <x:c r="A24" s="49" t="str">
        <x:v>Readiness</x:v>
      </x:c>
      <x:c r="B24" s="49" t="str">
        <x:v>Sleep debt</x:v>
      </x:c>
      <x:c r="C24" s="49" t="str">
        <x:v>0–1 burden</x:v>
      </x:c>
      <x:c r="D24" s="49" t="n">
        <x:v>0.38</x:v>
      </x:c>
      <x:c r="E24" s="49" t="str">
        <x:v>Day-scale</x:v>
      </x:c>
      <x:c r="F24" s="49" t="str">
        <x:v>Reaction, judgment, recovery, learning</x:v>
      </x:c>
      <x:c r="G24" s="49" t="str">
        <x:v>One short nap does not erase it</x:v>
      </x:c>
    </x:row>
    <x:row r="25">
      <x:c r="A25" s="49" t="str">
        <x:v>Burden</x:v>
      </x:c>
      <x:c r="B25" s="49" t="str">
        <x:v>Pain</x:v>
      </x:c>
      <x:c r="C25" s="49" t="str">
        <x:v>0–1 burden</x:v>
      </x:c>
      <x:c r="D25" s="49" t="n">
        <x:v>0.35</x:v>
      </x:c>
      <x:c r="E25" s="49" t="str">
        <x:v>Cause-bound</x:v>
      </x:c>
      <x:c r="F25" s="49" t="str">
        <x:v>Gait, grip, breath, attention and technique</x:v>
      </x:c>
      <x:c r="G25" s="49" t="str">
        <x:v>Not generic Health damage</x:v>
      </x:c>
    </x:row>
    <x:row r="26">
      <x:c r="A26" s="49" t="str">
        <x:v>Burden</x:v>
      </x:c>
      <x:c r="B26" s="49" t="str">
        <x:v>Illness</x:v>
      </x:c>
      <x:c r="C26" s="49" t="str">
        <x:v>syndrome/stage</x:v>
      </x:c>
      <x:c r="D26" s="49" t="str">
        <x:v>none</x:v>
      </x:c>
      <x:c r="E26" s="49" t="str">
        <x:v>Cause-bound</x:v>
      </x:c>
      <x:c r="F26" s="49" t="str">
        <x:v>Hydration, appetite, heat, energy and work</x:v>
      </x:c>
      <x:c r="G26" s="49" t="str">
        <x:v>Must have exposure/timeline</x:v>
      </x:c>
    </x:row>
    <x:row r="27">
      <x:c r="A27" s="50" t="str">
        <x:v>Burden</x:v>
      </x:c>
      <x:c r="B27" s="50" t="str">
        <x:v>Body-part impairment</x:v>
      </x:c>
      <x:c r="C27" s="50" t="str">
        <x:v>location + restriction</x:v>
      </x:c>
      <x:c r="D27" s="50" t="str">
        <x:v>right hand minor</x:v>
      </x:c>
      <x:c r="E27" s="50" t="str">
        <x:v>Cause-bound</x:v>
      </x:c>
      <x:c r="F27" s="50" t="str">
        <x:v>Relevant verbs and compensations</x:v>
      </x:c>
      <x:c r="G27" s="50" t="str">
        <x:v>No global debuff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2eb7ca99b6344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4" max="4" width="30" hidden="0" customWidth="1"/>
    <x:col min="5" max="5" width="14" hidden="0" customWidth="1"/>
  </x:cols>
  <x:sheetData>
    <x:row r="1" ht="30" customHeight="1">
      <x:c r="A1" s="3" t="str">
        <x:v>Felt Performance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Blue cells are editable assumptions. Outputs are causal tuning seeds for comparative testing—not medical or ergonomic guarantees.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9" t="str">
        <x:v>Editable input</x:v>
      </x:c>
      <x:c r="B4" s="9" t="str">
        <x:v>Value</x:v>
      </x:c>
      <x:c r="D4" s="9" t="str">
        <x:v>Derived output</x:v>
      </x:c>
      <x:c r="E4" s="9" t="str">
        <x:v>Value</x:v>
      </x:c>
      <x:c r="H4" s="9" t="str">
        <x:v>Load % body mass</x:v>
      </x:c>
      <x:c r="I4" s="9" t="str">
        <x:v>Relative speed seed</x:v>
      </x:c>
    </x:row>
    <x:row r="5">
      <x:c r="A5" t="str">
        <x:v>Body mass kg</x:v>
      </x:c>
      <x:c r="B5" s="57" t="n">
        <x:v>72</x:v>
      </x:c>
      <x:c r="D5" t="str">
        <x:v>Relative load</x:v>
      </x:c>
      <x:c r="E5" s="65" t="n">
        <x:f>B20/B5</x:f>
        <x:v>0.20833333333333334</x:v>
      </x:c>
      <x:c r="H5" s="68" t="n">
        <x:v>0</x:v>
      </x:c>
      <x:c r="I5" s="69" t="n">
        <x:v>1</x:v>
      </x:c>
    </x:row>
    <x:row r="6">
      <x:c r="A6" t="str">
        <x:v>Stature m</x:v>
      </x:c>
      <x:c r="B6" s="58" t="n">
        <x:v>1.74</x:v>
      </x:c>
      <x:c r="D6" t="str">
        <x:v>Personal preferred pace m/s</x:v>
      </x:c>
      <x:c r="E6" s="66" t="n">
        <x:f>1.30*POWER(B6/1.74,0.5)*(0.90+0.20*B8)</x:f>
        <x:v>1.2792000000000001</x:v>
      </x:c>
      <x:c r="H6" s="68" t="n">
        <x:v>0.1</x:v>
      </x:c>
      <x:c r="I6" s="69" t="n">
        <x:v>0.99</x:v>
      </x:c>
    </x:row>
    <x:row r="7">
      <x:c r="A7" t="str">
        <x:v>Strength 0–1</x:v>
      </x:c>
      <x:c r="B7" s="58" t="n">
        <x:v>0.46</x:v>
      </x:c>
      <x:c r="D7" t="str">
        <x:v>Load factor</x:v>
      </x:c>
      <x:c r="E7" s="66" t="n">
        <x:f>MAX(0.35,1-0.90*MAX(0,E5-0.08)-0.25*B21+0.12*B9+0.08*B19)</x:f>
        <x:v>0.9358</x:v>
      </x:c>
      <x:c r="H7" s="68" t="n">
        <x:v>0.2</x:v>
      </x:c>
      <x:c r="I7" s="69" t="n">
        <x:v>0.91</x:v>
      </x:c>
    </x:row>
    <x:row r="8">
      <x:c r="A8" t="str">
        <x:v>Endurance 0–1</x:v>
      </x:c>
      <x:c r="B8" s="58" t="n">
        <x:v>0.42</x:v>
      </x:c>
      <x:c r="D8" t="str">
        <x:v>Readiness factor</x:v>
      </x:c>
      <x:c r="E8" s="66" t="n">
        <x:f>MAX(0.30,0.22*B12+0.22*B13+0.18*B14+0.14*(1-B15)+0.14*(1-B16)+0.10*(1-B17))</x:f>
        <x:v>0.8600000000000001</x:v>
      </x:c>
      <x:c r="H8" s="68" t="n">
        <x:v>0.3</x:v>
      </x:c>
      <x:c r="I8" s="69" t="n">
        <x:v>0.81</x:v>
      </x:c>
    </x:row>
    <x:row r="9">
      <x:c r="A9" t="str">
        <x:v>Load tolerance 0–1</x:v>
      </x:c>
      <x:c r="B9" s="58" t="n">
        <x:v>0.34</x:v>
      </x:c>
      <x:c r="D9" t="str">
        <x:v>Injury factor</x:v>
      </x:c>
      <x:c r="E9" s="66" t="n">
        <x:f>MAX(0.30,1-0.45*B18-0.25*B15)</x:f>
        <x:v>0.975</x:v>
      </x:c>
      <x:c r="H9" s="68" t="n">
        <x:v>0.4</x:v>
      </x:c>
      <x:c r="I9" s="69" t="n">
        <x:v>0.68</x:v>
      </x:c>
    </x:row>
    <x:row r="10">
      <x:c r="A10" t="str">
        <x:v>Balance 0–1</x:v>
      </x:c>
      <x:c r="B10" s="58" t="n">
        <x:v>0.51</x:v>
      </x:c>
      <x:c r="D10" t="str">
        <x:v>Sustainable pace m/s</x:v>
      </x:c>
      <x:c r="E10" s="66" t="n">
        <x:f>E6*E7*E8*E9*B22*B23*B24</x:f>
        <x:v>0.6341677901376481</x:v>
      </x:c>
      <x:c r="H10" s="68" t="n">
        <x:v>0.5</x:v>
      </x:c>
      <x:c r="I10" s="69" t="n">
        <x:v>0.52</x:v>
      </x:c>
    </x:row>
    <x:row r="11">
      <x:c r="A11" t="str">
        <x:v>Dexterity 0–1</x:v>
      </x:c>
      <x:c r="B11" s="58" t="n">
        <x:v>0.55</x:v>
      </x:c>
      <x:c r="D11" t="str">
        <x:v>Sustainable pace km/h</x:v>
      </x:c>
      <x:c r="E11" s="66" t="n">
        <x:f>E10*3.6</x:f>
        <x:v>2.2830040444955335</x:v>
      </x:c>
    </x:row>
    <x:row r="12">
      <x:c r="A12" t="str">
        <x:v>Hydration readiness 0–1</x:v>
      </x:c>
      <x:c r="B12" s="58" t="n">
        <x:v>0.85</x:v>
      </x:c>
      <x:c r="D12" t="str">
        <x:v>Working pack seed kg</x:v>
      </x:c>
      <x:c r="E12" s="66" t="n">
        <x:f>B5*(0.10+0.12*B9+0.05*B7)*(0.75+0.25*B19)</x:f>
        <x:v>10.61424</x:v>
      </x:c>
    </x:row>
    <x:row r="13">
      <x:c r="A13" t="str">
        <x:v>Energy readiness 0–1</x:v>
      </x:c>
      <x:c r="B13" s="58" t="n">
        <x:v>0.75</x:v>
      </x:c>
      <x:c r="D13" t="str">
        <x:v>Short controlled haul seed kg</x:v>
      </x:c>
      <x:c r="E13" s="66" t="n">
        <x:f>B5*(0.18+0.24*B7+0.06*B9)*(1-0.40*B15-0.35*B18)</x:f>
        <x:v>21.482495999999998</x:v>
      </x:c>
    </x:row>
    <x:row r="14">
      <x:c r="A14" t="str">
        <x:v>Thermal readiness 0–1</x:v>
      </x:c>
      <x:c r="B14" s="58" t="n">
        <x:v>0.9</x:v>
      </x:c>
      <x:c r="D14" t="str">
        <x:v>Stamina capacity index</x:v>
      </x:c>
      <x:c r="E14" s="66" t="n">
        <x:f>60*(0.60+0.80*B8)*E8</x:f>
        <x:v>48.2976</x:v>
      </x:c>
    </x:row>
    <x:row r="15">
      <x:c r="A15" t="str">
        <x:v>Pain burden 0–1</x:v>
      </x:c>
      <x:c r="B15" s="58" t="n">
        <x:v>0.1</x:v>
      </x:c>
      <x:c r="D15" t="str">
        <x:v>Recovery rate index</x:v>
      </x:c>
      <x:c r="E15" s="66" t="n">
        <x:f>(0.50+0.80*B8)*B12*B13*B14*(1-0.60*B16)*(1-0.40*B17)</x:f>
        <x:v>0.4412826</x:v>
      </x:c>
    </x:row>
    <x:row r="16">
      <x:c r="A16" t="str">
        <x:v>Illness burden 0–1</x:v>
      </x:c>
      <x:c r="B16" s="58" t="n">
        <x:v>0</x:v>
      </x:c>
      <x:c r="D16" t="str">
        <x:v>Precision index</x:v>
      </x:c>
      <x:c r="E16" s="66" t="n">
        <x:f>B11*B13*B14*(1-0.50*B15)*(1-0.40*B16)*(1-0.30*B17)</x:f>
        <x:v>0.33152624999999997</x:v>
      </x:c>
    </x:row>
    <x:row r="17">
      <x:c r="A17" t="str">
        <x:v>Sleep debt 0–1</x:v>
      </x:c>
      <x:c r="B17" s="58" t="n">
        <x:v>0.2</x:v>
      </x:c>
      <x:c r="D17" t="str">
        <x:v>Balance/fall margin</x:v>
      </x:c>
      <x:c r="E17" s="66" t="n">
        <x:f>B10*B22*B23*(1-B21)*(1-B18)</x:f>
        <x:v>0.30431700000000006</x:v>
      </x:c>
    </x:row>
    <x:row r="18">
      <x:c r="A18" t="str">
        <x:v>Foot impairment 0–1</x:v>
      </x:c>
      <x:c r="B18" s="58" t="n">
        <x:v>0</x:v>
      </x:c>
      <x:c r="D18" t="str">
        <x:v>Work output index</x:v>
      </x:c>
      <x:c r="E18" s="66" t="n">
        <x:f>(0.45+0.55*B7)*(0.40+0.60*B11)*E8*(1+0.30*B8)</x:f>
        <x:v>0.4969526684000001</x:v>
      </x:c>
    </x:row>
    <x:row r="19">
      <x:c r="A19" t="str">
        <x:v>Pack fit 0–1</x:v>
      </x:c>
      <x:c r="B19" s="58" t="n">
        <x:v>0.6</x:v>
      </x:c>
      <x:c r="D19" t="str">
        <x:v>Injury-risk index</x:v>
      </x:c>
      <x:c r="E19" s="67" t="n">
        <x:f>MAX(0,E5-0.10)*(1+B21+B15+B16+B17+B18)/(MAX(0.20,B9+B10+B19))</x:f>
        <x:v>0.10833333333333331</x:v>
      </x:c>
    </x:row>
    <x:row r="20">
      <x:c r="A20" t="str">
        <x:v>Load kg</x:v>
      </x:c>
      <x:c r="B20" s="58" t="n">
        <x:v>15</x:v>
      </x:c>
    </x:row>
    <x:row r="21">
      <x:c r="A21" t="str">
        <x:v>Bulk/balance penalty 0–1</x:v>
      </x:c>
      <x:c r="B21" s="58" t="n">
        <x:v>0.15</x:v>
      </x:c>
    </x:row>
    <x:row r="22">
      <x:c r="A22" t="str">
        <x:v>Terrain factor 0–1</x:v>
      </x:c>
      <x:c r="B22" s="58" t="n">
        <x:v>0.78</x:v>
      </x:c>
    </x:row>
    <x:row r="23">
      <x:c r="A23" t="str">
        <x:v>Slope factor 0–1</x:v>
      </x:c>
      <x:c r="B23" s="58" t="n">
        <x:v>0.9</x:v>
      </x:c>
    </x:row>
    <x:row r="24">
      <x:c r="A24" t="str">
        <x:v>Reserve policy 0–1</x:v>
      </x:c>
      <x:c r="B24" s="59" t="n">
        <x:v>0.9</x:v>
      </x:c>
    </x:row>
  </x:sheetData>
  <x:mergeCells>
    <x:mergeCell ref="A1:L1"/>
    <x:mergeCell ref="A2:L2"/>
  </x:mergeCells>
  <x:dataValidations count="1">
    <x:dataValidation type="decimal" operator="between" sqref="B5:B24">
      <x:formula1>0</x:formula1>
      <x:formula2>200</x:formula2>
    </x:dataValidation>
  </x:dataValidations>
  <x:pageMargins left="0.7" right="0.7" top="0.75" bottom="0.75" header="0.3" footer="0.3"/>
  <x:drawing xmlns:r="http://schemas.openxmlformats.org/officeDocument/2006/relationships" r:id="R7f9f2b9894c042a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6" hidden="0" customWidth="1"/>
    <x:col min="5" max="5" width="18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30" customHeight="1">
      <x:c r="A1" s="3" t="str">
        <x:v>Adaptation, Maintenance and Breakdown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Growth is a recovered response to appropriate challenge. Technique changes sooner than physiology; overload creates debt and injury risk.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9" t="str">
        <x:v>Capacity</x:v>
      </x:c>
      <x:c r="B4" s="40" t="str">
        <x:v>Stimulus</x:v>
      </x:c>
      <x:c r="C4" s="40" t="str">
        <x:v>Productive band</x:v>
      </x:c>
      <x:c r="D4" s="40" t="str">
        <x:v>Recovery need</x:v>
      </x:c>
      <x:c r="E4" s="40" t="str">
        <x:v>Felt-change horizon</x:v>
      </x:c>
      <x:c r="F4" s="40" t="str">
        <x:v>Suppressors</x:v>
      </x:c>
      <x:c r="G4" s="40" t="str">
        <x:v>Anti-grind</x:v>
      </x:c>
      <x:c r="H4" s="41" t="str">
        <x:v>Blind proof</x:v>
      </x:c>
    </x:row>
    <x:row r="5">
      <x:c r="A5" s="48" t="str">
        <x:v>Strength</x:v>
      </x:c>
      <x:c r="B5" s="48" t="str">
        <x:v>Forceful progressive work</x:v>
      </x:c>
      <x:c r="C5" s="48" t="str">
        <x:v>0.55–0.85 relative challenge</x:v>
      </x:c>
      <x:c r="D5" s="48" t="str">
        <x:v>Hours–days</x:v>
      </x:c>
      <x:c r="E5" s="48" t="str">
        <x:v>Weeks–months</x:v>
      </x:c>
      <x:c r="F5" s="48" t="str">
        <x:v>Poor sleep; dehydration; pain; illness</x:v>
      </x:c>
      <x:c r="G5" s="48" t="str">
        <x:v>Heavy work is not always training</x:v>
      </x:c>
      <x:c r="H5" s="48" t="str">
        <x:v>Same lift/tool task steadier</x:v>
      </x:c>
    </x:row>
    <x:row r="6">
      <x:c r="A6" s="49" t="str">
        <x:v>Endurance</x:v>
      </x:c>
      <x:c r="B6" s="49" t="str">
        <x:v>Sustained recoverable work</x:v>
      </x:c>
      <x:c r="C6" s="49" t="str">
        <x:v>0.45–0.75</x:v>
      </x:c>
      <x:c r="D6" s="49" t="str">
        <x:v>Hours</x:v>
      </x:c>
      <x:c r="E6" s="49" t="str">
        <x:v>Days–weeks</x:v>
      </x:c>
      <x:c r="F6" s="49" t="str">
        <x:v>Heat; dehydration; sleep debt</x:v>
      </x:c>
      <x:c r="G6" s="49" t="str">
        <x:v>Easy walking saturates</x:v>
      </x:c>
      <x:c r="H6" s="49" t="str">
        <x:v>Same route leaves more reserve</x:v>
      </x:c>
    </x:row>
    <x:row r="7">
      <x:c r="A7" s="49" t="str">
        <x:v>Load tolerance</x:v>
      </x:c>
      <x:c r="B7" s="49" t="str">
        <x:v>Fitted carriage on real routes</x:v>
      </x:c>
      <x:c r="C7" s="49" t="str">
        <x:v>0.45–0.75</x:v>
      </x:c>
      <x:c r="D7" s="49" t="str">
        <x:v>Hours–days</x:v>
      </x:c>
      <x:c r="E7" s="49" t="str">
        <x:v>Days–weeks</x:v>
      </x:c>
      <x:c r="F7" s="49" t="str">
        <x:v>Bad pack; blisters; overload</x:v>
      </x:c>
      <x:c r="G7" s="49" t="str">
        <x:v>Junk-circle carrying saturates</x:v>
      </x:c>
      <x:c r="H7" s="49" t="str">
        <x:v>Same pack causes fewer hotspots</x:v>
      </x:c>
    </x:row>
    <x:row r="8">
      <x:c r="A8" s="49" t="str">
        <x:v>Balance</x:v>
      </x:c>
      <x:c r="B8" s="49" t="str">
        <x:v>Varied terrain/boat controlled exposure</x:v>
      </x:c>
      <x:c r="C8" s="49" t="str">
        <x:v>0.35–0.75</x:v>
      </x:c>
      <x:c r="D8" s="49" t="str">
        <x:v>Hours</x:v>
      </x:c>
      <x:c r="E8" s="49" t="str">
        <x:v>Days–weeks</x:v>
      </x:c>
      <x:c r="F8" s="49" t="str">
        <x:v>Fatigue; asymmetry; pain</x:v>
      </x:c>
      <x:c r="G8" s="49" t="str">
        <x:v>No camera-motion requirement</x:v>
      </x:c>
      <x:c r="H8" s="49" t="str">
        <x:v>Fewer correction events</x:v>
      </x:c>
    </x:row>
    <x:row r="9">
      <x:c r="A9" s="49" t="str">
        <x:v>Dexterity</x:v>
      </x:c>
      <x:c r="B9" s="49" t="str">
        <x:v>Precise varied work with feedback</x:v>
      </x:c>
      <x:c r="C9" s="49" t="str">
        <x:v>0.35–0.80</x:v>
      </x:c>
      <x:c r="D9" s="49" t="str">
        <x:v>Hours</x:v>
      </x:c>
      <x:c r="E9" s="49" t="str">
        <x:v>Days–weeks</x:v>
      </x:c>
      <x:c r="F9" s="49" t="str">
        <x:v>Cold; pain; low light; sleep debt</x:v>
      </x:c>
      <x:c r="G9" s="49" t="str">
        <x:v>Accessibility never reduces skill truth</x:v>
      </x:c>
      <x:c r="H9" s="49" t="str">
        <x:v>Fewer corrective operations</x:v>
      </x:c>
    </x:row>
    <x:row r="10">
      <x:c r="A10" s="49" t="str">
        <x:v>Water confidence</x:v>
      </x:c>
      <x:c r="B10" s="49" t="str">
        <x:v>Staged swim/reboard/rescue</x:v>
      </x:c>
      <x:c r="C10" s="49" t="str">
        <x:v>0.35–0.70</x:v>
      </x:c>
      <x:c r="D10" s="49" t="str">
        <x:v>Hours–days</x:v>
      </x:c>
      <x:c r="E10" s="49" t="str">
        <x:v>Days–weeks</x:v>
      </x:c>
      <x:c r="F10" s="49" t="str">
        <x:v>Panic; cold; fatigue</x:v>
      </x:c>
      <x:c r="G10" s="49" t="str">
        <x:v>Never creates air</x:v>
      </x:c>
      <x:c r="H10" s="49" t="str">
        <x:v>Calmer breath and earlier abort</x:v>
      </x:c>
    </x:row>
    <x:row r="11">
      <x:c r="A11" s="49" t="str">
        <x:v>Heat acclimatization</x:v>
      </x:c>
      <x:c r="B11" s="49" t="str">
        <x:v>Repeated gradual heat work</x:v>
      </x:c>
      <x:c r="C11" s="49" t="str">
        <x:v>0.35–0.70</x:v>
      </x:c>
      <x:c r="D11" s="49" t="str">
        <x:v>Day</x:v>
      </x:c>
      <x:c r="E11" s="49" t="str">
        <x:v>About 1–2 weeks</x:v>
      </x:c>
      <x:c r="F11" s="49" t="str">
        <x:v>Illness; dehydration; absence</x:v>
      </x:c>
      <x:c r="G11" s="49" t="str">
        <x:v>Temporary; decays</x:v>
      </x:c>
      <x:c r="H11" s="49" t="str">
        <x:v>Lower strain at same heat/work</x:v>
      </x:c>
    </x:row>
    <x:row r="12">
      <x:c r="A12" s="50" t="str">
        <x:v>Composure</x:v>
      </x:c>
      <x:c r="B12" s="50" t="str">
        <x:v>Rehearsal + recovered real exposure</x:v>
      </x:c>
      <x:c r="C12" s="50" t="str">
        <x:v>Challenge below loss of control</x:v>
      </x:c>
      <x:c r="D12" s="50" t="str">
        <x:v>Hours–days</x:v>
      </x:c>
      <x:c r="E12" s="50" t="str">
        <x:v>Days–weeks</x:v>
      </x:c>
      <x:c r="F12" s="50" t="str">
        <x:v>Unresolved trauma; exhaustion</x:v>
      </x:c>
      <x:c r="G12" s="50" t="str">
        <x:v>Not fearlessness</x:v>
      </x:c>
      <x:c r="H12" s="50" t="str">
        <x:v>Wider attention under pressure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b7cc1891e8046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36" hidden="0" customWidth="1"/>
    <x:col min="5" max="5" width="28" hidden="0" customWidth="1"/>
    <x:col min="6" max="6" width="30" hidden="0" customWidth="1"/>
  </x:cols>
  <x:sheetData>
    <x:row r="1" ht="30" customHeight="1">
      <x:c r="A1" s="3" t="str">
        <x:v>Activity–Body Coupling</x:v>
      </x:c>
      <x:c r="B1" s="3"/>
      <x:c r="C1" s="3"/>
      <x:c r="D1" s="3"/>
      <x:c r="E1" s="3"/>
      <x:c r="F1" s="3"/>
    </x:row>
    <x:row r="2" ht="32" customHeight="1">
      <x:c r="A2" s="7" t="str">
        <x:v>Every activity declares immediate channels, adaptation candidates, hazards and intelligent alternatives. No '-5 food +2 strength' authoring.</x:v>
      </x:c>
      <x:c r="B2" s="7"/>
      <x:c r="C2" s="7"/>
      <x:c r="D2" s="7"/>
      <x:c r="E2" s="7"/>
      <x:c r="F2" s="7"/>
    </x:row>
    <x:row r="4" ht="30" customHeight="1">
      <x:c r="A4" s="39" t="str">
        <x:v>Activity</x:v>
      </x:c>
      <x:c r="B4" s="40" t="str">
        <x:v>Workload</x:v>
      </x:c>
      <x:c r="C4" s="40" t="str">
        <x:v>Adaptation candidates</x:v>
      </x:c>
      <x:c r="D4" s="40" t="str">
        <x:v>Immediate consequences</x:v>
      </x:c>
      <x:c r="E4" s="40" t="str">
        <x:v>Dominant hazards</x:v>
      </x:c>
      <x:c r="F4" s="41" t="str">
        <x:v>Intelligent mitigation</x:v>
      </x:c>
    </x:row>
    <x:row r="5">
      <x:c r="A5" s="48" t="str">
        <x:v>Walk firm level</x:v>
      </x:c>
      <x:c r="B5" s="48" t="str">
        <x:v>L–M</x:v>
      </x:c>
      <x:c r="C5" s="48" t="str">
        <x:v>Endurance; route</x:v>
      </x:c>
      <x:c r="D5" s="48" t="str">
        <x:v>Low stamina; modest hydration; heat</x:v>
      </x:c>
      <x:c r="E5" s="48" t="str">
        <x:v>Feet/sun</x:v>
      </x:c>
      <x:c r="F5" s="48" t="str">
        <x:v>Footwear; shade; pace</x:v>
      </x:c>
    </x:row>
    <x:row r="6">
      <x:c r="A6" s="49" t="str">
        <x:v>Walk sand/mud/slope</x:v>
      </x:c>
      <x:c r="B6" s="49" t="str">
        <x:v>M–H</x:v>
      </x:c>
      <x:c r="C6" s="49" t="str">
        <x:v>Endurance; balance; legs</x:v>
      </x:c>
      <x:c r="D6" s="49" t="str">
        <x:v>Higher stamina/heat/thirst; slower</x:v>
      </x:c>
      <x:c r="E6" s="49" t="str">
        <x:v>Fall/ankle/knee</x:v>
      </x:c>
      <x:c r="F6" s="49" t="str">
        <x:v>Pole; lighter load; route</x:v>
      </x:c>
    </x:row>
    <x:row r="7">
      <x:c r="A7" s="49" t="str">
        <x:v>Loaded carry</x:v>
      </x:c>
      <x:c r="B7" s="49" t="str">
        <x:v>M–VH</x:v>
      </x:c>
      <x:c r="C7" s="49" t="str">
        <x:v>Load tolerance; endurance; some strength</x:v>
      </x:c>
      <x:c r="D7" s="49" t="str">
        <x:v>Slower; high heat/thirst; occupied hands</x:v>
      </x:c>
      <x:c r="E7" s="49" t="str">
        <x:v>Strain/fall/hotspots</x:v>
      </x:c>
      <x:c r="F7" s="49" t="str">
        <x:v>Split; pack; cart; team</x:v>
      </x:c>
    </x:row>
    <x:row r="8">
      <x:c r="A8" s="49" t="str">
        <x:v>Drag/sled/cart</x:v>
      </x:c>
      <x:c r="B8" s="49" t="str">
        <x:v>M–H</x:v>
      </x:c>
      <x:c r="C8" s="49" t="str">
        <x:v>Strength; logistics; endurance</x:v>
      </x:c>
      <x:c r="D8" s="49" t="str">
        <x:v>Sustained force; grip; heat</x:v>
      </x:c>
      <x:c r="E8" s="49" t="str">
        <x:v>Runaway/crush</x:v>
      </x:c>
      <x:c r="F8" s="49" t="str">
        <x:v>Brake; route; spotter</x:v>
      </x:c>
    </x:row>
    <x:row r="9">
      <x:c r="A9" s="49" t="str">
        <x:v>Lift/place member</x:v>
      </x:c>
      <x:c r="B9" s="49" t="str">
        <x:v>H–VH short</x:v>
      </x:c>
      <x:c r="C9" s="49" t="str">
        <x:v>Strength; rigging; coordination</x:v>
      </x:c>
      <x:c r="D9" s="49" t="str">
        <x:v>Acute stamina/force</x:v>
      </x:c>
      <x:c r="E9" s="49" t="str">
        <x:v>Crush/joint/back</x:v>
      </x:c>
      <x:c r="F9" s="49" t="str">
        <x:v>Hoist; support; team</x:v>
      </x:c>
    </x:row>
    <x:row r="10">
      <x:c r="A10" s="49" t="str">
        <x:v>Sprint/escape</x:v>
      </x:c>
      <x:c r="B10" s="49" t="str">
        <x:v>VH</x:v>
      </x:c>
      <x:c r="C10" s="49" t="str">
        <x:v>Anaerobic capacity</x:v>
      </x:c>
      <x:c r="D10" s="49" t="str">
        <x:v>Rapid stamina/breath/heat</x:v>
      </x:c>
      <x:c r="E10" s="49" t="str">
        <x:v>Fall/collapse</x:v>
      </x:c>
      <x:c r="F10" s="49" t="str">
        <x:v>Reserve; known route</x:v>
      </x:c>
    </x:row>
    <x:row r="11">
      <x:c r="A11" s="49" t="str">
        <x:v>Climb</x:v>
      </x:c>
      <x:c r="B11" s="49" t="str">
        <x:v>H–VH</x:v>
      </x:c>
      <x:c r="C11" s="49" t="str">
        <x:v>Strength; grip; balance</x:v>
      </x:c>
      <x:c r="D11" s="49" t="str">
        <x:v>Stamina/breath; load magnifies</x:v>
      </x:c>
      <x:c r="E11" s="49" t="str">
        <x:v>Fatal fall</x:v>
      </x:c>
      <x:c r="F11" s="49" t="str">
        <x:v>Line; anchors; unload</x:v>
      </x:c>
    </x:row>
    <x:row r="12">
      <x:c r="A12" s="49" t="str">
        <x:v>Swim</x:v>
      </x:c>
      <x:c r="B12" s="49" t="str">
        <x:v>H</x:v>
      </x:c>
      <x:c r="C12" s="49" t="str">
        <x:v>Endurance; water confidence</x:v>
      </x:c>
      <x:c r="D12" s="49" t="str">
        <x:v>Stamina; thermal; breath</x:v>
      </x:c>
      <x:c r="E12" s="49" t="str">
        <x:v>Drowning/exposure</x:v>
      </x:c>
      <x:c r="F12" s="49" t="str">
        <x:v>Flotation; abort; buddy</x:v>
      </x:c>
    </x:row>
    <x:row r="13">
      <x:c r="A13" s="49" t="str">
        <x:v>Dive/submerged work</x:v>
      </x:c>
      <x:c r="B13" s="49" t="str">
        <x:v>H–VH</x:v>
      </x:c>
      <x:c r="C13" s="49" t="str">
        <x:v>Water confidence; task economy</x:v>
      </x:c>
      <x:c r="D13" s="49" t="str">
        <x:v>Breath/air; thermal; stress</x:v>
      </x:c>
      <x:c r="E13" s="49" t="str">
        <x:v>Entanglement/drowning</x:v>
      </x:c>
      <x:c r="F13" s="49" t="str">
        <x:v>Line; surface support</x:v>
      </x:c>
    </x:row>
    <x:row r="14">
      <x:c r="A14" s="49" t="str">
        <x:v>Paddle/row</x:v>
      </x:c>
      <x:c r="B14" s="49" t="str">
        <x:v>M–H</x:v>
      </x:c>
      <x:c r="C14" s="49" t="str">
        <x:v>Endurance; stroke; balance</x:v>
      </x:c>
      <x:c r="D14" s="49" t="str">
        <x:v>Heat/thirst/energy</x:v>
      </x:c>
      <x:c r="E14" s="49" t="str">
        <x:v>Capsize/overuse</x:v>
      </x:c>
      <x:c r="F14" s="49" t="str">
        <x:v>Trim; rests; weather</x:v>
      </x:c>
    </x:row>
    <x:row r="15">
      <x:c r="A15" s="49" t="str">
        <x:v>Chop/fell</x:v>
      </x:c>
      <x:c r="B15" s="49" t="str">
        <x:v>H–VH</x:v>
      </x:c>
      <x:c r="C15" s="49" t="str">
        <x:v>Strength; endurance; coordination; timber</x:v>
      </x:c>
      <x:c r="D15" s="49" t="str">
        <x:v>High stamina/heat/thirst</x:v>
      </x:c>
      <x:c r="E15" s="49" t="str">
        <x:v>Cuts/falling tree</x:v>
      </x:c>
      <x:c r="F15" s="49" t="str">
        <x:v>Sharp tool; clear zone</x:v>
      </x:c>
    </x:row>
    <x:row r="16">
      <x:c r="A16" s="49" t="str">
        <x:v>Saw/hew/plane</x:v>
      </x:c>
      <x:c r="B16" s="49" t="str">
        <x:v>M–H</x:v>
      </x:c>
      <x:c r="C16" s="49" t="str">
        <x:v>Endurance; material control</x:v>
      </x:c>
      <x:c r="D16" s="49" t="str">
        <x:v>Grip; posture; energy</x:v>
      </x:c>
      <x:c r="E16" s="49" t="str">
        <x:v>Cuts/dust/repetition</x:v>
      </x:c>
      <x:c r="F16" s="49" t="str">
        <x:v>Fixture; sharp edge</x:v>
      </x:c>
    </x:row>
    <x:row r="17">
      <x:c r="A17" s="49" t="str">
        <x:v>Quarry/hammer stone</x:v>
      </x:c>
      <x:c r="B17" s="49" t="str">
        <x:v>H–VH</x:v>
      </x:c>
      <x:c r="C17" s="49" t="str">
        <x:v>Strength; fracture; coordination</x:v>
      </x:c>
      <x:c r="D17" s="49" t="str">
        <x:v>Impact; thirst; dust</x:v>
      </x:c>
      <x:c r="E17" s="49" t="str">
        <x:v>Fragments/strain</x:v>
      </x:c>
      <x:c r="F17" s="49" t="str">
        <x:v>Protection; wedges; water</x:v>
      </x:c>
    </x:row>
    <x:row r="18">
      <x:c r="A18" s="49" t="str">
        <x:v>Knap/carve</x:v>
      </x:c>
      <x:c r="B18" s="49" t="str">
        <x:v>L–M</x:v>
      </x:c>
      <x:c r="C18" s="49" t="str">
        <x:v>Dexterity; fracture</x:v>
      </x:c>
      <x:c r="D18" s="49" t="str">
        <x:v>Attention; hand fatigue</x:v>
      </x:c>
      <x:c r="E18" s="49" t="str">
        <x:v>Cut/eye fragment</x:v>
      </x:c>
      <x:c r="F18" s="49" t="str">
        <x:v>Support; controlled surface</x:v>
      </x:c>
    </x:row>
    <x:row r="19">
      <x:c r="A19" s="49" t="str">
        <x:v>Cord/knot/net</x:v>
      </x:c>
      <x:c r="B19" s="49" t="str">
        <x:v>L–M</x:v>
      </x:c>
      <x:c r="C19" s="49" t="str">
        <x:v>Dexterity; fiber; geometry</x:v>
      </x:c>
      <x:c r="D19" s="49" t="str">
        <x:v>Hand/posture fatigue</x:v>
      </x:c>
      <x:c r="E19" s="49" t="str">
        <x:v>Repetitive strain</x:v>
      </x:c>
      <x:c r="F19" s="49" t="str">
        <x:v>Gauge; jig; breaks</x:v>
      </x:c>
    </x:row>
    <x:row r="20">
      <x:c r="A20" s="49" t="str">
        <x:v>Kiln/forge/cast</x:v>
      </x:c>
      <x:c r="B20" s="49" t="str">
        <x:v>H–VH thermal</x:v>
      </x:c>
      <x:c r="C20" s="49" t="str">
        <x:v>Heat; metal/ceramic; coordination</x:v>
      </x:c>
      <x:c r="D20" s="49" t="str">
        <x:v>Very high heat/thirst</x:v>
      </x:c>
      <x:c r="E20" s="49" t="str">
        <x:v>Burn/fume/fire</x:v>
      </x:c>
      <x:c r="F20" s="49" t="str">
        <x:v>Ventilation; tongs; cycles</x:v>
      </x:c>
    </x:row>
    <x:row r="21">
      <x:c r="A21" s="49" t="str">
        <x:v>Cook/process food</x:v>
      </x:c>
      <x:c r="B21" s="49" t="str">
        <x:v>L–M</x:v>
      </x:c>
      <x:c r="C21" s="49" t="str">
        <x:v>Hygiene; heat; species</x:v>
      </x:c>
      <x:c r="D21" s="49" t="str">
        <x:v>Attention; heat</x:v>
      </x:c>
      <x:c r="E21" s="49" t="str">
        <x:v>Burn/poisoning</x:v>
      </x:c>
      <x:c r="F21" s="49" t="str">
        <x:v>Clean zones; vessel</x:v>
      </x:c>
    </x:row>
    <x:row r="22">
      <x:c r="A22" s="49" t="str">
        <x:v>Rig/hoist</x:v>
      </x:c>
      <x:c r="B22" s="49" t="str">
        <x:v>M–H</x:v>
      </x:c>
      <x:c r="C22" s="49" t="str">
        <x:v>Mechanics; knots; communication</x:v>
      </x:c>
      <x:c r="D22" s="49" t="str">
        <x:v>Force spikes; attention</x:v>
      </x:c>
      <x:c r="E22" s="49" t="str">
        <x:v>Crush/fall</x:v>
      </x:c>
      <x:c r="F22" s="49" t="str">
        <x:v>Proof load; exclusion</x:v>
      </x:c>
    </x:row>
    <x:row r="23">
      <x:c r="A23" s="49" t="str">
        <x:v>Repair mechanism</x:v>
      </x:c>
      <x:c r="B23" s="49" t="str">
        <x:v>L–H</x:v>
      </x:c>
      <x:c r="C23" s="49" t="str">
        <x:v>Diagnosis; fit; contamination</x:v>
      </x:c>
      <x:c r="D23" s="49" t="str">
        <x:v>Posture; hand fatigue</x:v>
      </x:c>
      <x:c r="E23" s="49" t="str">
        <x:v>Stored energy/pinch</x:v>
      </x:c>
      <x:c r="F23" s="49" t="str">
        <x:v>Isolate; fixture</x:v>
      </x:c>
    </x:row>
    <x:row r="24">
      <x:c r="A24" s="49" t="str">
        <x:v>Electrical/radio</x:v>
      </x:c>
      <x:c r="B24" s="49" t="str">
        <x:v>L–M</x:v>
      </x:c>
      <x:c r="C24" s="49" t="str">
        <x:v>Circuits; corrosion; measurement</x:v>
      </x:c>
      <x:c r="D24" s="49" t="str">
        <x:v>High attention</x:v>
      </x:c>
      <x:c r="E24" s="49" t="str">
        <x:v>Shock/fire/unique loss</x:v>
      </x:c>
      <x:c r="F24" s="49" t="str">
        <x:v>Isolate; fuse; test</x:v>
      </x:c>
    </x:row>
    <x:row r="25">
      <x:c r="A25" s="49" t="str">
        <x:v>Treat illness/injury</x:v>
      </x:c>
      <x:c r="B25" s="49" t="str">
        <x:v>L–M</x:v>
      </x:c>
      <x:c r="C25" s="49" t="str">
        <x:v>Diagnosis; hygiene; monitoring</x:v>
      </x:c>
      <x:c r="D25" s="49" t="str">
        <x:v>Attention; stress</x:v>
      </x:c>
      <x:c r="E25" s="49" t="str">
        <x:v>Contamination/error</x:v>
      </x:c>
      <x:c r="F25" s="49" t="str">
        <x:v>Clean water/surface</x:v>
      </x:c>
    </x:row>
    <x:row r="26">
      <x:c r="A26" s="50" t="str">
        <x:v>Rest/sleep</x:v>
      </x:c>
      <x:c r="B26" s="50" t="str">
        <x:v>Recovery</x:v>
      </x:c>
      <x:c r="C26" s="50" t="str">
        <x:v>Consolidation</x:v>
      </x:c>
      <x:c r="D26" s="50" t="str">
        <x:v>Restores only as conditions permit</x:v>
      </x:c>
      <x:c r="E26" s="50" t="str">
        <x:v>Cold/heat/pain/threat</x:v>
      </x:c>
      <x:c r="F26" s="50" t="str">
        <x:v>Shelter; water; security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389b641a66f4d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34" hidden="0" customWidth="1"/>
    <x:col min="5" max="5" width="38" hidden="0" customWidth="1"/>
    <x:col min="6" max="6" width="30" hidden="0" customWidth="1"/>
  </x:cols>
  <x:sheetData>
    <x:row r="1" ht="30" customHeight="1">
      <x:c r="A1" s="3" t="str">
        <x:v>Water Source Risk Register</x:v>
      </x:c>
      <x:c r="B1" s="3"/>
      <x:c r="C1" s="3"/>
      <x:c r="D1" s="3"/>
      <x:c r="E1" s="3"/>
      <x:c r="F1" s="3"/>
    </x:row>
    <x:row r="2" ht="32" customHeight="1">
      <x:c r="A2" s="7" t="str">
        <x:v>Source appearance is evidence, not proof. Risk changes with weather, upstream activity, tide, wreck contamination, storage and handling.</x:v>
      </x:c>
      <x:c r="B2" s="7"/>
      <x:c r="C2" s="7"/>
      <x:c r="D2" s="7"/>
      <x:c r="E2" s="7"/>
      <x:c r="F2" s="7"/>
    </x:row>
    <x:row r="4" ht="30" customHeight="1">
      <x:c r="A4" s="39" t="str">
        <x:v>Source</x:v>
      </x:c>
      <x:c r="B4" s="40" t="str">
        <x:v>Microbial risk</x:v>
      </x:c>
      <x:c r="C4" s="40" t="str">
        <x:v>Salt risk</x:v>
      </x:c>
      <x:c r="D4" s="40" t="str">
        <x:v>Other hazards</x:v>
      </x:c>
      <x:c r="E4" s="40" t="str">
        <x:v>Rational first posture</x:v>
      </x:c>
      <x:c r="F4" s="41" t="str">
        <x:v>Design note</x:v>
      </x:c>
    </x:row>
    <x:row r="5">
      <x:c r="A5" s="48" t="str">
        <x:v>Direct rain</x:v>
      </x:c>
      <x:c r="B5" s="48" t="str">
        <x:v>Low–M</x:v>
      </x:c>
      <x:c r="C5" s="48" t="str">
        <x:v>Low</x:v>
      </x:c>
      <x:c r="D5" s="48" t="str">
        <x:v>Surface contamination/first flush</x:v>
      </x:c>
      <x:c r="E5" s="48" t="str">
        <x:v>Catch after dirty runoff; cover storage</x:v>
      </x:c>
      <x:c r="F5" s="48" t="str">
        <x:v>Best early continuity if catch surface is clean</x:v>
      </x:c>
    </x:row>
    <x:row r="6">
      <x:c r="A6" s="49" t="str">
        <x:v>Upland spring/seep</x:v>
      </x:c>
      <x:c r="B6" s="49" t="str">
        <x:v>M</x:v>
      </x:c>
      <x:c r="C6" s="49" t="str">
        <x:v>Low</x:v>
      </x:c>
      <x:c r="D6" s="49" t="str">
        <x:v>Animal/geology/surface ingress</x:v>
      </x:c>
      <x:c r="E6" s="49" t="str">
        <x:v>Assess and treat until evidenced</x:v>
      </x:c>
      <x:c r="F6" s="49" t="str">
        <x:v>Clear is not proof</x:v>
      </x:c>
    </x:row>
    <x:row r="7">
      <x:c r="A7" s="49" t="str">
        <x:v>Moving stream</x:v>
      </x:c>
      <x:c r="B7" s="49" t="str">
        <x:v>M–H</x:v>
      </x:c>
      <x:c r="C7" s="49" t="str">
        <x:v>Low</x:v>
      </x:c>
      <x:c r="D7" s="49" t="str">
        <x:v>Upstream feces/carcass/runoff</x:v>
      </x:c>
      <x:c r="E7" s="49" t="str">
        <x:v>Collect upstream; clarify/treat</x:v>
      </x:c>
      <x:c r="F7" s="49" t="str">
        <x:v>Storms change risk</x:v>
      </x:c>
    </x:row>
    <x:row r="8">
      <x:c r="A8" s="49" t="str">
        <x:v>Pond/lagoon</x:v>
      </x:c>
      <x:c r="B8" s="49" t="str">
        <x:v>H</x:v>
      </x:c>
      <x:c r="C8" s="49" t="str">
        <x:v>Low–M</x:v>
      </x:c>
      <x:c r="D8" s="49" t="str">
        <x:v>Stagnation, feces, algae, insects</x:v>
      </x:c>
      <x:c r="E8" s="49" t="str">
        <x:v>Avoid blooms/chemicals; full microbial treatment</x:v>
      </x:c>
      <x:c r="F8" s="49" t="str">
        <x:v>Representative illness source</x:v>
      </x:c>
    </x:row>
    <x:row r="9">
      <x:c r="A9" s="49" t="str">
        <x:v>Coconut water</x:v>
      </x:c>
      <x:c r="B9" s="49" t="str">
        <x:v>Low if intact</x:v>
      </x:c>
      <x:c r="C9" s="49" t="str">
        <x:v>Low</x:v>
      </x:c>
      <x:c r="D9" s="49" t="str">
        <x:v>Spoilage/damage</x:v>
      </x:c>
      <x:c r="E9" s="49" t="str">
        <x:v>Use fresh/intact</x:v>
      </x:c>
      <x:c r="F9" s="49" t="str">
        <x:v>Bridge, not continuity</x:v>
      </x:c>
    </x:row>
    <x:row r="10">
      <x:c r="A10" s="49" t="str">
        <x:v>Roof runoff</x:v>
      </x:c>
      <x:c r="B10" s="49" t="str">
        <x:v>M</x:v>
      </x:c>
      <x:c r="C10" s="49" t="str">
        <x:v>Low–M</x:v>
      </x:c>
      <x:c r="D10" s="49" t="str">
        <x:v>Bird waste, dirt, coating, salt</x:v>
      </x:c>
      <x:c r="E10" s="49" t="str">
        <x:v>Known clean roof + first flush</x:v>
      </x:c>
      <x:c r="F10" s="49" t="str">
        <x:v>Wreck skin may be disqualified</x:v>
      </x:c>
    </x:row>
    <x:row r="11">
      <x:c r="A11" s="49" t="str">
        <x:v>Brackish water</x:v>
      </x:c>
      <x:c r="B11" s="49" t="str">
        <x:v>H</x:v>
      </x:c>
      <x:c r="C11" s="49" t="str">
        <x:v>High</x:v>
      </x:c>
      <x:c r="D11" s="49" t="str">
        <x:v>Salt + microbes</x:v>
      </x:c>
      <x:c r="E11" s="49" t="str">
        <x:v>Do not boil as desalination</x:v>
      </x:c>
      <x:c r="F11" s="49" t="str">
        <x:v>Distill later</x:v>
      </x:c>
    </x:row>
    <x:row r="12">
      <x:c r="A12" s="49" t="str">
        <x:v>Seawater</x:v>
      </x:c>
      <x:c r="B12" s="49" t="str">
        <x:v>M</x:v>
      </x:c>
      <x:c r="C12" s="49" t="str">
        <x:v>Extreme</x:v>
      </x:c>
      <x:c r="D12" s="49" t="str">
        <x:v>Salt</x:v>
      </x:c>
      <x:c r="E12" s="49" t="str">
        <x:v>Never drink; desalinate/distill</x:v>
      </x:c>
      <x:c r="F12" s="49" t="str">
        <x:v>Abundant but expensive</x:v>
      </x:c>
    </x:row>
    <x:row r="13">
      <x:c r="A13" s="49" t="str">
        <x:v>Wreck/container water</x:v>
      </x:c>
      <x:c r="B13" s="49" t="str">
        <x:v>Unknown</x:v>
      </x:c>
      <x:c r="C13" s="49" t="str">
        <x:v>Unknown</x:v>
      </x:c>
      <x:c r="D13" s="49" t="str">
        <x:v>Fuel, metal, microbes, prior contents</x:v>
      </x:c>
      <x:c r="E13" s="49" t="str">
        <x:v>Provenance/seal inspection</x:v>
      </x:c>
      <x:c r="F13" s="49" t="str">
        <x:v>Unknown means avoid</x:v>
      </x:c>
    </x:row>
    <x:row r="14">
      <x:c r="A14" s="49" t="str">
        <x:v>Algal/scummed source</x:v>
      </x:c>
      <x:c r="B14" s="49" t="str">
        <x:v>Variable</x:v>
      </x:c>
      <x:c r="C14" s="49" t="str">
        <x:v>Variable</x:v>
      </x:c>
      <x:c r="D14" s="49" t="str">
        <x:v>Toxins</x:v>
      </x:c>
      <x:c r="E14" s="49" t="str">
        <x:v>Avoid source</x:v>
      </x:c>
      <x:c r="F14" s="49" t="str">
        <x:v>Ordinary boiling not a solution</x:v>
      </x:c>
    </x:row>
    <x:row r="15">
      <x:c r="A15" s="49" t="str">
        <x:v>Fuel/chemical sheen</x:v>
      </x:c>
      <x:c r="B15" s="49" t="str">
        <x:v>Variable</x:v>
      </x:c>
      <x:c r="C15" s="49" t="str">
        <x:v>Variable</x:v>
      </x:c>
      <x:c r="D15" s="49" t="str">
        <x:v>Hydrocarbon/chemical</x:v>
      </x:c>
      <x:c r="E15" s="49" t="str">
        <x:v>Avoid source</x:v>
      </x:c>
      <x:c r="F15" s="49" t="str">
        <x:v>Never solve by boiling</x:v>
      </x:c>
    </x:row>
    <x:row r="16">
      <x:c r="A16" s="50" t="str">
        <x:v>Anomaly-altered</x:v>
      </x:c>
      <x:c r="B16" s="50" t="str">
        <x:v>Unknown</x:v>
      </x:c>
      <x:c r="C16" s="50" t="str">
        <x:v>Unknown</x:v>
      </x:c>
      <x:c r="D16" s="50" t="str">
        <x:v>Unknown</x:v>
      </x:c>
      <x:c r="E16" s="50" t="str">
        <x:v>Research sample only</x:v>
      </x:c>
      <x:c r="F16" s="50" t="str">
        <x:v>Never basic survival dependency</x:v>
      </x:c>
    </x:row>
  </x:sheetData>
  <x:mergeCells>
    <x:mergeCell ref="A1:F1"/>
    <x:mergeCell ref="A2:F2"/>
  </x:mergeCells>
  <x:conditionalFormatting sqref="B5:B16">
    <x:cfRule type="containsText" dxfId="5" priority="1" operator="containsText" text="H"/>
  </x:conditionalFormatting>
  <x:pageMargins left="0.7" right="0.7" top="0.75" bottom="0.75" header="0.3" footer="0.3"/>
  <x:tableParts count="1">
    <x:tablePart xmlns:r="http://schemas.openxmlformats.org/officeDocument/2006/relationships" r:id="R2b645b0c116b46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6" hidden="0" customWidth="1"/>
    <x:col min="5" max="5" width="28" hidden="0" customWidth="1"/>
    <x:col min="6" max="6" width="36" hidden="0" customWidth="1"/>
    <x:col min="7" max="7" width="34" hidden="0" customWidth="1"/>
  </x:cols>
  <x:sheetData>
    <x:row r="1" ht="30" customHeight="1">
      <x:c r="A1" s="3" t="str">
        <x:v>Water Treatment Claims</x:v>
      </x:c>
      <x:c r="B1" s="3"/>
      <x:c r="C1" s="3"/>
      <x:c r="D1" s="3"/>
      <x:c r="E1" s="3"/>
      <x:c r="F1" s="3"/>
      <x:c r="G1" s="3"/>
    </x:row>
    <x:row r="2" ht="32" customHeight="1">
      <x:c r="A2" s="7" t="str">
        <x:v>A treatment earns only the claims it can physically support. Boiled, filtered, distilled and safely stored are different states.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Operation</x:v>
      </x:c>
      <x:c r="B4" s="40" t="str">
        <x:v>Primary target</x:v>
      </x:c>
      <x:c r="C4" s="40" t="str">
        <x:v>Burden</x:v>
      </x:c>
      <x:c r="D4" s="40" t="str">
        <x:v>Required ancestry</x:v>
      </x:c>
      <x:c r="E4" s="40" t="str">
        <x:v>Can improve</x:v>
      </x:c>
      <x:c r="F4" s="40" t="str">
        <x:v>Cannot claim</x:v>
      </x:c>
      <x:c r="G4" s="41" t="str">
        <x:v>Qualification evidence</x:v>
      </x:c>
    </x:row>
    <x:row r="5">
      <x:c r="A5" s="48" t="str">
        <x:v>Settle / decant</x:v>
      </x:c>
      <x:c r="B5" s="48" t="str">
        <x:v>Sediment/turbidity</x:v>
      </x:c>
      <x:c r="C5" s="48" t="str">
        <x:v>Low</x:v>
      </x:c>
      <x:c r="D5" s="48" t="str">
        <x:v>Vessel + time</x:v>
      </x:c>
      <x:c r="E5" s="48" t="str">
        <x:v>Particles</x:v>
      </x:c>
      <x:c r="F5" s="73" t="str">
        <x:v>Microbes, salt, dissolved chemicals</x:v>
      </x:c>
      <x:c r="G5" s="48" t="str">
        <x:v>Decanted clarity</x:v>
      </x:c>
    </x:row>
    <x:row r="6">
      <x:c r="A6" s="49" t="str">
        <x:v>Cloth prefilter</x:v>
      </x:c>
      <x:c r="B6" s="49" t="str">
        <x:v>Suspended matter</x:v>
      </x:c>
      <x:c r="C6" s="49" t="str">
        <x:v>Low</x:v>
      </x:c>
      <x:c r="D6" s="49" t="str">
        <x:v>Clean cloth + receiver</x:v>
      </x:c>
      <x:c r="E6" s="49" t="str">
        <x:v>Turbidity</x:v>
      </x:c>
      <x:c r="F6" s="74" t="str">
        <x:v>Reliable disinfection</x:v>
      </x:c>
      <x:c r="G6" s="49" t="str">
        <x:v>Flow/clarity comparison</x:v>
      </x:c>
    </x:row>
    <x:row r="7">
      <x:c r="A7" s="49" t="str">
        <x:v>Rolling boil</x:v>
      </x:c>
      <x:c r="B7" s="49" t="str">
        <x:v>Biological pathogens</x:v>
      </x:c>
      <x:c r="C7" s="49" t="str">
        <x:v>M–H fuel</x:v>
      </x:c>
      <x:c r="D7" s="49" t="str">
        <x:v>Fire + viable vessel + observed boil</x:v>
      </x:c>
      <x:c r="E7" s="49" t="str">
        <x:v>Bacteria/viruses/protozoa</x:v>
      </x:c>
      <x:c r="F7" s="74" t="str">
        <x:v>Salt, most chemicals/metals, all toxins</x:v>
      </x:c>
      <x:c r="G7" s="49" t="str">
        <x:v>Completed boil + clean cooling/storage</x:v>
      </x:c>
    </x:row>
    <x:row r="8">
      <x:c r="A8" s="49" t="str">
        <x:v>Known chemical disinfectant</x:v>
      </x:c>
      <x:c r="B8" s="49" t="str">
        <x:v>Biological pathogens</x:v>
      </x:c>
      <x:c r="C8" s="49" t="str">
        <x:v>Low labor</x:v>
      </x:c>
      <x:c r="D8" s="49" t="str">
        <x:v>Known product/dose/contact/clear water</x:v>
      </x:c>
      <x:c r="E8" s="49" t="str">
        <x:v>Many microbes</x:v>
      </x:c>
      <x:c r="F8" s="74" t="str">
        <x:v>Unknown dose, some protozoa, chemicals/salt</x:v>
      </x:c>
      <x:c r="G8" s="49" t="str">
        <x:v>Label/procedure + contact time</x:v>
      </x:c>
    </x:row>
    <x:row r="9">
      <x:c r="A9" s="49" t="str">
        <x:v>Solar/UV</x:v>
      </x:c>
      <x:c r="B9" s="49" t="str">
        <x:v>Biological risk</x:v>
      </x:c>
      <x:c r="C9" s="49" t="str">
        <x:v>Low fuel/high time</x:v>
      </x:c>
      <x:c r="D9" s="49" t="str">
        <x:v>Clear suitable vessel + sun + exposure evidence</x:v>
      </x:c>
      <x:c r="E9" s="49" t="str">
        <x:v>Many microbes</x:v>
      </x:c>
      <x:c r="F9" s="74" t="str">
        <x:v>Turbidity, chemicals/salt, bad weather</x:v>
      </x:c>
      <x:c r="G9" s="49" t="str">
        <x:v>Exposure record</x:v>
      </x:c>
    </x:row>
    <x:row r="10">
      <x:c r="A10" s="49" t="str">
        <x:v>Ceramic/membrane filter</x:v>
      </x:c>
      <x:c r="B10" s="49" t="str">
        <x:v>Size-based microbes/particles</x:v>
      </x:c>
      <x:c r="C10" s="49" t="str">
        <x:v>M maintenance</x:v>
      </x:c>
      <x:c r="D10" s="49" t="str">
        <x:v>Qualified filter + integrity/flow</x:v>
      </x:c>
      <x:c r="E10" s="49" t="str">
        <x:v>Depends on pore/component</x:v>
      </x:c>
      <x:c r="F10" s="74" t="str">
        <x:v>Universal virus/chemical/salt removal</x:v>
      </x:c>
      <x:c r="G10" s="49" t="str">
        <x:v>Integrity + challenge evidence</x:v>
      </x:c>
    </x:row>
    <x:row r="11">
      <x:c r="A11" s="49" t="str">
        <x:v>Charcoal adsorption</x:v>
      </x:c>
      <x:c r="B11" s="49" t="str">
        <x:v>Taste/odor/some organics</x:v>
      </x:c>
      <x:c r="C11" s="49" t="str">
        <x:v>M</x:v>
      </x:c>
      <x:c r="D11" s="49" t="str">
        <x:v>Prepared media + contact + replacement</x:v>
      </x:c>
      <x:c r="E11" s="49" t="str">
        <x:v>Some organics</x:v>
      </x:c>
      <x:c r="F11" s="74" t="str">
        <x:v>Universal microbes/salt/metals</x:v>
      </x:c>
      <x:c r="G11" s="49" t="str">
        <x:v>Breakthrough/maintenance log</x:v>
      </x:c>
    </x:row>
    <x:row r="12">
      <x:c r="A12" s="49" t="str">
        <x:v>Distillation</x:v>
      </x:c>
      <x:c r="B12" s="49" t="str">
        <x:v>Salt + many nonvolatile contaminants</x:v>
      </x:c>
      <x:c r="C12" s="49" t="str">
        <x:v>VH energy</x:v>
      </x:c>
      <x:c r="D12" s="49" t="str">
        <x:v>Boiler + vapor + condenser + clean receiver</x:v>
      </x:c>
      <x:c r="E12" s="49" t="str">
        <x:v>Salt/nonvolatile</x:v>
      </x:c>
      <x:c r="F12" s="74" t="str">
        <x:v>Volatile chemicals without control</x:v>
      </x:c>
      <x:c r="G12" s="49" t="str">
        <x:v>Distillate + equipment test</x:v>
      </x:c>
    </x:row>
    <x:row r="13">
      <x:c r="A13" s="49" t="str">
        <x:v>Protected storage</x:v>
      </x:c>
      <x:c r="B13" s="49" t="str">
        <x:v>Recontamination prevention</x:v>
      </x:c>
      <x:c r="C13" s="49" t="str">
        <x:v>Low ongoing</x:v>
      </x:c>
      <x:c r="D13" s="49" t="str">
        <x:v>Clean closed container + controlled draw</x:v>
      </x:c>
      <x:c r="E13" s="49" t="str">
        <x:v>Handling exposure</x:v>
      </x:c>
      <x:c r="F13" s="74" t="str">
        <x:v>Bad source/treatment</x:v>
      </x:c>
      <x:c r="G13" s="49" t="str">
        <x:v>Closure/cleaning history</x:v>
      </x:c>
    </x:row>
    <x:row r="14">
      <x:c r="A14" s="50" t="str">
        <x:v>Source avoidance</x:v>
      </x:c>
      <x:c r="B14" s="50" t="str">
        <x:v>All suspected hazards</x:v>
      </x:c>
      <x:c r="C14" s="50" t="str">
        <x:v>Route cost</x:v>
      </x:c>
      <x:c r="D14" s="50" t="str">
        <x:v>Alternative source</x:v>
      </x:c>
      <x:c r="E14" s="50" t="str">
        <x:v>Prevents exposure</x:v>
      </x:c>
      <x:c r="F14" s="75" t="str">
        <x:v>Supply continuity</x:v>
      </x:c>
      <x:c r="G14" s="50" t="str">
        <x:v>Safe alternative reached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738de0865d243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40" hidden="0" customWidth="1"/>
  </x:cols>
  <x:sheetData>
    <x:row r="1" ht="30" customHeight="1">
      <x:c r="A1" s="3" t="str">
        <x:v>Illness and Functional Consequence Paths</x:v>
      </x:c>
      <x:c r="B1" s="3"/>
      <x:c r="C1" s="3"/>
      <x:c r="D1" s="3"/>
      <x:c r="E1" s="3"/>
      <x:c r="F1" s="3"/>
      <x:c r="G1" s="3"/>
    </x:row>
    <x:row r="2" ht="32" customHeight="1">
      <x:c r="A2" s="7" t="str">
        <x:v>Seed syndromes for design. They are not a diagnostic system. Incubation, symptoms, impairment and support must remain causal and readable.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Syndrome</x:v>
      </x:c>
      <x:c r="B4" s="40" t="str">
        <x:v>Exposure route</x:v>
      </x:c>
      <x:c r="C4" s="40" t="str">
        <x:v>Incubation seed</x:v>
      </x:c>
      <x:c r="D4" s="40" t="str">
        <x:v>Evidence</x:v>
      </x:c>
      <x:c r="E4" s="40" t="str">
        <x:v>Felt functional effect</x:v>
      </x:c>
      <x:c r="F4" s="40" t="str">
        <x:v>Support / response</x:v>
      </x:c>
      <x:c r="G4" s="41" t="str">
        <x:v>Water-treatment relation</x:v>
      </x:c>
    </x:row>
    <x:row r="5">
      <x:c r="A5" s="48" t="str">
        <x:v>Acute GI syndrome</x:v>
      </x:c>
      <x:c r="B5" s="48" t="str">
        <x:v>Untreated pond/food/fecal route</x:v>
      </x:c>
      <x:c r="C5" s="48" t="str">
        <x:v>6–96 h seed</x:v>
      </x:c>
      <x:c r="D5" s="48" t="str">
        <x:v>Nausea, cramps, diarrhea/vomiting, malaise</x:v>
      </x:c>
      <x:c r="E5" s="76" t="str">
        <x:v>Hydration loss; stamina recovery; appetite; work interruption</x:v>
      </x:c>
      <x:c r="F5" s="48" t="str">
        <x:v>Clean fluid; rest; measured ORS if known; hygiene</x:v>
      </x:c>
      <x:c r="G5" s="48" t="str">
        <x:v>Boiling prevents future microbial exposure; does not cure existing illness</x:v>
      </x:c>
    </x:row>
    <x:row r="6">
      <x:c r="A6" s="49" t="str">
        <x:v>Persistent protozoal-like syndrome</x:v>
      </x:c>
      <x:c r="B6" s="49" t="str">
        <x:v>Untreated surface water</x:v>
      </x:c>
      <x:c r="C6" s="49" t="str">
        <x:v>1–2 weeks seed</x:v>
      </x:c>
      <x:c r="D6" s="49" t="str">
        <x:v>Prolonged watery stool, cramps, fatigue</x:v>
      </x:c>
      <x:c r="E6" s="77" t="str">
        <x:v>Long recovery debt; weight/nutrition; expedition restriction</x:v>
      </x:c>
      <x:c r="F6" s="49" t="str">
        <x:v>Hydration, nutrition, rest; advanced diagnosis/treatment</x:v>
      </x:c>
      <x:c r="G6" s="49" t="str">
        <x:v>Boiling prevents modeled exposure</x:v>
      </x:c>
    </x:row>
    <x:row r="7">
      <x:c r="A7" s="49" t="str">
        <x:v>Toxin-mediated GI</x:v>
      </x:c>
      <x:c r="B7" s="49" t="str">
        <x:v>Spoiled food or toxin</x:v>
      </x:c>
      <x:c r="C7" s="49" t="str">
        <x:v>Hours</x:v>
      </x:c>
      <x:c r="D7" s="49" t="str">
        <x:v>Abrupt nausea/vomiting/cramps</x:v>
      </x:c>
      <x:c r="E7" s="77" t="str">
        <x:v>Rapid fluid loss and control interruption</x:v>
      </x:c>
      <x:c r="F7" s="49" t="str">
        <x:v>Supportive hydration; source isolation</x:v>
      </x:c>
      <x:c r="G7" s="49" t="str">
        <x:v>Boiling may not neutralize preformed toxin</x:v>
      </x:c>
    </x:row>
    <x:row r="8">
      <x:c r="A8" s="49" t="str">
        <x:v>Algal/toxin exposure</x:v>
      </x:c>
      <x:c r="B8" s="49" t="str">
        <x:v>Bloom/scummed water</x:v>
      </x:c>
      <x:c r="C8" s="49" t="str">
        <x:v>Minutes–hours variable</x:v>
      </x:c>
      <x:c r="D8" s="49" t="str">
        <x:v>GI/neurologic/skin evidence by toxin class</x:v>
      </x:c>
      <x:c r="E8" s="77" t="str">
        <x:v>Cognition, balance, hydration, crisis</x:v>
      </x:c>
      <x:c r="F8" s="49" t="str">
        <x:v>Avoid source; decontaminate; advanced care</x:v>
      </x:c>
      <x:c r="G8" s="49" t="str">
        <x:v>Ordinary boiling is not accepted</x:v>
      </x:c>
    </x:row>
    <x:row r="9">
      <x:c r="A9" s="49" t="str">
        <x:v>Fuel/chemical ingestion</x:v>
      </x:c>
      <x:c r="B9" s="49" t="str">
        <x:v>Wreck runoff or contaminated vessel</x:v>
      </x:c>
      <x:c r="C9" s="49" t="str">
        <x:v>Minutes–hours variable</x:v>
      </x:c>
      <x:c r="D9" s="49" t="str">
        <x:v>Odor/taste, nausea, cough/neurologic evidence</x:v>
      </x:c>
      <x:c r="E9" s="77" t="str">
        <x:v>Breathing/cognition/health crisis</x:v>
      </x:c>
      <x:c r="F9" s="49" t="str">
        <x:v>Stop exposure; no induced vomiting; advanced care</x:v>
      </x:c>
      <x:c r="G9" s="49" t="str">
        <x:v>Boiling is specifically rejected</x:v>
      </x:c>
    </x:row>
    <x:row r="10">
      <x:c r="A10" s="49" t="str">
        <x:v>Saltwater dehydration</x:v>
      </x:c>
      <x:c r="B10" s="49" t="str">
        <x:v>Sea/brackish ingestion</x:v>
      </x:c>
      <x:c r="C10" s="49" t="str">
        <x:v>Immediate–hours</x:v>
      </x:c>
      <x:c r="D10" s="49" t="str">
        <x:v>Thirst worsens, nausea, weakness</x:v>
      </x:c>
      <x:c r="E10" s="77" t="str">
        <x:v>Hydration and cognition worsen</x:v>
      </x:c>
      <x:c r="F10" s="49" t="str">
        <x:v>Fresh treated water; rest; measured support</x:v>
      </x:c>
      <x:c r="G10" s="49" t="str">
        <x:v>Boiling without condensation worsens concentration</x:v>
      </x:c>
    </x:row>
    <x:row r="11">
      <x:c r="A11" s="49" t="str">
        <x:v>Water-associated febrile syndrome</x:v>
      </x:c>
      <x:c r="B11" s="49" t="str">
        <x:v>Contaminated water/contact + wounds/animals</x:v>
      </x:c>
      <x:c r="C11" s="49" t="str">
        <x:v>Days–weeks</x:v>
      </x:c>
      <x:c r="D11" s="49" t="str">
        <x:v>Fever, headache, muscle pain, malaise</x:v>
      </x:c>
      <x:c r="E11" s="77" t="str">
        <x:v>Energy, heat, gait, cognition</x:v>
      </x:c>
      <x:c r="F11" s="49" t="str">
        <x:v>Support + advanced diagnosis/treatment</x:v>
      </x:c>
      <x:c r="G11" s="49" t="str">
        <x:v>Boiling drinking water reduces one route only</x:v>
      </x:c>
    </x:row>
    <x:row r="12">
      <x:c r="A12" s="50" t="str">
        <x:v>Wound infection</x:v>
      </x:c>
      <x:c r="B12" s="50" t="str">
        <x:v>Contaminated cut/water/handling</x:v>
      </x:c>
      <x:c r="C12" s="50" t="str">
        <x:v>Days</x:v>
      </x:c>
      <x:c r="D12" s="50" t="str">
        <x:v>Increasing pain, warmth/redness, swelling, discharge, fever</x:v>
      </x:c>
      <x:c r="E12" s="78" t="str">
        <x:v>Grip/gait by location; systemic burden</x:v>
      </x:c>
      <x:c r="F12" s="50" t="str">
        <x:v>Clean/stabilize/monitor; advanced treatment if progressing</x:v>
      </x:c>
      <x:c r="G12" s="50" t="str">
        <x:v>Safe water and hygiene prevent some exposure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8e7071d9d1a40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24" hidden="0" customWidth="1"/>
    <x:col min="5" max="5" width="34" hidden="0" customWidth="1"/>
    <x:col min="6" max="6" width="30" hidden="0" customWidth="1"/>
    <x:col min="7" max="7" width="18" hidden="0" customWidth="1"/>
    <x:col min="8" max="8" width="38" hidden="0" customWidth="1"/>
  </x:cols>
  <x:sheetData>
    <x:row r="1" ht="30" customHeight="1">
      <x:c r="A1" s="3" t="str">
        <x:v>Water Vessel &amp; Treatment Craft Tree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Emergency container → treated batch → protected reserve → catchment → treatment train → distribution → distillation → public utility.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39" t="str">
        <x:v>Stage</x:v>
      </x:c>
      <x:c r="B4" s="40" t="str">
        <x:v>Capability</x:v>
      </x:c>
      <x:c r="C4" s="40" t="str">
        <x:v>Matter / prerequisites</x:v>
      </x:c>
      <x:c r="D4" s="40" t="str">
        <x:v>Workspace</x:v>
      </x:c>
      <x:c r="E4" s="40" t="str">
        <x:v>Operations</x:v>
      </x:c>
      <x:c r="F4" s="40" t="str">
        <x:v>Skill / knowledge</x:v>
      </x:c>
      <x:c r="G4" s="40" t="str">
        <x:v>Active time seed</x:v>
      </x:c>
      <x:c r="H4" s="41" t="str">
        <x:v>Failure / limit</x:v>
      </x:c>
    </x:row>
    <x:row r="5">
      <x:c r="A5" s="48" t="str">
        <x:v>W0</x:v>
      </x:c>
      <x:c r="B5" s="48" t="str">
        <x:v>Drink direct clean rain</x:v>
      </x:c>
      <x:c r="C5" s="48" t="str">
        <x:v>Rain</x:v>
      </x:c>
      <x:c r="D5" s="48" t="str">
        <x:v>Clean catch evidence</x:v>
      </x:c>
      <x:c r="E5" s="48" t="str">
        <x:v>observe/channel</x:v>
      </x:c>
      <x:c r="F5" s="48" t="str">
        <x:v>Source judgment</x:v>
      </x:c>
      <x:c r="G5" s="48" t="str">
        <x:v>1–5</x:v>
      </x:c>
      <x:c r="H5" s="48" t="str">
        <x:v>No storage; low volume</x:v>
      </x:c>
    </x:row>
    <x:row r="6">
      <x:c r="A6" s="49" t="str">
        <x:v>W1</x:v>
      </x:c>
      <x:c r="B6" s="49" t="str">
        <x:v>Coconut shell cup</x:v>
      </x:c>
      <x:c r="C6" s="49" t="str">
        <x:v>Coconut + cutting edge</x:v>
      </x:c>
      <x:c r="D6" s="49" t="str">
        <x:v>Work mat</x:v>
      </x:c>
      <x:c r="E6" s="49" t="str">
        <x:v>open/clean/stabilize</x:v>
      </x:c>
      <x:c r="F6" s="49" t="str">
        <x:v>Edge + hygiene</x:v>
      </x:c>
      <x:c r="G6" s="49" t="str">
        <x:v>5–15</x:v>
      </x:c>
      <x:c r="H6" s="49" t="str">
        <x:v>Small; cracks; spills</x:v>
      </x:c>
    </x:row>
    <x:row r="7">
      <x:c r="A7" s="49" t="str">
        <x:v>W2a</x:v>
      </x:c>
      <x:c r="B7" s="49" t="str">
        <x:v>Coconut direct-heat batch</x:v>
      </x:c>
      <x:c r="C7" s="49" t="str">
        <x:v>Shell cup + hearth + support + fuel</x:v>
      </x:c>
      <x:c r="D7" s="49" t="str">
        <x:v>Controlled hearth</x:v>
      </x:c>
      <x:c r="E7" s="49" t="str">
        <x:v>support/heat/manage/cool</x:v>
      </x:c>
      <x:c r="F7" s="49" t="str">
        <x:v>Fire + thermal</x:v>
      </x:c>
      <x:c r="G7" s="49" t="str">
        <x:v>10–30</x:v>
      </x:c>
      <x:c r="H7" s="49" t="str">
        <x:v>Small; slow; crack/scald</x:v>
      </x:c>
    </x:row>
    <x:row r="8">
      <x:c r="A8" s="49" t="str">
        <x:v>W2b</x:v>
      </x:c>
      <x:c r="B8" s="49" t="str">
        <x:v>Coconut hot-stone batch</x:v>
      </x:c>
      <x:c r="C8" s="49" t="str">
        <x:v>Shell + suitable stones + fire + transfer sticks</x:v>
      </x:c>
      <x:c r="D8" s="49" t="str">
        <x:v>Hearth</x:v>
      </x:c>
      <x:c r="E8" s="49" t="str">
        <x:v>heat/transfer/exchange</x:v>
      </x:c>
      <x:c r="F8" s="49" t="str">
        <x:v>Stone + fire</x:v>
      </x:c>
      <x:c r="G8" s="49" t="str">
        <x:v>20–45</x:v>
      </x:c>
      <x:c r="H8" s="49" t="str">
        <x:v>Burn/fracture/ash; low capacity</x:v>
      </x:c>
    </x:row>
    <x:row r="9">
      <x:c r="A9" s="49" t="str">
        <x:v>W2c</x:v>
      </x:c>
      <x:c r="B9" s="49" t="str">
        <x:v>Found pan route</x:v>
      </x:c>
      <x:c r="C9" s="49" t="str">
        <x:v>Recovered recognized cookware</x:v>
      </x:c>
      <x:c r="D9" s="49" t="str">
        <x:v>Clean surface + hearth</x:v>
      </x:c>
      <x:c r="E9" s="49" t="str">
        <x:v>inspect/clean/leak/heat test</x:v>
      </x:c>
      <x:c r="F9" s="49" t="str">
        <x:v>Salvage + hygiene + fire</x:v>
      </x:c>
      <x:c r="G9" s="49" t="str">
        <x:v>30–120</x:v>
      </x:c>
      <x:c r="H9" s="49" t="str">
        <x:v>Scarce; corrosion/coating</x:v>
      </x:c>
    </x:row>
    <x:row r="10">
      <x:c r="A10" s="49" t="str">
        <x:v>W2d</x:v>
      </x:c>
      <x:c r="B10" s="49" t="str">
        <x:v>Fired clay pot</x:v>
      </x:c>
      <x:c r="C10" s="49" t="str">
        <x:v>Clay + temper + water + fire</x:v>
      </x:c>
      <x:c r="D10" s="49" t="str">
        <x:v>Drying area + kiln/hearth</x:v>
      </x:c>
      <x:c r="E10" s="49" t="str">
        <x:v>prepare/form/dry/fire/test</x:v>
      </x:c>
      <x:c r="F10" s="49" t="str">
        <x:v>Clay + thermal</x:v>
      </x:c>
      <x:c r="G10" s="49" t="str">
        <x:v>60–180 active</x:v>
      </x:c>
      <x:c r="H10" s="49" t="str">
        <x:v>Crack/spall; passive days</x:v>
      </x:c>
    </x:row>
    <x:row r="11">
      <x:c r="A11" s="49" t="str">
        <x:v>W2e</x:v>
      </x:c>
      <x:c r="B11" s="49" t="str">
        <x:v>Hide/organic vessel</x:v>
      </x:c>
      <x:c r="C11" s="49" t="str">
        <x:v>Prepared hide + seam + support</x:v>
      </x:c>
      <x:c r="D11" s="49" t="str">
        <x:v>Clean work + hearth</x:v>
      </x:c>
      <x:c r="E11" s="49" t="str">
        <x:v>scrape/sew/seal/stone heat</x:v>
      </x:c>
      <x:c r="F11" s="49" t="str">
        <x:v>Hide + hygiene + heat</x:v>
      </x:c>
      <x:c r="G11" s="49" t="str">
        <x:v>120–360</x:v>
      </x:c>
      <x:c r="H11" s="49" t="str">
        <x:v>Variable heat/food safety</x:v>
      </x:c>
    </x:row>
    <x:row r="12">
      <x:c r="A12" s="49" t="str">
        <x:v>W3</x:v>
      </x:c>
      <x:c r="B12" s="49" t="str">
        <x:v>Covered reserve</x:v>
      </x:c>
      <x:c r="C12" s="49" t="str">
        <x:v>Qualified vessel + lid/closure + stand</x:v>
      </x:c>
      <x:c r="D12" s="49" t="str">
        <x:v>Storage station</x:v>
      </x:c>
      <x:c r="E12" s="49" t="str">
        <x:v>clean/fill/close/draw</x:v>
      </x:c>
      <x:c r="F12" s="49" t="str">
        <x:v>Hygiene + inventory</x:v>
      </x:c>
      <x:c r="G12" s="49" t="str">
        <x:v>20–60</x:v>
      </x:c>
      <x:c r="H12" s="49" t="str">
        <x:v>Recontamination</x:v>
      </x:c>
    </x:row>
    <x:row r="13">
      <x:c r="A13" s="49" t="str">
        <x:v>W4</x:v>
      </x:c>
      <x:c r="B13" s="49" t="str">
        <x:v>Rain catcher</x:v>
      </x:c>
      <x:c r="C13" s="49" t="str">
        <x:v>Clean barrier + frame + binding + vessel</x:v>
      </x:c>
      <x:c r="D13" s="49" t="str">
        <x:v>Roof/site</x:v>
      </x:c>
      <x:c r="E13" s="49" t="str">
        <x:v>tension/channel/first flush</x:v>
      </x:c>
      <x:c r="F13" s="49" t="str">
        <x:v>Construction + water</x:v>
      </x:c>
      <x:c r="G13" s="49" t="str">
        <x:v>60–240</x:v>
      </x:c>
      <x:c r="H13" s="49" t="str">
        <x:v>Storm/pest/surface contamination</x:v>
      </x:c>
    </x:row>
    <x:row r="14">
      <x:c r="A14" s="49" t="str">
        <x:v>W5</x:v>
      </x:c>
      <x:c r="B14" s="49" t="str">
        <x:v>Treatment train</x:v>
      </x:c>
      <x:c r="C14" s="49" t="str">
        <x:v>Settling + prefilter + qualified barrier/disinfection</x:v>
      </x:c>
      <x:c r="D14" s="49" t="str">
        <x:v>Water station</x:v>
      </x:c>
      <x:c r="E14" s="49" t="str">
        <x:v>flow/treat/test/maintain</x:v>
      </x:c>
      <x:c r="F14" s="49" t="str">
        <x:v>Water + fabrication</x:v>
      </x:c>
      <x:c r="G14" s="49" t="str">
        <x:v>120–600</x:v>
      </x:c>
      <x:c r="H14" s="49" t="str">
        <x:v>Breakthrough/false confidence</x:v>
      </x:c>
    </x:row>
    <x:row r="15">
      <x:c r="A15" s="49" t="str">
        <x:v>W6</x:v>
      </x:c>
      <x:c r="B15" s="49" t="str">
        <x:v>Aircraft-sheet boiling vessel</x:v>
      </x:c>
      <x:c r="C15" s="49" t="str">
        <x:v>Qualified clean sheet + fasteners/seam</x:v>
      </x:c>
      <x:c r="D15" s="49" t="str">
        <x:v>Salvage bench</x:v>
      </x:c>
      <x:c r="E15" s="49" t="str">
        <x:v>detach/clean/coupon/form/join/test</x:v>
      </x:c>
      <x:c r="F15" s="49" t="str">
        <x:v>Metal + food-contact</x:v>
      </x:c>
      <x:c r="G15" s="49" t="str">
        <x:v>180–720</x:v>
      </x:c>
      <x:c r="H15" s="49" t="str">
        <x:v>Most sheet rejected; leak/coating</x:v>
      </x:c>
    </x:row>
    <x:row r="16">
      <x:c r="A16" s="49" t="str">
        <x:v>W7</x:v>
      </x:c>
      <x:c r="B16" s="49" t="str">
        <x:v>Cistern and protected draw</x:v>
      </x:c>
      <x:c r="C16" s="49" t="str">
        <x:v>Tank + cover + inlet/overflow + outlet</x:v>
      </x:c>
      <x:c r="D16" s="49" t="str">
        <x:v>Working home</x:v>
      </x:c>
      <x:c r="E16" s="49" t="str">
        <x:v>site/seal/plumb/clean</x:v>
      </x:c>
      <x:c r="F16" s="49" t="str">
        <x:v>Construction + water</x:v>
      </x:c>
      <x:c r="G16" s="49" t="str">
        <x:v>360–1440</x:v>
      </x:c>
      <x:c r="H16" s="49" t="str">
        <x:v>Stagnation/leak/cross-connection</x:v>
      </x:c>
    </x:row>
    <x:row r="17">
      <x:c r="A17" s="49" t="str">
        <x:v>W8</x:v>
      </x:c>
      <x:c r="B17" s="49" t="str">
        <x:v>Hand pump/distribution</x:v>
      </x:c>
      <x:c r="C17" s="49" t="str">
        <x:v>Pipe/hose + valve + pump + seals</x:v>
      </x:c>
      <x:c r="D17" s="49" t="str">
        <x:v>Workshop</x:v>
      </x:c>
      <x:c r="E17" s="49" t="str">
        <x:v>fit/prime/pressure/leak test</x:v>
      </x:c>
      <x:c r="F17" s="49" t="str">
        <x:v>Mechanics + water</x:v>
      </x:c>
      <x:c r="G17" s="49" t="str">
        <x:v>360–1200</x:v>
      </x:c>
      <x:c r="H17" s="49" t="str">
        <x:v>Maintenance and contamination</x:v>
      </x:c>
    </x:row>
    <x:row r="18">
      <x:c r="A18" s="49" t="str">
        <x:v>W9</x:v>
      </x:c>
      <x:c r="B18" s="49" t="str">
        <x:v>Distiller/desalinator</x:v>
      </x:c>
      <x:c r="C18" s="49" t="str">
        <x:v>Boiler + vapor path + condenser + receiver</x:v>
      </x:c>
      <x:c r="D18" s="49" t="str">
        <x:v>Thermal workshop</x:v>
      </x:c>
      <x:c r="E18" s="49" t="str">
        <x:v>heat/condense/separate/clean</x:v>
      </x:c>
      <x:c r="F18" s="49" t="str">
        <x:v>Thermal + metal/ceramic</x:v>
      </x:c>
      <x:c r="G18" s="49" t="str">
        <x:v>480–2400</x:v>
      </x:c>
      <x:c r="H18" s="49" t="str">
        <x:v>Energy/scale/volatile chemicals</x:v>
      </x:c>
    </x:row>
    <x:row r="19">
      <x:c r="A19" s="50" t="str">
        <x:v>W10</x:v>
      </x:c>
      <x:c r="B19" s="50" t="str">
        <x:v>Community water utility</x:v>
      </x:c>
      <x:c r="C19" s="50" t="str">
        <x:v>Multiple sources + isolation + storage + distribution + archive</x:v>
      </x:c>
      <x:c r="D19" s="50" t="str">
        <x:v>Settlement utility</x:v>
      </x:c>
      <x:c r="E19" s="50" t="str">
        <x:v>operate/monitor/repair/govern</x:v>
      </x:c>
      <x:c r="F19" s="50" t="str">
        <x:v>Water + engineering + public health</x:v>
      </x:c>
      <x:c r="G19" s="50" t="str">
        <x:v>Major project</x:v>
      </x:c>
      <x:c r="H19" s="50" t="str">
        <x:v>Governance/sabotage/maintenance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9171d58dafa4a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6" hidden="0" customWidth="1"/>
    <x:col min="5" max="5" width="12" hidden="0" customWidth="1"/>
    <x:col min="6" max="6" width="44" hidden="0" customWidth="1"/>
    <x:col min="7" max="7" width="36" hidden="0" customWidth="1"/>
    <x:col min="8" max="8" width="28" hidden="0" customWidth="1"/>
    <x:col min="9" max="9" width="24" hidden="0" customWidth="1"/>
    <x:col min="10" max="10" width="34" hidden="0" customWidth="1"/>
    <x:col min="11" max="11" width="22" hidden="0" customWidth="1"/>
    <x:col min="12" max="12" width="12" hidden="0" customWidth="1"/>
    <x:col min="13" max="13" width="12" hidden="0" customWidth="1"/>
    <x:col min="14" max="14" width="36" hidden="0" customWidth="1"/>
    <x:col min="15" max="15" width="34" hidden="0" customWidth="1"/>
    <x:col min="16" max="16" width="24" hidden="0" customWidth="1"/>
    <x:col min="17" max="17" width="12" hidden="0" customWidth="1"/>
    <x:col min="18" max="18" width="12" hidden="0" customWidth="1"/>
    <x:col min="19" max="19" width="12" hidden="0" customWidth="1"/>
    <x:col min="20" max="20" width="18" hidden="0" customWidth="1"/>
  </x:cols>
  <x:sheetData>
    <x:row r="1" ht="30" customHeight="1">
      <x:c r="A1" s="3" t="str">
        <x:v>Canonical Survival-Manufacture Nodes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2" customHeight="1">
      <x:c r="A2" s="7" t="str">
        <x:v>All canonical capability families required from arrival to legacy and return. Cosmetic variants inherit graph records. Formula columns audit reachability and downstream use.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39" t="str">
        <x:v>Node ID</x:v>
      </x:c>
      <x:c r="B4" s="40" t="str">
        <x:v>Name</x:v>
      </x:c>
      <x:c r="C4" s="40" t="str">
        <x:v>Domain</x:v>
      </x:c>
      <x:c r="D4" s="40" t="str">
        <x:v>Class</x:v>
      </x:c>
      <x:c r="E4" s="40" t="str">
        <x:v>Threshold</x:v>
      </x:c>
      <x:c r="F4" s="40" t="str">
        <x:v>Inputs</x:v>
      </x:c>
      <x:c r="G4" s="40" t="str">
        <x:v>Operations</x:v>
      </x:c>
      <x:c r="H4" s="40" t="str">
        <x:v>Required tools</x:v>
      </x:c>
      <x:c r="I4" s="40" t="str">
        <x:v>Workspace</x:v>
      </x:c>
      <x:c r="J4" s="40" t="str">
        <x:v>Skills/knowledge</x:v>
      </x:c>
      <x:c r="K4" s="40" t="str">
        <x:v>Body demand</x:v>
      </x:c>
      <x:c r="L4" s="40" t="str">
        <x:v>Active min</x:v>
      </x:c>
      <x:c r="M4" s="40" t="str">
        <x:v>Passive min</x:v>
      </x:c>
      <x:c r="N4" s="40" t="str">
        <x:v>Qualification test</x:v>
      </x:c>
      <x:c r="O4" s="40" t="str">
        <x:v>Failure</x:v>
      </x:c>
      <x:c r="P4" s="40" t="str">
        <x:v>Substitute</x:v>
      </x:c>
      <x:c r="Q4" s="40" t="str">
        <x:v>Endpoint?</x:v>
      </x:c>
      <x:c r="R4" s="40" t="str">
        <x:v>Incoming edges</x:v>
      </x:c>
      <x:c r="S4" s="40" t="str">
        <x:v>Outgoing uses</x:v>
      </x:c>
      <x:c r="T4" s="41" t="str">
        <x:v>Node audit</x:v>
      </x:c>
    </x:row>
    <x:row r="5">
      <x:c r="A5" s="48" t="str">
        <x:v>S-RAIN</x:v>
      </x:c>
      <x:c r="B5" s="48" t="str">
        <x:v>Fresh rain</x:v>
      </x:c>
      <x:c r="C5" s="48" t="str">
        <x:v>Water</x:v>
      </x:c>
      <x:c r="D5" s="48" t="str">
        <x:v>Source</x:v>
      </x:c>
      <x:c r="E5" s="48" t="str">
        <x:v>H0</x:v>
      </x:c>
      <x:c r="F5" s="48" t="str"/>
      <x:c r="G5" s="48" t="str">
        <x:v>find / inspect / recover</x:v>
      </x:c>
      <x:c r="H5" s="48" t="str"/>
      <x:c r="I5" s="48" t="str">
        <x:v>world</x:v>
      </x:c>
      <x:c r="J5" s="48" t="str">
        <x:v>observation / provenance</x:v>
      </x:c>
      <x:c r="K5" s="48" t="str">
        <x:v>variable</x:v>
      </x:c>
      <x:c r="L5" s="70" t="n">
        <x:v>0</x:v>
      </x:c>
      <x:c r="M5" s="70" t="n">
        <x:v>0</x:v>
      </x:c>
      <x:c r="N5" s="48" t="str">
        <x:v>identity and condition evidence</x:v>
      </x:c>
      <x:c r="O5" s="48" t="str">
        <x:v>inaccessible / contaminated / degraded</x:v>
      </x:c>
      <x:c r="P5" s="48" t="str"/>
      <x:c r="Q5" s="48" t="str">
        <x:v>No</x:v>
      </x:c>
      <x:c r="R5" s="70" t="n">
        <x:f>COUNTIF('Dependency Edges'!$B$5:$B$700,A5)</x:f>
        <x:v>0</x:v>
      </x:c>
      <x:c r="S5" s="70" t="n">
        <x:f>COUNTIF('Dependency Edges'!$A$5:$A$700,A5)</x:f>
        <x:v>1</x:v>
      </x:c>
      <x:c r="T5" s="48" t="str">
        <x:f>IF(AND(D5&lt;&gt;"Source",R5=0),"MISSING INPUT",IF(AND(Q5&lt;&gt;"Yes",S5=0),"NO DOWNSTREAM","OK"))</x:f>
        <x:v>OK</x:v>
      </x:c>
    </x:row>
    <x:row r="6">
      <x:c r="A6" s="49" t="str">
        <x:v>S-SPRING</x:v>
      </x:c>
      <x:c r="B6" s="49" t="str">
        <x:v>Spring/seep water</x:v>
      </x:c>
      <x:c r="C6" s="49" t="str">
        <x:v>Water</x:v>
      </x:c>
      <x:c r="D6" s="49" t="str">
        <x:v>Source</x:v>
      </x:c>
      <x:c r="E6" s="49" t="str">
        <x:v>H0</x:v>
      </x:c>
      <x:c r="F6" s="49" t="str"/>
      <x:c r="G6" s="49" t="str">
        <x:v>find / inspect / recover</x:v>
      </x:c>
      <x:c r="H6" s="49" t="str"/>
      <x:c r="I6" s="49" t="str">
        <x:v>world</x:v>
      </x:c>
      <x:c r="J6" s="49" t="str">
        <x:v>observation / provenance</x:v>
      </x:c>
      <x:c r="K6" s="49" t="str">
        <x:v>variable</x:v>
      </x:c>
      <x:c r="L6" s="71" t="n">
        <x:v>0</x:v>
      </x:c>
      <x:c r="M6" s="71" t="n">
        <x:v>0</x:v>
      </x:c>
      <x:c r="N6" s="49" t="str">
        <x:v>identity and condition evidence</x:v>
      </x:c>
      <x:c r="O6" s="49" t="str">
        <x:v>inaccessible / contaminated / degraded</x:v>
      </x:c>
      <x:c r="P6" s="49" t="str"/>
      <x:c r="Q6" s="49" t="str">
        <x:v>No</x:v>
      </x:c>
      <x:c r="R6" s="71" t="n">
        <x:f>COUNTIF('Dependency Edges'!$B$5:$B$700,A6)</x:f>
        <x:v>0</x:v>
      </x:c>
      <x:c r="S6" s="71" t="n">
        <x:f>COUNTIF('Dependency Edges'!$A$5:$A$700,A6)</x:f>
        <x:v>1</x:v>
      </x:c>
      <x:c r="T6" s="49" t="str">
        <x:f>IF(AND(D6&lt;&gt;"Source",R6=0),"MISSING INPUT",IF(AND(Q6&lt;&gt;"Yes",S6=0),"NO DOWNSTREAM","OK"))</x:f>
        <x:v>OK</x:v>
      </x:c>
    </x:row>
    <x:row r="7">
      <x:c r="A7" s="49" t="str">
        <x:v>S-STREAM</x:v>
      </x:c>
      <x:c r="B7" s="49" t="str">
        <x:v>Stream water</x:v>
      </x:c>
      <x:c r="C7" s="49" t="str">
        <x:v>Water</x:v>
      </x:c>
      <x:c r="D7" s="49" t="str">
        <x:v>Source</x:v>
      </x:c>
      <x:c r="E7" s="49" t="str">
        <x:v>H0</x:v>
      </x:c>
      <x:c r="F7" s="49" t="str"/>
      <x:c r="G7" s="49" t="str">
        <x:v>find / inspect / recover</x:v>
      </x:c>
      <x:c r="H7" s="49" t="str"/>
      <x:c r="I7" s="49" t="str">
        <x:v>world</x:v>
      </x:c>
      <x:c r="J7" s="49" t="str">
        <x:v>observation / provenance</x:v>
      </x:c>
      <x:c r="K7" s="49" t="str">
        <x:v>variable</x:v>
      </x:c>
      <x:c r="L7" s="71" t="n">
        <x:v>0</x:v>
      </x:c>
      <x:c r="M7" s="71" t="n">
        <x:v>0</x:v>
      </x:c>
      <x:c r="N7" s="49" t="str">
        <x:v>identity and condition evidence</x:v>
      </x:c>
      <x:c r="O7" s="49" t="str">
        <x:v>inaccessible / contaminated / degraded</x:v>
      </x:c>
      <x:c r="P7" s="49" t="str"/>
      <x:c r="Q7" s="49" t="str">
        <x:v>No</x:v>
      </x:c>
      <x:c r="R7" s="71" t="n">
        <x:f>COUNTIF('Dependency Edges'!$B$5:$B$700,A7)</x:f>
        <x:v>0</x:v>
      </x:c>
      <x:c r="S7" s="71" t="n">
        <x:f>COUNTIF('Dependency Edges'!$A$5:$A$700,A7)</x:f>
        <x:v>1</x:v>
      </x:c>
      <x:c r="T7" s="49" t="str">
        <x:f>IF(AND(D7&lt;&gt;"Source",R7=0),"MISSING INPUT",IF(AND(Q7&lt;&gt;"Yes",S7=0),"NO DOWNSTREAM","OK"))</x:f>
        <x:v>OK</x:v>
      </x:c>
    </x:row>
    <x:row r="8">
      <x:c r="A8" s="49" t="str">
        <x:v>S-POND</x:v>
      </x:c>
      <x:c r="B8" s="49" t="str">
        <x:v>Pond water</x:v>
      </x:c>
      <x:c r="C8" s="49" t="str">
        <x:v>Water</x:v>
      </x:c>
      <x:c r="D8" s="49" t="str">
        <x:v>Source</x:v>
      </x:c>
      <x:c r="E8" s="49" t="str">
        <x:v>H0</x:v>
      </x:c>
      <x:c r="F8" s="49" t="str"/>
      <x:c r="G8" s="49" t="str">
        <x:v>find / inspect / recover</x:v>
      </x:c>
      <x:c r="H8" s="49" t="str"/>
      <x:c r="I8" s="49" t="str">
        <x:v>world</x:v>
      </x:c>
      <x:c r="J8" s="49" t="str">
        <x:v>observation / provenance</x:v>
      </x:c>
      <x:c r="K8" s="49" t="str">
        <x:v>variable</x:v>
      </x:c>
      <x:c r="L8" s="71" t="n">
        <x:v>0</x:v>
      </x:c>
      <x:c r="M8" s="71" t="n">
        <x:v>0</x:v>
      </x:c>
      <x:c r="N8" s="49" t="str">
        <x:v>identity and condition evidence</x:v>
      </x:c>
      <x:c r="O8" s="49" t="str">
        <x:v>inaccessible / contaminated / degraded</x:v>
      </x:c>
      <x:c r="P8" s="49" t="str"/>
      <x:c r="Q8" s="49" t="str">
        <x:v>No</x:v>
      </x:c>
      <x:c r="R8" s="71" t="n">
        <x:f>COUNTIF('Dependency Edges'!$B$5:$B$700,A8)</x:f>
        <x:v>0</x:v>
      </x:c>
      <x:c r="S8" s="71" t="n">
        <x:f>COUNTIF('Dependency Edges'!$A$5:$A$700,A8)</x:f>
        <x:v>1</x:v>
      </x:c>
      <x:c r="T8" s="49" t="str">
        <x:f>IF(AND(D8&lt;&gt;"Source",R8=0),"MISSING INPUT",IF(AND(Q8&lt;&gt;"Yes",S8=0),"NO DOWNSTREAM","OK"))</x:f>
        <x:v>OK</x:v>
      </x:c>
    </x:row>
    <x:row r="9">
      <x:c r="A9" s="49" t="str">
        <x:v>S-SEA</x:v>
      </x:c>
      <x:c r="B9" s="49" t="str">
        <x:v>Seawater</x:v>
      </x:c>
      <x:c r="C9" s="49" t="str">
        <x:v>Water</x:v>
      </x:c>
      <x:c r="D9" s="49" t="str">
        <x:v>Source</x:v>
      </x:c>
      <x:c r="E9" s="49" t="str">
        <x:v>H0</x:v>
      </x:c>
      <x:c r="F9" s="49" t="str"/>
      <x:c r="G9" s="49" t="str">
        <x:v>find / inspect / recover</x:v>
      </x:c>
      <x:c r="H9" s="49" t="str"/>
      <x:c r="I9" s="49" t="str">
        <x:v>world</x:v>
      </x:c>
      <x:c r="J9" s="49" t="str">
        <x:v>observation / provenance</x:v>
      </x:c>
      <x:c r="K9" s="49" t="str">
        <x:v>variable</x:v>
      </x:c>
      <x:c r="L9" s="71" t="n">
        <x:v>0</x:v>
      </x:c>
      <x:c r="M9" s="71" t="n">
        <x:v>0</x:v>
      </x:c>
      <x:c r="N9" s="49" t="str">
        <x:v>identity and condition evidence</x:v>
      </x:c>
      <x:c r="O9" s="49" t="str">
        <x:v>inaccessible / contaminated / degraded</x:v>
      </x:c>
      <x:c r="P9" s="49" t="str"/>
      <x:c r="Q9" s="49" t="str">
        <x:v>No</x:v>
      </x:c>
      <x:c r="R9" s="71" t="n">
        <x:f>COUNTIF('Dependency Edges'!$B$5:$B$700,A9)</x:f>
        <x:v>0</x:v>
      </x:c>
      <x:c r="S9" s="71" t="n">
        <x:f>COUNTIF('Dependency Edges'!$A$5:$A$700,A9)</x:f>
        <x:v>1</x:v>
      </x:c>
      <x:c r="T9" s="49" t="str">
        <x:f>IF(AND(D9&lt;&gt;"Source",R9=0),"MISSING INPUT",IF(AND(Q9&lt;&gt;"Yes",S9=0),"NO DOWNSTREAM","OK"))</x:f>
        <x:v>OK</x:v>
      </x:c>
    </x:row>
    <x:row r="10">
      <x:c r="A10" s="49" t="str">
        <x:v>S-COCONUT</x:v>
      </x:c>
      <x:c r="B10" s="49" t="str">
        <x:v>Coconut</x:v>
      </x:c>
      <x:c r="C10" s="49" t="str">
        <x:v>Biological</x:v>
      </x:c>
      <x:c r="D10" s="49" t="str">
        <x:v>Source</x:v>
      </x:c>
      <x:c r="E10" s="49" t="str">
        <x:v>H0</x:v>
      </x:c>
      <x:c r="F10" s="49" t="str"/>
      <x:c r="G10" s="49" t="str">
        <x:v>find / inspect / recover</x:v>
      </x:c>
      <x:c r="H10" s="49" t="str"/>
      <x:c r="I10" s="49" t="str">
        <x:v>world</x:v>
      </x:c>
      <x:c r="J10" s="49" t="str">
        <x:v>observation / provenance</x:v>
      </x:c>
      <x:c r="K10" s="49" t="str">
        <x:v>variable</x:v>
      </x:c>
      <x:c r="L10" s="71" t="n">
        <x:v>0</x:v>
      </x:c>
      <x:c r="M10" s="71" t="n">
        <x:v>0</x:v>
      </x:c>
      <x:c r="N10" s="49" t="str">
        <x:v>identity and condition evidence</x:v>
      </x:c>
      <x:c r="O10" s="49" t="str">
        <x:v>inaccessible / contaminated / degraded</x:v>
      </x:c>
      <x:c r="P10" s="49" t="str"/>
      <x:c r="Q10" s="49" t="str">
        <x:v>No</x:v>
      </x:c>
      <x:c r="R10" s="71" t="n">
        <x:f>COUNTIF('Dependency Edges'!$B$5:$B$700,A10)</x:f>
        <x:v>0</x:v>
      </x:c>
      <x:c r="S10" s="71" t="n">
        <x:f>COUNTIF('Dependency Edges'!$A$5:$A$700,A10)</x:f>
        <x:v>1</x:v>
      </x:c>
      <x:c r="T10" s="49" t="str">
        <x:f>IF(AND(D10&lt;&gt;"Source",R10=0),"MISSING INPUT",IF(AND(Q10&lt;&gt;"Yes",S10=0),"NO DOWNSTREAM","OK"))</x:f>
        <x:v>OK</x:v>
      </x:c>
    </x:row>
    <x:row r="11">
      <x:c r="A11" s="49" t="str">
        <x:v>S-TIMBER</x:v>
      </x:c>
      <x:c r="B11" s="49" t="str">
        <x:v>Timber/driftwood</x:v>
      </x:c>
      <x:c r="C11" s="49" t="str">
        <x:v>Material</x:v>
      </x:c>
      <x:c r="D11" s="49" t="str">
        <x:v>Source</x:v>
      </x:c>
      <x:c r="E11" s="49" t="str">
        <x:v>H0</x:v>
      </x:c>
      <x:c r="F11" s="49" t="str"/>
      <x:c r="G11" s="49" t="str">
        <x:v>find / inspect / recover</x:v>
      </x:c>
      <x:c r="H11" s="49" t="str"/>
      <x:c r="I11" s="49" t="str">
        <x:v>world</x:v>
      </x:c>
      <x:c r="J11" s="49" t="str">
        <x:v>observation / provenance</x:v>
      </x:c>
      <x:c r="K11" s="49" t="str">
        <x:v>variable</x:v>
      </x:c>
      <x:c r="L11" s="71" t="n">
        <x:v>0</x:v>
      </x:c>
      <x:c r="M11" s="71" t="n">
        <x:v>0</x:v>
      </x:c>
      <x:c r="N11" s="49" t="str">
        <x:v>identity and condition evidence</x:v>
      </x:c>
      <x:c r="O11" s="49" t="str">
        <x:v>inaccessible / contaminated / degraded</x:v>
      </x:c>
      <x:c r="P11" s="49" t="str"/>
      <x:c r="Q11" s="49" t="str">
        <x:v>No</x:v>
      </x:c>
      <x:c r="R11" s="71" t="n">
        <x:f>COUNTIF('Dependency Edges'!$B$5:$B$700,A11)</x:f>
        <x:v>0</x:v>
      </x:c>
      <x:c r="S11" s="71" t="n">
        <x:f>COUNTIF('Dependency Edges'!$A$5:$A$700,A11)</x:f>
        <x:v>4</x:v>
      </x:c>
      <x:c r="T11" s="49" t="str">
        <x:f>IF(AND(D11&lt;&gt;"Source",R11=0),"MISSING INPUT",IF(AND(Q11&lt;&gt;"Yes",S11=0),"NO DOWNSTREAM","OK"))</x:f>
        <x:v>OK</x:v>
      </x:c>
    </x:row>
    <x:row r="12">
      <x:c r="A12" s="49" t="str">
        <x:v>S-FIBER</x:v>
      </x:c>
      <x:c r="B12" s="49" t="str">
        <x:v>Natural fiber</x:v>
      </x:c>
      <x:c r="C12" s="49" t="str">
        <x:v>Material</x:v>
      </x:c>
      <x:c r="D12" s="49" t="str">
        <x:v>Source</x:v>
      </x:c>
      <x:c r="E12" s="49" t="str">
        <x:v>H0</x:v>
      </x:c>
      <x:c r="F12" s="49" t="str"/>
      <x:c r="G12" s="49" t="str">
        <x:v>find / inspect / recover</x:v>
      </x:c>
      <x:c r="H12" s="49" t="str"/>
      <x:c r="I12" s="49" t="str">
        <x:v>world</x:v>
      </x:c>
      <x:c r="J12" s="49" t="str">
        <x:v>observation / provenance</x:v>
      </x:c>
      <x:c r="K12" s="49" t="str">
        <x:v>variable</x:v>
      </x:c>
      <x:c r="L12" s="71" t="n">
        <x:v>0</x:v>
      </x:c>
      <x:c r="M12" s="71" t="n">
        <x:v>0</x:v>
      </x:c>
      <x:c r="N12" s="49" t="str">
        <x:v>identity and condition evidence</x:v>
      </x:c>
      <x:c r="O12" s="49" t="str">
        <x:v>inaccessible / contaminated / degraded</x:v>
      </x:c>
      <x:c r="P12" s="49" t="str"/>
      <x:c r="Q12" s="49" t="str">
        <x:v>No</x:v>
      </x:c>
      <x:c r="R12" s="71" t="n">
        <x:f>COUNTIF('Dependency Edges'!$B$5:$B$700,A12)</x:f>
        <x:v>0</x:v>
      </x:c>
      <x:c r="S12" s="71" t="n">
        <x:f>COUNTIF('Dependency Edges'!$A$5:$A$700,A12)</x:f>
        <x:v>3</x:v>
      </x:c>
      <x:c r="T12" s="49" t="str">
        <x:f>IF(AND(D12&lt;&gt;"Source",R12=0),"MISSING INPUT",IF(AND(Q12&lt;&gt;"Yes",S12=0),"NO DOWNSTREAM","OK"))</x:f>
        <x:v>OK</x:v>
      </x:c>
    </x:row>
    <x:row r="13">
      <x:c r="A13" s="49" t="str">
        <x:v>S-STONE</x:v>
      </x:c>
      <x:c r="B13" s="49" t="str">
        <x:v>Stone/mineral</x:v>
      </x:c>
      <x:c r="C13" s="49" t="str">
        <x:v>Material</x:v>
      </x:c>
      <x:c r="D13" s="49" t="str">
        <x:v>Source</x:v>
      </x:c>
      <x:c r="E13" s="49" t="str">
        <x:v>H0</x:v>
      </x:c>
      <x:c r="F13" s="49" t="str"/>
      <x:c r="G13" s="49" t="str">
        <x:v>find / inspect / recover</x:v>
      </x:c>
      <x:c r="H13" s="49" t="str"/>
      <x:c r="I13" s="49" t="str">
        <x:v>world</x:v>
      </x:c>
      <x:c r="J13" s="49" t="str">
        <x:v>observation / provenance</x:v>
      </x:c>
      <x:c r="K13" s="49" t="str">
        <x:v>variable</x:v>
      </x:c>
      <x:c r="L13" s="71" t="n">
        <x:v>0</x:v>
      </x:c>
      <x:c r="M13" s="71" t="n">
        <x:v>0</x:v>
      </x:c>
      <x:c r="N13" s="49" t="str">
        <x:v>identity and condition evidence</x:v>
      </x:c>
      <x:c r="O13" s="49" t="str">
        <x:v>inaccessible / contaminated / degraded</x:v>
      </x:c>
      <x:c r="P13" s="49" t="str"/>
      <x:c r="Q13" s="49" t="str">
        <x:v>No</x:v>
      </x:c>
      <x:c r="R13" s="71" t="n">
        <x:f>COUNTIF('Dependency Edges'!$B$5:$B$700,A13)</x:f>
        <x:v>0</x:v>
      </x:c>
      <x:c r="S13" s="71" t="n">
        <x:f>COUNTIF('Dependency Edges'!$A$5:$A$700,A13)</x:f>
        <x:v>8</x:v>
      </x:c>
      <x:c r="T13" s="49" t="str">
        <x:f>IF(AND(D13&lt;&gt;"Source",R13=0),"MISSING INPUT",IF(AND(Q13&lt;&gt;"Yes",S13=0),"NO DOWNSTREAM","OK"))</x:f>
        <x:v>OK</x:v>
      </x:c>
    </x:row>
    <x:row r="14">
      <x:c r="A14" s="49" t="str">
        <x:v>S-CLAY</x:v>
      </x:c>
      <x:c r="B14" s="49" t="str">
        <x:v>Clay</x:v>
      </x:c>
      <x:c r="C14" s="49" t="str">
        <x:v>Material</x:v>
      </x:c>
      <x:c r="D14" s="49" t="str">
        <x:v>Source</x:v>
      </x:c>
      <x:c r="E14" s="49" t="str">
        <x:v>H0</x:v>
      </x:c>
      <x:c r="F14" s="49" t="str"/>
      <x:c r="G14" s="49" t="str">
        <x:v>find / inspect / recover</x:v>
      </x:c>
      <x:c r="H14" s="49" t="str"/>
      <x:c r="I14" s="49" t="str">
        <x:v>world</x:v>
      </x:c>
      <x:c r="J14" s="49" t="str">
        <x:v>observation / provenance</x:v>
      </x:c>
      <x:c r="K14" s="49" t="str">
        <x:v>variable</x:v>
      </x:c>
      <x:c r="L14" s="71" t="n">
        <x:v>0</x:v>
      </x:c>
      <x:c r="M14" s="71" t="n">
        <x:v>0</x:v>
      </x:c>
      <x:c r="N14" s="49" t="str">
        <x:v>identity and condition evidence</x:v>
      </x:c>
      <x:c r="O14" s="49" t="str">
        <x:v>inaccessible / contaminated / degraded</x:v>
      </x:c>
      <x:c r="P14" s="49" t="str"/>
      <x:c r="Q14" s="49" t="str">
        <x:v>No</x:v>
      </x:c>
      <x:c r="R14" s="71" t="n">
        <x:f>COUNTIF('Dependency Edges'!$B$5:$B$700,A14)</x:f>
        <x:v>0</x:v>
      </x:c>
      <x:c r="S14" s="71" t="n">
        <x:f>COUNTIF('Dependency Edges'!$A$5:$A$700,A14)</x:f>
        <x:v>1</x:v>
      </x:c>
      <x:c r="T14" s="49" t="str">
        <x:f>IF(AND(D14&lt;&gt;"Source",R14=0),"MISSING INPUT",IF(AND(Q14&lt;&gt;"Yes",S14=0),"NO DOWNSTREAM","OK"))</x:f>
        <x:v>OK</x:v>
      </x:c>
    </x:row>
    <x:row r="15">
      <x:c r="A15" s="49" t="str">
        <x:v>S-SAND</x:v>
      </x:c>
      <x:c r="B15" s="49" t="str">
        <x:v>Sand/gravel</x:v>
      </x:c>
      <x:c r="C15" s="49" t="str">
        <x:v>Material</x:v>
      </x:c>
      <x:c r="D15" s="49" t="str">
        <x:v>Source</x:v>
      </x:c>
      <x:c r="E15" s="49" t="str">
        <x:v>H0</x:v>
      </x:c>
      <x:c r="F15" s="49" t="str"/>
      <x:c r="G15" s="49" t="str">
        <x:v>find / inspect / recover</x:v>
      </x:c>
      <x:c r="H15" s="49" t="str"/>
      <x:c r="I15" s="49" t="str">
        <x:v>world</x:v>
      </x:c>
      <x:c r="J15" s="49" t="str">
        <x:v>observation / provenance</x:v>
      </x:c>
      <x:c r="K15" s="49" t="str">
        <x:v>variable</x:v>
      </x:c>
      <x:c r="L15" s="71" t="n">
        <x:v>0</x:v>
      </x:c>
      <x:c r="M15" s="71" t="n">
        <x:v>0</x:v>
      </x:c>
      <x:c r="N15" s="49" t="str">
        <x:v>identity and condition evidence</x:v>
      </x:c>
      <x:c r="O15" s="49" t="str">
        <x:v>inaccessible / contaminated / degraded</x:v>
      </x:c>
      <x:c r="P15" s="49" t="str"/>
      <x:c r="Q15" s="49" t="str">
        <x:v>No</x:v>
      </x:c>
      <x:c r="R15" s="71" t="n">
        <x:f>COUNTIF('Dependency Edges'!$B$5:$B$700,A15)</x:f>
        <x:v>0</x:v>
      </x:c>
      <x:c r="S15" s="71" t="n">
        <x:f>COUNTIF('Dependency Edges'!$A$5:$A$700,A15)</x:f>
        <x:v>2</x:v>
      </x:c>
      <x:c r="T15" s="49" t="str">
        <x:f>IF(AND(D15&lt;&gt;"Source",R15=0),"MISSING INPUT",IF(AND(Q15&lt;&gt;"Yes",S15=0),"NO DOWNSTREAM","OK"))</x:f>
        <x:v>OK</x:v>
      </x:c>
    </x:row>
    <x:row r="16">
      <x:c r="A16" s="49" t="str">
        <x:v>S-RESIN</x:v>
      </x:c>
      <x:c r="B16" s="49" t="str">
        <x:v>Resin/pitch source</x:v>
      </x:c>
      <x:c r="C16" s="49" t="str">
        <x:v>Biological</x:v>
      </x:c>
      <x:c r="D16" s="49" t="str">
        <x:v>Source</x:v>
      </x:c>
      <x:c r="E16" s="49" t="str">
        <x:v>H0</x:v>
      </x:c>
      <x:c r="F16" s="49" t="str"/>
      <x:c r="G16" s="49" t="str">
        <x:v>find / inspect / recover</x:v>
      </x:c>
      <x:c r="H16" s="49" t="str"/>
      <x:c r="I16" s="49" t="str">
        <x:v>world</x:v>
      </x:c>
      <x:c r="J16" s="49" t="str">
        <x:v>observation / provenance</x:v>
      </x:c>
      <x:c r="K16" s="49" t="str">
        <x:v>variable</x:v>
      </x:c>
      <x:c r="L16" s="71" t="n">
        <x:v>0</x:v>
      </x:c>
      <x:c r="M16" s="71" t="n">
        <x:v>0</x:v>
      </x:c>
      <x:c r="N16" s="49" t="str">
        <x:v>identity and condition evidence</x:v>
      </x:c>
      <x:c r="O16" s="49" t="str">
        <x:v>inaccessible / contaminated / degraded</x:v>
      </x:c>
      <x:c r="P16" s="49" t="str"/>
      <x:c r="Q16" s="49" t="str">
        <x:v>No</x:v>
      </x:c>
      <x:c r="R16" s="71" t="n">
        <x:f>COUNTIF('Dependency Edges'!$B$5:$B$700,A16)</x:f>
        <x:v>0</x:v>
      </x:c>
      <x:c r="S16" s="71" t="n">
        <x:f>COUNTIF('Dependency Edges'!$A$5:$A$700,A16)</x:f>
        <x:v>1</x:v>
      </x:c>
      <x:c r="T16" s="49" t="str">
        <x:f>IF(AND(D16&lt;&gt;"Source",R16=0),"MISSING INPUT",IF(AND(Q16&lt;&gt;"Yes",S16=0),"NO DOWNSTREAM","OK"))</x:f>
        <x:v>OK</x:v>
      </x:c>
    </x:row>
    <x:row r="17">
      <x:c r="A17" s="49" t="str">
        <x:v>S-HIDE</x:v>
      </x:c>
      <x:c r="B17" s="49" t="str">
        <x:v>Hide/skin</x:v>
      </x:c>
      <x:c r="C17" s="49" t="str">
        <x:v>Biological</x:v>
      </x:c>
      <x:c r="D17" s="49" t="str">
        <x:v>Source</x:v>
      </x:c>
      <x:c r="E17" s="49" t="str">
        <x:v>H0</x:v>
      </x:c>
      <x:c r="F17" s="49" t="str"/>
      <x:c r="G17" s="49" t="str">
        <x:v>find / inspect / recover</x:v>
      </x:c>
      <x:c r="H17" s="49" t="str"/>
      <x:c r="I17" s="49" t="str">
        <x:v>world</x:v>
      </x:c>
      <x:c r="J17" s="49" t="str">
        <x:v>observation / provenance</x:v>
      </x:c>
      <x:c r="K17" s="49" t="str">
        <x:v>variable</x:v>
      </x:c>
      <x:c r="L17" s="71" t="n">
        <x:v>0</x:v>
      </x:c>
      <x:c r="M17" s="71" t="n">
        <x:v>0</x:v>
      </x:c>
      <x:c r="N17" s="49" t="str">
        <x:v>identity and condition evidence</x:v>
      </x:c>
      <x:c r="O17" s="49" t="str">
        <x:v>inaccessible / contaminated / degraded</x:v>
      </x:c>
      <x:c r="P17" s="49" t="str"/>
      <x:c r="Q17" s="49" t="str">
        <x:v>No</x:v>
      </x:c>
      <x:c r="R17" s="71" t="n">
        <x:f>COUNTIF('Dependency Edges'!$B$5:$B$700,A17)</x:f>
        <x:v>0</x:v>
      </x:c>
      <x:c r="S17" s="71" t="n">
        <x:f>COUNTIF('Dependency Edges'!$A$5:$A$700,A17)</x:f>
        <x:v>1</x:v>
      </x:c>
      <x:c r="T17" s="49" t="str">
        <x:f>IF(AND(D17&lt;&gt;"Source",R17=0),"MISSING INPUT",IF(AND(Q17&lt;&gt;"Yes",S17=0),"NO DOWNSTREAM","OK"))</x:f>
        <x:v>OK</x:v>
      </x:c>
    </x:row>
    <x:row r="18">
      <x:c r="A18" s="49" t="str">
        <x:v>S-BONE</x:v>
      </x:c>
      <x:c r="B18" s="49" t="str">
        <x:v>Bone/shell</x:v>
      </x:c>
      <x:c r="C18" s="49" t="str">
        <x:v>Biological</x:v>
      </x:c>
      <x:c r="D18" s="49" t="str">
        <x:v>Source</x:v>
      </x:c>
      <x:c r="E18" s="49" t="str">
        <x:v>H0</x:v>
      </x:c>
      <x:c r="F18" s="49" t="str"/>
      <x:c r="G18" s="49" t="str">
        <x:v>find / inspect / recover</x:v>
      </x:c>
      <x:c r="H18" s="49" t="str"/>
      <x:c r="I18" s="49" t="str">
        <x:v>world</x:v>
      </x:c>
      <x:c r="J18" s="49" t="str">
        <x:v>observation / provenance</x:v>
      </x:c>
      <x:c r="K18" s="49" t="str">
        <x:v>variable</x:v>
      </x:c>
      <x:c r="L18" s="71" t="n">
        <x:v>0</x:v>
      </x:c>
      <x:c r="M18" s="71" t="n">
        <x:v>0</x:v>
      </x:c>
      <x:c r="N18" s="49" t="str">
        <x:v>identity and condition evidence</x:v>
      </x:c>
      <x:c r="O18" s="49" t="str">
        <x:v>inaccessible / contaminated / degraded</x:v>
      </x:c>
      <x:c r="P18" s="49" t="str"/>
      <x:c r="Q18" s="49" t="str">
        <x:v>No</x:v>
      </x:c>
      <x:c r="R18" s="71" t="n">
        <x:f>COUNTIF('Dependency Edges'!$B$5:$B$700,A18)</x:f>
        <x:v>0</x:v>
      </x:c>
      <x:c r="S18" s="71" t="n">
        <x:f>COUNTIF('Dependency Edges'!$A$5:$A$700,A18)</x:f>
        <x:v>3</x:v>
      </x:c>
      <x:c r="T18" s="49" t="str">
        <x:f>IF(AND(D18&lt;&gt;"Source",R18=0),"MISSING INPUT",IF(AND(Q18&lt;&gt;"Yes",S18=0),"NO DOWNSTREAM","OK"))</x:f>
        <x:v>OK</x:v>
      </x:c>
    </x:row>
    <x:row r="19">
      <x:c r="A19" s="49" t="str">
        <x:v>S-SALT</x:v>
      </x:c>
      <x:c r="B19" s="49" t="str">
        <x:v>Salt stock/source</x:v>
      </x:c>
      <x:c r="C19" s="49" t="str">
        <x:v>Food</x:v>
      </x:c>
      <x:c r="D19" s="49" t="str">
        <x:v>Source</x:v>
      </x:c>
      <x:c r="E19" s="49" t="str">
        <x:v>H0</x:v>
      </x:c>
      <x:c r="F19" s="49" t="str"/>
      <x:c r="G19" s="49" t="str">
        <x:v>find / inspect / recover</x:v>
      </x:c>
      <x:c r="H19" s="49" t="str"/>
      <x:c r="I19" s="49" t="str">
        <x:v>world</x:v>
      </x:c>
      <x:c r="J19" s="49" t="str">
        <x:v>observation / provenance</x:v>
      </x:c>
      <x:c r="K19" s="49" t="str">
        <x:v>variable</x:v>
      </x:c>
      <x:c r="L19" s="71" t="n">
        <x:v>0</x:v>
      </x:c>
      <x:c r="M19" s="71" t="n">
        <x:v>0</x:v>
      </x:c>
      <x:c r="N19" s="49" t="str">
        <x:v>identity and condition evidence</x:v>
      </x:c>
      <x:c r="O19" s="49" t="str">
        <x:v>inaccessible / contaminated / degraded</x:v>
      </x:c>
      <x:c r="P19" s="49" t="str"/>
      <x:c r="Q19" s="49" t="str">
        <x:v>No</x:v>
      </x:c>
      <x:c r="R19" s="71" t="n">
        <x:f>COUNTIF('Dependency Edges'!$B$5:$B$700,A19)</x:f>
        <x:v>0</x:v>
      </x:c>
      <x:c r="S19" s="71" t="n">
        <x:f>COUNTIF('Dependency Edges'!$A$5:$A$700,A19)</x:f>
        <x:v>1</x:v>
      </x:c>
      <x:c r="T19" s="49" t="str">
        <x:f>IF(AND(D19&lt;&gt;"Source",R19=0),"MISSING INPUT",IF(AND(Q19&lt;&gt;"Yes",S19=0),"NO DOWNSTREAM","OK"))</x:f>
        <x:v>OK</x:v>
      </x:c>
    </x:row>
    <x:row r="20">
      <x:c r="A20" s="49" t="str">
        <x:v>S-SUGAR</x:v>
      </x:c>
      <x:c r="B20" s="49" t="str">
        <x:v>Sugar/carbohydrate stock</x:v>
      </x:c>
      <x:c r="C20" s="49" t="str">
        <x:v>Food</x:v>
      </x:c>
      <x:c r="D20" s="49" t="str">
        <x:v>Source</x:v>
      </x:c>
      <x:c r="E20" s="49" t="str">
        <x:v>H0</x:v>
      </x:c>
      <x:c r="F20" s="49" t="str"/>
      <x:c r="G20" s="49" t="str">
        <x:v>find / inspect / recover</x:v>
      </x:c>
      <x:c r="H20" s="49" t="str"/>
      <x:c r="I20" s="49" t="str">
        <x:v>world</x:v>
      </x:c>
      <x:c r="J20" s="49" t="str">
        <x:v>observation / provenance</x:v>
      </x:c>
      <x:c r="K20" s="49" t="str">
        <x:v>variable</x:v>
      </x:c>
      <x:c r="L20" s="71" t="n">
        <x:v>0</x:v>
      </x:c>
      <x:c r="M20" s="71" t="n">
        <x:v>0</x:v>
      </x:c>
      <x:c r="N20" s="49" t="str">
        <x:v>identity and condition evidence</x:v>
      </x:c>
      <x:c r="O20" s="49" t="str">
        <x:v>inaccessible / contaminated / degraded</x:v>
      </x:c>
      <x:c r="P20" s="49" t="str"/>
      <x:c r="Q20" s="49" t="str">
        <x:v>No</x:v>
      </x:c>
      <x:c r="R20" s="71" t="n">
        <x:f>COUNTIF('Dependency Edges'!$B$5:$B$700,A20)</x:f>
        <x:v>0</x:v>
      </x:c>
      <x:c r="S20" s="71" t="n">
        <x:f>COUNTIF('Dependency Edges'!$A$5:$A$700,A20)</x:f>
        <x:v>1</x:v>
      </x:c>
      <x:c r="T20" s="49" t="str">
        <x:f>IF(AND(D20&lt;&gt;"Source",R20=0),"MISSING INPUT",IF(AND(Q20&lt;&gt;"Yes",S20=0),"NO DOWNSTREAM","OK"))</x:f>
        <x:v>OK</x:v>
      </x:c>
    </x:row>
    <x:row r="21">
      <x:c r="A21" s="49" t="str">
        <x:v>S-FOOD</x:v>
      </x:c>
      <x:c r="B21" s="49" t="str">
        <x:v>Wild/harvested food</x:v>
      </x:c>
      <x:c r="C21" s="49" t="str">
        <x:v>Food</x:v>
      </x:c>
      <x:c r="D21" s="49" t="str">
        <x:v>Source</x:v>
      </x:c>
      <x:c r="E21" s="49" t="str">
        <x:v>H0</x:v>
      </x:c>
      <x:c r="F21" s="49" t="str"/>
      <x:c r="G21" s="49" t="str">
        <x:v>find / inspect / recover</x:v>
      </x:c>
      <x:c r="H21" s="49" t="str"/>
      <x:c r="I21" s="49" t="str">
        <x:v>world</x:v>
      </x:c>
      <x:c r="J21" s="49" t="str">
        <x:v>observation / provenance</x:v>
      </x:c>
      <x:c r="K21" s="49" t="str">
        <x:v>variable</x:v>
      </x:c>
      <x:c r="L21" s="71" t="n">
        <x:v>0</x:v>
      </x:c>
      <x:c r="M21" s="71" t="n">
        <x:v>0</x:v>
      </x:c>
      <x:c r="N21" s="49" t="str">
        <x:v>identity and condition evidence</x:v>
      </x:c>
      <x:c r="O21" s="49" t="str">
        <x:v>inaccessible / contaminated / degraded</x:v>
      </x:c>
      <x:c r="P21" s="49" t="str"/>
      <x:c r="Q21" s="49" t="str">
        <x:v>No</x:v>
      </x:c>
      <x:c r="R21" s="71" t="n">
        <x:f>COUNTIF('Dependency Edges'!$B$5:$B$700,A21)</x:f>
        <x:v>0</x:v>
      </x:c>
      <x:c r="S21" s="71" t="n">
        <x:f>COUNTIF('Dependency Edges'!$A$5:$A$700,A21)</x:f>
        <x:v>5</x:v>
      </x:c>
      <x:c r="T21" s="49" t="str">
        <x:f>IF(AND(D21&lt;&gt;"Source",R21=0),"MISSING INPUT",IF(AND(Q21&lt;&gt;"Yes",S21=0),"NO DOWNSTREAM","OK"))</x:f>
        <x:v>OK</x:v>
      </x:c>
    </x:row>
    <x:row r="22">
      <x:c r="A22" s="49" t="str">
        <x:v>S-PLANT-MED</x:v>
      </x:c>
      <x:c r="B22" s="49" t="str">
        <x:v>Candidate medicinal plant</x:v>
      </x:c>
      <x:c r="C22" s="49" t="str">
        <x:v>Medicine</x:v>
      </x:c>
      <x:c r="D22" s="49" t="str">
        <x:v>Source</x:v>
      </x:c>
      <x:c r="E22" s="49" t="str">
        <x:v>H0</x:v>
      </x:c>
      <x:c r="F22" s="49" t="str"/>
      <x:c r="G22" s="49" t="str">
        <x:v>find / inspect / recover</x:v>
      </x:c>
      <x:c r="H22" s="49" t="str"/>
      <x:c r="I22" s="49" t="str">
        <x:v>world</x:v>
      </x:c>
      <x:c r="J22" s="49" t="str">
        <x:v>observation / provenance</x:v>
      </x:c>
      <x:c r="K22" s="49" t="str">
        <x:v>variable</x:v>
      </x:c>
      <x:c r="L22" s="71" t="n">
        <x:v>0</x:v>
      </x:c>
      <x:c r="M22" s="71" t="n">
        <x:v>0</x:v>
      </x:c>
      <x:c r="N22" s="49" t="str">
        <x:v>identity and condition evidence</x:v>
      </x:c>
      <x:c r="O22" s="49" t="str">
        <x:v>inaccessible / contaminated / degraded</x:v>
      </x:c>
      <x:c r="P22" s="49" t="str"/>
      <x:c r="Q22" s="49" t="str">
        <x:v>No</x:v>
      </x:c>
      <x:c r="R22" s="71" t="n">
        <x:f>COUNTIF('Dependency Edges'!$B$5:$B$700,A22)</x:f>
        <x:v>0</x:v>
      </x:c>
      <x:c r="S22" s="71" t="n">
        <x:f>COUNTIF('Dependency Edges'!$A$5:$A$700,A22)</x:f>
        <x:v>1</x:v>
      </x:c>
      <x:c r="T22" s="49" t="str">
        <x:f>IF(AND(D22&lt;&gt;"Source",R22=0),"MISSING INPUT",IF(AND(Q22&lt;&gt;"Yes",S22=0),"NO DOWNSTREAM","OK"))</x:f>
        <x:v>OK</x:v>
      </x:c>
    </x:row>
    <x:row r="23">
      <x:c r="A23" s="49" t="str">
        <x:v>S-WOODFUEL</x:v>
      </x:c>
      <x:c r="B23" s="49" t="str">
        <x:v>Dry biomass fuel</x:v>
      </x:c>
      <x:c r="C23" s="49" t="str">
        <x:v>Thermal</x:v>
      </x:c>
      <x:c r="D23" s="49" t="str">
        <x:v>Source</x:v>
      </x:c>
      <x:c r="E23" s="49" t="str">
        <x:v>H0</x:v>
      </x:c>
      <x:c r="F23" s="49" t="str"/>
      <x:c r="G23" s="49" t="str">
        <x:v>find / inspect / recover</x:v>
      </x:c>
      <x:c r="H23" s="49" t="str"/>
      <x:c r="I23" s="49" t="str">
        <x:v>world</x:v>
      </x:c>
      <x:c r="J23" s="49" t="str">
        <x:v>observation / provenance</x:v>
      </x:c>
      <x:c r="K23" s="49" t="str">
        <x:v>variable</x:v>
      </x:c>
      <x:c r="L23" s="71" t="n">
        <x:v>0</x:v>
      </x:c>
      <x:c r="M23" s="71" t="n">
        <x:v>0</x:v>
      </x:c>
      <x:c r="N23" s="49" t="str">
        <x:v>identity and condition evidence</x:v>
      </x:c>
      <x:c r="O23" s="49" t="str">
        <x:v>inaccessible / contaminated / degraded</x:v>
      </x:c>
      <x:c r="P23" s="49" t="str"/>
      <x:c r="Q23" s="49" t="str">
        <x:v>No</x:v>
      </x:c>
      <x:c r="R23" s="71" t="n">
        <x:f>COUNTIF('Dependency Edges'!$B$5:$B$700,A23)</x:f>
        <x:v>0</x:v>
      </x:c>
      <x:c r="S23" s="71" t="n">
        <x:f>COUNTIF('Dependency Edges'!$A$5:$A$700,A23)</x:f>
        <x:v>3</x:v>
      </x:c>
      <x:c r="T23" s="49" t="str">
        <x:f>IF(AND(D23&lt;&gt;"Source",R23=0),"MISSING INPUT",IF(AND(Q23&lt;&gt;"Yes",S23=0),"NO DOWNSTREAM","OK"))</x:f>
        <x:v>OK</x:v>
      </x:c>
    </x:row>
    <x:row r="24">
      <x:c r="A24" s="49" t="str">
        <x:v>S-FERROUS</x:v>
      </x:c>
      <x:c r="B24" s="49" t="str">
        <x:v>Ferrous salvage</x:v>
      </x:c>
      <x:c r="C24" s="49" t="str">
        <x:v>Salvage</x:v>
      </x:c>
      <x:c r="D24" s="49" t="str">
        <x:v>Source</x:v>
      </x:c>
      <x:c r="E24" s="49" t="str">
        <x:v>H0</x:v>
      </x:c>
      <x:c r="F24" s="49" t="str"/>
      <x:c r="G24" s="49" t="str">
        <x:v>find / inspect / recover</x:v>
      </x:c>
      <x:c r="H24" s="49" t="str"/>
      <x:c r="I24" s="49" t="str">
        <x:v>world</x:v>
      </x:c>
      <x:c r="J24" s="49" t="str">
        <x:v>observation / provenance</x:v>
      </x:c>
      <x:c r="K24" s="49" t="str">
        <x:v>variable</x:v>
      </x:c>
      <x:c r="L24" s="71" t="n">
        <x:v>0</x:v>
      </x:c>
      <x:c r="M24" s="71" t="n">
        <x:v>0</x:v>
      </x:c>
      <x:c r="N24" s="49" t="str">
        <x:v>identity and condition evidence</x:v>
      </x:c>
      <x:c r="O24" s="49" t="str">
        <x:v>inaccessible / contaminated / degraded</x:v>
      </x:c>
      <x:c r="P24" s="49" t="str"/>
      <x:c r="Q24" s="49" t="str">
        <x:v>No</x:v>
      </x:c>
      <x:c r="R24" s="71" t="n">
        <x:f>COUNTIF('Dependency Edges'!$B$5:$B$700,A24)</x:f>
        <x:v>0</x:v>
      </x:c>
      <x:c r="S24" s="71" t="n">
        <x:f>COUNTIF('Dependency Edges'!$A$5:$A$700,A24)</x:f>
        <x:v>1</x:v>
      </x:c>
      <x:c r="T24" s="49" t="str">
        <x:f>IF(AND(D24&lt;&gt;"Source",R24=0),"MISSING INPUT",IF(AND(Q24&lt;&gt;"Yes",S24=0),"NO DOWNSTREAM","OK"))</x:f>
        <x:v>OK</x:v>
      </x:c>
    </x:row>
    <x:row r="25">
      <x:c r="A25" s="49" t="str">
        <x:v>S-ALUMINUM</x:v>
      </x:c>
      <x:c r="B25" s="49" t="str">
        <x:v>Aircraft/marine aluminum sheet</x:v>
      </x:c>
      <x:c r="C25" s="49" t="str">
        <x:v>Salvage</x:v>
      </x:c>
      <x:c r="D25" s="49" t="str">
        <x:v>Source</x:v>
      </x:c>
      <x:c r="E25" s="49" t="str">
        <x:v>H0</x:v>
      </x:c>
      <x:c r="F25" s="49" t="str"/>
      <x:c r="G25" s="49" t="str">
        <x:v>find / inspect / recover</x:v>
      </x:c>
      <x:c r="H25" s="49" t="str"/>
      <x:c r="I25" s="49" t="str">
        <x:v>world</x:v>
      </x:c>
      <x:c r="J25" s="49" t="str">
        <x:v>observation / provenance</x:v>
      </x:c>
      <x:c r="K25" s="49" t="str">
        <x:v>variable</x:v>
      </x:c>
      <x:c r="L25" s="71" t="n">
        <x:v>0</x:v>
      </x:c>
      <x:c r="M25" s="71" t="n">
        <x:v>0</x:v>
      </x:c>
      <x:c r="N25" s="49" t="str">
        <x:v>identity and condition evidence</x:v>
      </x:c>
      <x:c r="O25" s="49" t="str">
        <x:v>inaccessible / contaminated / degraded</x:v>
      </x:c>
      <x:c r="P25" s="49" t="str"/>
      <x:c r="Q25" s="49" t="str">
        <x:v>No</x:v>
      </x:c>
      <x:c r="R25" s="71" t="n">
        <x:f>COUNTIF('Dependency Edges'!$B$5:$B$700,A25)</x:f>
        <x:v>0</x:v>
      </x:c>
      <x:c r="S25" s="71" t="n">
        <x:f>COUNTIF('Dependency Edges'!$A$5:$A$700,A25)</x:f>
        <x:v>1</x:v>
      </x:c>
      <x:c r="T25" s="49" t="str">
        <x:f>IF(AND(D25&lt;&gt;"Source",R25=0),"MISSING INPUT",IF(AND(Q25&lt;&gt;"Yes",S25=0),"NO DOWNSTREAM","OK"))</x:f>
        <x:v>OK</x:v>
      </x:c>
    </x:row>
    <x:row r="26">
      <x:c r="A26" s="49" t="str">
        <x:v>S-COPPER</x:v>
      </x:c>
      <x:c r="B26" s="49" t="str">
        <x:v>Copper salvage</x:v>
      </x:c>
      <x:c r="C26" s="49" t="str">
        <x:v>Salvage</x:v>
      </x:c>
      <x:c r="D26" s="49" t="str">
        <x:v>Source</x:v>
      </x:c>
      <x:c r="E26" s="49" t="str">
        <x:v>H0</x:v>
      </x:c>
      <x:c r="F26" s="49" t="str"/>
      <x:c r="G26" s="49" t="str">
        <x:v>find / inspect / recover</x:v>
      </x:c>
      <x:c r="H26" s="49" t="str"/>
      <x:c r="I26" s="49" t="str">
        <x:v>world</x:v>
      </x:c>
      <x:c r="J26" s="49" t="str">
        <x:v>observation / provenance</x:v>
      </x:c>
      <x:c r="K26" s="49" t="str">
        <x:v>variable</x:v>
      </x:c>
      <x:c r="L26" s="71" t="n">
        <x:v>0</x:v>
      </x:c>
      <x:c r="M26" s="71" t="n">
        <x:v>0</x:v>
      </x:c>
      <x:c r="N26" s="49" t="str">
        <x:v>identity and condition evidence</x:v>
      </x:c>
      <x:c r="O26" s="49" t="str">
        <x:v>inaccessible / contaminated / degraded</x:v>
      </x:c>
      <x:c r="P26" s="49" t="str"/>
      <x:c r="Q26" s="49" t="str">
        <x:v>No</x:v>
      </x:c>
      <x:c r="R26" s="71" t="n">
        <x:f>COUNTIF('Dependency Edges'!$B$5:$B$700,A26)</x:f>
        <x:v>0</x:v>
      </x:c>
      <x:c r="S26" s="71" t="n">
        <x:f>COUNTIF('Dependency Edges'!$A$5:$A$700,A26)</x:f>
        <x:v>3</x:v>
      </x:c>
      <x:c r="T26" s="49" t="str">
        <x:f>IF(AND(D26&lt;&gt;"Source",R26=0),"MISSING INPUT",IF(AND(Q26&lt;&gt;"Yes",S26=0),"NO DOWNSTREAM","OK"))</x:f>
        <x:v>OK</x:v>
      </x:c>
    </x:row>
    <x:row r="27">
      <x:c r="A27" s="49" t="str">
        <x:v>S-BRASS</x:v>
      </x:c>
      <x:c r="B27" s="49" t="str">
        <x:v>Brass/valve salvage</x:v>
      </x:c>
      <x:c r="C27" s="49" t="str">
        <x:v>Salvage</x:v>
      </x:c>
      <x:c r="D27" s="49" t="str">
        <x:v>Source</x:v>
      </x:c>
      <x:c r="E27" s="49" t="str">
        <x:v>H0</x:v>
      </x:c>
      <x:c r="F27" s="49" t="str"/>
      <x:c r="G27" s="49" t="str">
        <x:v>find / inspect / recover</x:v>
      </x:c>
      <x:c r="H27" s="49" t="str"/>
      <x:c r="I27" s="49" t="str">
        <x:v>world</x:v>
      </x:c>
      <x:c r="J27" s="49" t="str">
        <x:v>observation / provenance</x:v>
      </x:c>
      <x:c r="K27" s="49" t="str">
        <x:v>variable</x:v>
      </x:c>
      <x:c r="L27" s="71" t="n">
        <x:v>0</x:v>
      </x:c>
      <x:c r="M27" s="71" t="n">
        <x:v>0</x:v>
      </x:c>
      <x:c r="N27" s="49" t="str">
        <x:v>identity and condition evidence</x:v>
      </x:c>
      <x:c r="O27" s="49" t="str">
        <x:v>inaccessible / contaminated / degraded</x:v>
      </x:c>
      <x:c r="P27" s="49" t="str"/>
      <x:c r="Q27" s="49" t="str">
        <x:v>No</x:v>
      </x:c>
      <x:c r="R27" s="71" t="n">
        <x:f>COUNTIF('Dependency Edges'!$B$5:$B$700,A27)</x:f>
        <x:v>0</x:v>
      </x:c>
      <x:c r="S27" s="71" t="n">
        <x:f>COUNTIF('Dependency Edges'!$A$5:$A$700,A27)</x:f>
        <x:v>1</x:v>
      </x:c>
      <x:c r="T27" s="49" t="str">
        <x:f>IF(AND(D27&lt;&gt;"Source",R27=0),"MISSING INPUT",IF(AND(Q27&lt;&gt;"Yes",S27=0),"NO DOWNSTREAM","OK"))</x:f>
        <x:v>OK</x:v>
      </x:c>
    </x:row>
    <x:row r="28">
      <x:c r="A28" s="49" t="str">
        <x:v>S-FOUND-ROPE</x:v>
      </x:c>
      <x:c r="B28" s="49" t="str">
        <x:v>Found rope/webbing</x:v>
      </x:c>
      <x:c r="C28" s="49" t="str">
        <x:v>Salvage</x:v>
      </x:c>
      <x:c r="D28" s="49" t="str">
        <x:v>Source</x:v>
      </x:c>
      <x:c r="E28" s="49" t="str">
        <x:v>H0</x:v>
      </x:c>
      <x:c r="F28" s="49" t="str"/>
      <x:c r="G28" s="49" t="str">
        <x:v>find / inspect / recover</x:v>
      </x:c>
      <x:c r="H28" s="49" t="str"/>
      <x:c r="I28" s="49" t="str">
        <x:v>world</x:v>
      </x:c>
      <x:c r="J28" s="49" t="str">
        <x:v>observation / provenance</x:v>
      </x:c>
      <x:c r="K28" s="49" t="str">
        <x:v>variable</x:v>
      </x:c>
      <x:c r="L28" s="71" t="n">
        <x:v>0</x:v>
      </x:c>
      <x:c r="M28" s="71" t="n">
        <x:v>0</x:v>
      </x:c>
      <x:c r="N28" s="49" t="str">
        <x:v>identity and condition evidence</x:v>
      </x:c>
      <x:c r="O28" s="49" t="str">
        <x:v>inaccessible / contaminated / degraded</x:v>
      </x:c>
      <x:c r="P28" s="49" t="str"/>
      <x:c r="Q28" s="49" t="str">
        <x:v>No</x:v>
      </x:c>
      <x:c r="R28" s="71" t="n">
        <x:f>COUNTIF('Dependency Edges'!$B$5:$B$700,A28)</x:f>
        <x:v>0</x:v>
      </x:c>
      <x:c r="S28" s="71" t="n">
        <x:f>COUNTIF('Dependency Edges'!$A$5:$A$700,A28)</x:f>
        <x:v>2</x:v>
      </x:c>
      <x:c r="T28" s="49" t="str">
        <x:f>IF(AND(D28&lt;&gt;"Source",R28=0),"MISSING INPUT",IF(AND(Q28&lt;&gt;"Yes",S28=0),"NO DOWNSTREAM","OK"))</x:f>
        <x:v>OK</x:v>
      </x:c>
    </x:row>
    <x:row r="29">
      <x:c r="A29" s="49" t="str">
        <x:v>S-CANVAS</x:v>
      </x:c>
      <x:c r="B29" s="49" t="str">
        <x:v>Canvas/raft fabric</x:v>
      </x:c>
      <x:c r="C29" s="49" t="str">
        <x:v>Salvage</x:v>
      </x:c>
      <x:c r="D29" s="49" t="str">
        <x:v>Source</x:v>
      </x:c>
      <x:c r="E29" s="49" t="str">
        <x:v>H0</x:v>
      </x:c>
      <x:c r="F29" s="49" t="str"/>
      <x:c r="G29" s="49" t="str">
        <x:v>find / inspect / recover</x:v>
      </x:c>
      <x:c r="H29" s="49" t="str"/>
      <x:c r="I29" s="49" t="str">
        <x:v>world</x:v>
      </x:c>
      <x:c r="J29" s="49" t="str">
        <x:v>observation / provenance</x:v>
      </x:c>
      <x:c r="K29" s="49" t="str">
        <x:v>variable</x:v>
      </x:c>
      <x:c r="L29" s="71" t="n">
        <x:v>0</x:v>
      </x:c>
      <x:c r="M29" s="71" t="n">
        <x:v>0</x:v>
      </x:c>
      <x:c r="N29" s="49" t="str">
        <x:v>identity and condition evidence</x:v>
      </x:c>
      <x:c r="O29" s="49" t="str">
        <x:v>inaccessible / contaminated / degraded</x:v>
      </x:c>
      <x:c r="P29" s="49" t="str"/>
      <x:c r="Q29" s="49" t="str">
        <x:v>No</x:v>
      </x:c>
      <x:c r="R29" s="71" t="n">
        <x:f>COUNTIF('Dependency Edges'!$B$5:$B$700,A29)</x:f>
        <x:v>0</x:v>
      </x:c>
      <x:c r="S29" s="71" t="n">
        <x:f>COUNTIF('Dependency Edges'!$A$5:$A$700,A29)</x:f>
        <x:v>4</x:v>
      </x:c>
      <x:c r="T29" s="49" t="str">
        <x:f>IF(AND(D29&lt;&gt;"Source",R29=0),"MISSING INPUT",IF(AND(Q29&lt;&gt;"Yes",S29=0),"NO DOWNSTREAM","OK"))</x:f>
        <x:v>OK</x:v>
      </x:c>
    </x:row>
    <x:row r="30">
      <x:c r="A30" s="49" t="str">
        <x:v>S-GLASS</x:v>
      </x:c>
      <x:c r="B30" s="49" t="str">
        <x:v>Glass/optics</x:v>
      </x:c>
      <x:c r="C30" s="49" t="str">
        <x:v>Salvage</x:v>
      </x:c>
      <x:c r="D30" s="49" t="str">
        <x:v>Source</x:v>
      </x:c>
      <x:c r="E30" s="49" t="str">
        <x:v>H0</x:v>
      </x:c>
      <x:c r="F30" s="49" t="str"/>
      <x:c r="G30" s="49" t="str">
        <x:v>find / inspect / recover</x:v>
      </x:c>
      <x:c r="H30" s="49" t="str"/>
      <x:c r="I30" s="49" t="str">
        <x:v>world</x:v>
      </x:c>
      <x:c r="J30" s="49" t="str">
        <x:v>observation / provenance</x:v>
      </x:c>
      <x:c r="K30" s="49" t="str">
        <x:v>variable</x:v>
      </x:c>
      <x:c r="L30" s="71" t="n">
        <x:v>0</x:v>
      </x:c>
      <x:c r="M30" s="71" t="n">
        <x:v>0</x:v>
      </x:c>
      <x:c r="N30" s="49" t="str">
        <x:v>identity and condition evidence</x:v>
      </x:c>
      <x:c r="O30" s="49" t="str">
        <x:v>inaccessible / contaminated / degraded</x:v>
      </x:c>
      <x:c r="P30" s="49" t="str"/>
      <x:c r="Q30" s="49" t="str">
        <x:v>No</x:v>
      </x:c>
      <x:c r="R30" s="71" t="n">
        <x:f>COUNTIF('Dependency Edges'!$B$5:$B$700,A30)</x:f>
        <x:v>0</x:v>
      </x:c>
      <x:c r="S30" s="71" t="n">
        <x:f>COUNTIF('Dependency Edges'!$A$5:$A$700,A30)</x:f>
        <x:v>3</x:v>
      </x:c>
      <x:c r="T30" s="49" t="str">
        <x:f>IF(AND(D30&lt;&gt;"Source",R30=0),"MISSING INPUT",IF(AND(Q30&lt;&gt;"Yes",S30=0),"NO DOWNSTREAM","OK"))</x:f>
        <x:v>OK</x:v>
      </x:c>
    </x:row>
    <x:row r="31">
      <x:c r="A31" s="49" t="str">
        <x:v>S-RUBBER</x:v>
      </x:c>
      <x:c r="B31" s="49" t="str">
        <x:v>Rubber/hose/gasket</x:v>
      </x:c>
      <x:c r="C31" s="49" t="str">
        <x:v>Salvage</x:v>
      </x:c>
      <x:c r="D31" s="49" t="str">
        <x:v>Source</x:v>
      </x:c>
      <x:c r="E31" s="49" t="str">
        <x:v>H0</x:v>
      </x:c>
      <x:c r="F31" s="49" t="str"/>
      <x:c r="G31" s="49" t="str">
        <x:v>find / inspect / recover</x:v>
      </x:c>
      <x:c r="H31" s="49" t="str"/>
      <x:c r="I31" s="49" t="str">
        <x:v>world</x:v>
      </x:c>
      <x:c r="J31" s="49" t="str">
        <x:v>observation / provenance</x:v>
      </x:c>
      <x:c r="K31" s="49" t="str">
        <x:v>variable</x:v>
      </x:c>
      <x:c r="L31" s="71" t="n">
        <x:v>0</x:v>
      </x:c>
      <x:c r="M31" s="71" t="n">
        <x:v>0</x:v>
      </x:c>
      <x:c r="N31" s="49" t="str">
        <x:v>identity and condition evidence</x:v>
      </x:c>
      <x:c r="O31" s="49" t="str">
        <x:v>inaccessible / contaminated / degraded</x:v>
      </x:c>
      <x:c r="P31" s="49" t="str"/>
      <x:c r="Q31" s="49" t="str">
        <x:v>No</x:v>
      </x:c>
      <x:c r="R31" s="71" t="n">
        <x:f>COUNTIF('Dependency Edges'!$B$5:$B$700,A31)</x:f>
        <x:v>0</x:v>
      </x:c>
      <x:c r="S31" s="71" t="n">
        <x:f>COUNTIF('Dependency Edges'!$A$5:$A$700,A31)</x:f>
        <x:v>4</x:v>
      </x:c>
      <x:c r="T31" s="49" t="str">
        <x:f>IF(AND(D31&lt;&gt;"Source",R31=0),"MISSING INPUT",IF(AND(Q31&lt;&gt;"Yes",S31=0),"NO DOWNSTREAM","OK"))</x:f>
        <x:v>OK</x:v>
      </x:c>
    </x:row>
    <x:row r="32">
      <x:c r="A32" s="49" t="str">
        <x:v>S-POLYMER</x:v>
      </x:c>
      <x:c r="B32" s="49" t="str">
        <x:v>Polymer/container stock</x:v>
      </x:c>
      <x:c r="C32" s="49" t="str">
        <x:v>Salvage</x:v>
      </x:c>
      <x:c r="D32" s="49" t="str">
        <x:v>Source</x:v>
      </x:c>
      <x:c r="E32" s="49" t="str">
        <x:v>H0</x:v>
      </x:c>
      <x:c r="F32" s="49" t="str"/>
      <x:c r="G32" s="49" t="str">
        <x:v>find / inspect / recover</x:v>
      </x:c>
      <x:c r="H32" s="49" t="str"/>
      <x:c r="I32" s="49" t="str">
        <x:v>world</x:v>
      </x:c>
      <x:c r="J32" s="49" t="str">
        <x:v>observation / provenance</x:v>
      </x:c>
      <x:c r="K32" s="49" t="str">
        <x:v>variable</x:v>
      </x:c>
      <x:c r="L32" s="71" t="n">
        <x:v>0</x:v>
      </x:c>
      <x:c r="M32" s="71" t="n">
        <x:v>0</x:v>
      </x:c>
      <x:c r="N32" s="49" t="str">
        <x:v>identity and condition evidence</x:v>
      </x:c>
      <x:c r="O32" s="49" t="str">
        <x:v>inaccessible / contaminated / degraded</x:v>
      </x:c>
      <x:c r="P32" s="49" t="str"/>
      <x:c r="Q32" s="49" t="str">
        <x:v>No</x:v>
      </x:c>
      <x:c r="R32" s="71" t="n">
        <x:f>COUNTIF('Dependency Edges'!$B$5:$B$700,A32)</x:f>
        <x:v>0</x:v>
      </x:c>
      <x:c r="S32" s="71" t="n">
        <x:f>COUNTIF('Dependency Edges'!$A$5:$A$700,A32)</x:f>
        <x:v>1</x:v>
      </x:c>
      <x:c r="T32" s="49" t="str">
        <x:f>IF(AND(D32&lt;&gt;"Source",R32=0),"MISSING INPUT",IF(AND(Q32&lt;&gt;"Yes",S32=0),"NO DOWNSTREAM","OK"))</x:f>
        <x:v>OK</x:v>
      </x:c>
    </x:row>
    <x:row r="33">
      <x:c r="A33" s="49" t="str">
        <x:v>S-BOTTLE</x:v>
      </x:c>
      <x:c r="B33" s="49" t="str">
        <x:v>Recognized bottle/container</x:v>
      </x:c>
      <x:c r="C33" s="49" t="str">
        <x:v>Salvage</x:v>
      </x:c>
      <x:c r="D33" s="49" t="str">
        <x:v>Source</x:v>
      </x:c>
      <x:c r="E33" s="49" t="str">
        <x:v>H0</x:v>
      </x:c>
      <x:c r="F33" s="49" t="str"/>
      <x:c r="G33" s="49" t="str">
        <x:v>find / inspect / recover</x:v>
      </x:c>
      <x:c r="H33" s="49" t="str"/>
      <x:c r="I33" s="49" t="str">
        <x:v>world</x:v>
      </x:c>
      <x:c r="J33" s="49" t="str">
        <x:v>observation / provenance</x:v>
      </x:c>
      <x:c r="K33" s="49" t="str">
        <x:v>variable</x:v>
      </x:c>
      <x:c r="L33" s="71" t="n">
        <x:v>0</x:v>
      </x:c>
      <x:c r="M33" s="71" t="n">
        <x:v>0</x:v>
      </x:c>
      <x:c r="N33" s="49" t="str">
        <x:v>identity and condition evidence</x:v>
      </x:c>
      <x:c r="O33" s="49" t="str">
        <x:v>inaccessible / contaminated / degraded</x:v>
      </x:c>
      <x:c r="P33" s="49" t="str"/>
      <x:c r="Q33" s="49" t="str">
        <x:v>No</x:v>
      </x:c>
      <x:c r="R33" s="71" t="n">
        <x:f>COUNTIF('Dependency Edges'!$B$5:$B$700,A33)</x:f>
        <x:v>0</x:v>
      </x:c>
      <x:c r="S33" s="71" t="n">
        <x:f>COUNTIF('Dependency Edges'!$A$5:$A$700,A33)</x:f>
        <x:v>1</x:v>
      </x:c>
      <x:c r="T33" s="49" t="str">
        <x:f>IF(AND(D33&lt;&gt;"Source",R33=0),"MISSING INPUT",IF(AND(Q33&lt;&gt;"Yes",S33=0),"NO DOWNSTREAM","OK"))</x:f>
        <x:v>OK</x:v>
      </x:c>
    </x:row>
    <x:row r="34">
      <x:c r="A34" s="49" t="str">
        <x:v>S-PAN</x:v>
      </x:c>
      <x:c r="B34" s="49" t="str">
        <x:v>Recognized food-grade pan</x:v>
      </x:c>
      <x:c r="C34" s="49" t="str">
        <x:v>Salvage</x:v>
      </x:c>
      <x:c r="D34" s="49" t="str">
        <x:v>Source</x:v>
      </x:c>
      <x:c r="E34" s="49" t="str">
        <x:v>H0</x:v>
      </x:c>
      <x:c r="F34" s="49" t="str"/>
      <x:c r="G34" s="49" t="str">
        <x:v>find / inspect / recover</x:v>
      </x:c>
      <x:c r="H34" s="49" t="str"/>
      <x:c r="I34" s="49" t="str">
        <x:v>world</x:v>
      </x:c>
      <x:c r="J34" s="49" t="str">
        <x:v>observation / provenance</x:v>
      </x:c>
      <x:c r="K34" s="49" t="str">
        <x:v>variable</x:v>
      </x:c>
      <x:c r="L34" s="71" t="n">
        <x:v>0</x:v>
      </x:c>
      <x:c r="M34" s="71" t="n">
        <x:v>0</x:v>
      </x:c>
      <x:c r="N34" s="49" t="str">
        <x:v>identity and condition evidence</x:v>
      </x:c>
      <x:c r="O34" s="49" t="str">
        <x:v>inaccessible / contaminated / degraded</x:v>
      </x:c>
      <x:c r="P34" s="49" t="str"/>
      <x:c r="Q34" s="49" t="str">
        <x:v>No</x:v>
      </x:c>
      <x:c r="R34" s="71" t="n">
        <x:f>COUNTIF('Dependency Edges'!$B$5:$B$700,A34)</x:f>
        <x:v>0</x:v>
      </x:c>
      <x:c r="S34" s="71" t="n">
        <x:f>COUNTIF('Dependency Edges'!$A$5:$A$700,A34)</x:f>
        <x:v>1</x:v>
      </x:c>
      <x:c r="T34" s="49" t="str">
        <x:f>IF(AND(D34&lt;&gt;"Source",R34=0),"MISSING INPUT",IF(AND(Q34&lt;&gt;"Yes",S34=0),"NO DOWNSTREAM","OK"))</x:f>
        <x:v>OK</x:v>
      </x:c>
    </x:row>
    <x:row r="35">
      <x:c r="A35" s="49" t="str">
        <x:v>S-FASTENER</x:v>
      </x:c>
      <x:c r="B35" s="49" t="str">
        <x:v>Recovered fasteners</x:v>
      </x:c>
      <x:c r="C35" s="49" t="str">
        <x:v>Salvage</x:v>
      </x:c>
      <x:c r="D35" s="49" t="str">
        <x:v>Source</x:v>
      </x:c>
      <x:c r="E35" s="49" t="str">
        <x:v>H0</x:v>
      </x:c>
      <x:c r="F35" s="49" t="str"/>
      <x:c r="G35" s="49" t="str">
        <x:v>find / inspect / recover</x:v>
      </x:c>
      <x:c r="H35" s="49" t="str"/>
      <x:c r="I35" s="49" t="str">
        <x:v>world</x:v>
      </x:c>
      <x:c r="J35" s="49" t="str">
        <x:v>observation / provenance</x:v>
      </x:c>
      <x:c r="K35" s="49" t="str">
        <x:v>variable</x:v>
      </x:c>
      <x:c r="L35" s="71" t="n">
        <x:v>0</x:v>
      </x:c>
      <x:c r="M35" s="71" t="n">
        <x:v>0</x:v>
      </x:c>
      <x:c r="N35" s="49" t="str">
        <x:v>identity and condition evidence</x:v>
      </x:c>
      <x:c r="O35" s="49" t="str">
        <x:v>inaccessible / contaminated / degraded</x:v>
      </x:c>
      <x:c r="P35" s="49" t="str"/>
      <x:c r="Q35" s="49" t="str">
        <x:v>No</x:v>
      </x:c>
      <x:c r="R35" s="71" t="n">
        <x:f>COUNTIF('Dependency Edges'!$B$5:$B$700,A35)</x:f>
        <x:v>0</x:v>
      </x:c>
      <x:c r="S35" s="71" t="n">
        <x:f>COUNTIF('Dependency Edges'!$A$5:$A$700,A35)</x:f>
        <x:v>4</x:v>
      </x:c>
      <x:c r="T35" s="49" t="str">
        <x:f>IF(AND(D35&lt;&gt;"Source",R35=0),"MISSING INPUT",IF(AND(Q35&lt;&gt;"Yes",S35=0),"NO DOWNSTREAM","OK"))</x:f>
        <x:v>OK</x:v>
      </x:c>
    </x:row>
    <x:row r="36">
      <x:c r="A36" s="49" t="str">
        <x:v>S-BEARING</x:v>
      </x:c>
      <x:c r="B36" s="49" t="str">
        <x:v>Bearing/pulley/gear module</x:v>
      </x:c>
      <x:c r="C36" s="49" t="str">
        <x:v>Salvage</x:v>
      </x:c>
      <x:c r="D36" s="49" t="str">
        <x:v>Source</x:v>
      </x:c>
      <x:c r="E36" s="49" t="str">
        <x:v>H0</x:v>
      </x:c>
      <x:c r="F36" s="49" t="str"/>
      <x:c r="G36" s="49" t="str">
        <x:v>find / inspect / recover</x:v>
      </x:c>
      <x:c r="H36" s="49" t="str"/>
      <x:c r="I36" s="49" t="str">
        <x:v>world</x:v>
      </x:c>
      <x:c r="J36" s="49" t="str">
        <x:v>observation / provenance</x:v>
      </x:c>
      <x:c r="K36" s="49" t="str">
        <x:v>variable</x:v>
      </x:c>
      <x:c r="L36" s="71" t="n">
        <x:v>0</x:v>
      </x:c>
      <x:c r="M36" s="71" t="n">
        <x:v>0</x:v>
      </x:c>
      <x:c r="N36" s="49" t="str">
        <x:v>identity and condition evidence</x:v>
      </x:c>
      <x:c r="O36" s="49" t="str">
        <x:v>inaccessible / contaminated / degraded</x:v>
      </x:c>
      <x:c r="P36" s="49" t="str"/>
      <x:c r="Q36" s="49" t="str">
        <x:v>No</x:v>
      </x:c>
      <x:c r="R36" s="71" t="n">
        <x:f>COUNTIF('Dependency Edges'!$B$5:$B$700,A36)</x:f>
        <x:v>0</x:v>
      </x:c>
      <x:c r="S36" s="71" t="n">
        <x:f>COUNTIF('Dependency Edges'!$A$5:$A$700,A36)</x:f>
        <x:v>6</x:v>
      </x:c>
      <x:c r="T36" s="49" t="str">
        <x:f>IF(AND(D36&lt;&gt;"Source",R36=0),"MISSING INPUT",IF(AND(Q36&lt;&gt;"Yes",S36=0),"NO DOWNSTREAM","OK"))</x:f>
        <x:v>OK</x:v>
      </x:c>
    </x:row>
    <x:row r="37">
      <x:c r="A37" s="49" t="str">
        <x:v>S-ENGINE</x:v>
      </x:c>
      <x:c r="B37" s="49" t="str">
        <x:v>Repairable engine/motor</x:v>
      </x:c>
      <x:c r="C37" s="49" t="str">
        <x:v>Salvage</x:v>
      </x:c>
      <x:c r="D37" s="49" t="str">
        <x:v>Source</x:v>
      </x:c>
      <x:c r="E37" s="49" t="str">
        <x:v>H0</x:v>
      </x:c>
      <x:c r="F37" s="49" t="str"/>
      <x:c r="G37" s="49" t="str">
        <x:v>find / inspect / recover</x:v>
      </x:c>
      <x:c r="H37" s="49" t="str"/>
      <x:c r="I37" s="49" t="str">
        <x:v>world</x:v>
      </x:c>
      <x:c r="J37" s="49" t="str">
        <x:v>observation / provenance</x:v>
      </x:c>
      <x:c r="K37" s="49" t="str">
        <x:v>variable</x:v>
      </x:c>
      <x:c r="L37" s="71" t="n">
        <x:v>0</x:v>
      </x:c>
      <x:c r="M37" s="71" t="n">
        <x:v>0</x:v>
      </x:c>
      <x:c r="N37" s="49" t="str">
        <x:v>identity and condition evidence</x:v>
      </x:c>
      <x:c r="O37" s="49" t="str">
        <x:v>inaccessible / contaminated / degraded</x:v>
      </x:c>
      <x:c r="P37" s="49" t="str"/>
      <x:c r="Q37" s="49" t="str">
        <x:v>No</x:v>
      </x:c>
      <x:c r="R37" s="71" t="n">
        <x:f>COUNTIF('Dependency Edges'!$B$5:$B$700,A37)</x:f>
        <x:v>0</x:v>
      </x:c>
      <x:c r="S37" s="71" t="n">
        <x:f>COUNTIF('Dependency Edges'!$A$5:$A$700,A37)</x:f>
        <x:v>2</x:v>
      </x:c>
      <x:c r="T37" s="49" t="str">
        <x:f>IF(AND(D37&lt;&gt;"Source",R37=0),"MISSING INPUT",IF(AND(Q37&lt;&gt;"Yes",S37=0),"NO DOWNSTREAM","OK"))</x:f>
        <x:v>OK</x:v>
      </x:c>
    </x:row>
    <x:row r="38">
      <x:c r="A38" s="49" t="str">
        <x:v>S-BATTERY</x:v>
      </x:c>
      <x:c r="B38" s="49" t="str">
        <x:v>Battery/cell</x:v>
      </x:c>
      <x:c r="C38" s="49" t="str">
        <x:v>Electrical</x:v>
      </x:c>
      <x:c r="D38" s="49" t="str">
        <x:v>Source</x:v>
      </x:c>
      <x:c r="E38" s="49" t="str">
        <x:v>H0</x:v>
      </x:c>
      <x:c r="F38" s="49" t="str"/>
      <x:c r="G38" s="49" t="str">
        <x:v>find / inspect / recover</x:v>
      </x:c>
      <x:c r="H38" s="49" t="str"/>
      <x:c r="I38" s="49" t="str">
        <x:v>world</x:v>
      </x:c>
      <x:c r="J38" s="49" t="str">
        <x:v>observation / provenance</x:v>
      </x:c>
      <x:c r="K38" s="49" t="str">
        <x:v>variable</x:v>
      </x:c>
      <x:c r="L38" s="71" t="n">
        <x:v>0</x:v>
      </x:c>
      <x:c r="M38" s="71" t="n">
        <x:v>0</x:v>
      </x:c>
      <x:c r="N38" s="49" t="str">
        <x:v>identity and condition evidence</x:v>
      </x:c>
      <x:c r="O38" s="49" t="str">
        <x:v>inaccessible / contaminated / degraded</x:v>
      </x:c>
      <x:c r="P38" s="49" t="str"/>
      <x:c r="Q38" s="49" t="str">
        <x:v>No</x:v>
      </x:c>
      <x:c r="R38" s="71" t="n">
        <x:f>COUNTIF('Dependency Edges'!$B$5:$B$700,A38)</x:f>
        <x:v>0</x:v>
      </x:c>
      <x:c r="S38" s="71" t="n">
        <x:f>COUNTIF('Dependency Edges'!$A$5:$A$700,A38)</x:f>
        <x:v>5</x:v>
      </x:c>
      <x:c r="T38" s="49" t="str">
        <x:f>IF(AND(D38&lt;&gt;"Source",R38=0),"MISSING INPUT",IF(AND(Q38&lt;&gt;"Yes",S38=0),"NO DOWNSTREAM","OK"))</x:f>
        <x:v>OK</x:v>
      </x:c>
    </x:row>
    <x:row r="39">
      <x:c r="A39" s="49" t="str">
        <x:v>S-WIRE</x:v>
      </x:c>
      <x:c r="B39" s="49" t="str">
        <x:v>Wire/switch/fuse</x:v>
      </x:c>
      <x:c r="C39" s="49" t="str">
        <x:v>Electrical</x:v>
      </x:c>
      <x:c r="D39" s="49" t="str">
        <x:v>Source</x:v>
      </x:c>
      <x:c r="E39" s="49" t="str">
        <x:v>H0</x:v>
      </x:c>
      <x:c r="F39" s="49" t="str"/>
      <x:c r="G39" s="49" t="str">
        <x:v>find / inspect / recover</x:v>
      </x:c>
      <x:c r="H39" s="49" t="str"/>
      <x:c r="I39" s="49" t="str">
        <x:v>world</x:v>
      </x:c>
      <x:c r="J39" s="49" t="str">
        <x:v>observation / provenance</x:v>
      </x:c>
      <x:c r="K39" s="49" t="str">
        <x:v>variable</x:v>
      </x:c>
      <x:c r="L39" s="71" t="n">
        <x:v>0</x:v>
      </x:c>
      <x:c r="M39" s="71" t="n">
        <x:v>0</x:v>
      </x:c>
      <x:c r="N39" s="49" t="str">
        <x:v>identity and condition evidence</x:v>
      </x:c>
      <x:c r="O39" s="49" t="str">
        <x:v>inaccessible / contaminated / degraded</x:v>
      </x:c>
      <x:c r="P39" s="49" t="str"/>
      <x:c r="Q39" s="49" t="str">
        <x:v>No</x:v>
      </x:c>
      <x:c r="R39" s="71" t="n">
        <x:f>COUNTIF('Dependency Edges'!$B$5:$B$700,A39)</x:f>
        <x:v>0</x:v>
      </x:c>
      <x:c r="S39" s="71" t="n">
        <x:f>COUNTIF('Dependency Edges'!$A$5:$A$700,A39)</x:f>
        <x:v>6</x:v>
      </x:c>
      <x:c r="T39" s="49" t="str">
        <x:f>IF(AND(D39&lt;&gt;"Source",R39=0),"MISSING INPUT",IF(AND(Q39&lt;&gt;"Yes",S39=0),"NO DOWNSTREAM","OK"))</x:f>
        <x:v>OK</x:v>
      </x:c>
    </x:row>
    <x:row r="40">
      <x:c r="A40" s="49" t="str">
        <x:v>S-RADIO</x:v>
      </x:c>
      <x:c r="B40" s="49" t="str">
        <x:v>Radio/electronic core</x:v>
      </x:c>
      <x:c r="C40" s="49" t="str">
        <x:v>Electrical</x:v>
      </x:c>
      <x:c r="D40" s="49" t="str">
        <x:v>Source</x:v>
      </x:c>
      <x:c r="E40" s="49" t="str">
        <x:v>H0</x:v>
      </x:c>
      <x:c r="F40" s="49" t="str"/>
      <x:c r="G40" s="49" t="str">
        <x:v>find / inspect / recover</x:v>
      </x:c>
      <x:c r="H40" s="49" t="str"/>
      <x:c r="I40" s="49" t="str">
        <x:v>world</x:v>
      </x:c>
      <x:c r="J40" s="49" t="str">
        <x:v>observation / provenance</x:v>
      </x:c>
      <x:c r="K40" s="49" t="str">
        <x:v>variable</x:v>
      </x:c>
      <x:c r="L40" s="71" t="n">
        <x:v>0</x:v>
      </x:c>
      <x:c r="M40" s="71" t="n">
        <x:v>0</x:v>
      </x:c>
      <x:c r="N40" s="49" t="str">
        <x:v>identity and condition evidence</x:v>
      </x:c>
      <x:c r="O40" s="49" t="str">
        <x:v>inaccessible / contaminated / degraded</x:v>
      </x:c>
      <x:c r="P40" s="49" t="str"/>
      <x:c r="Q40" s="49" t="str">
        <x:v>No</x:v>
      </x:c>
      <x:c r="R40" s="71" t="n">
        <x:f>COUNTIF('Dependency Edges'!$B$5:$B$700,A40)</x:f>
        <x:v>0</x:v>
      </x:c>
      <x:c r="S40" s="71" t="n">
        <x:f>COUNTIF('Dependency Edges'!$A$5:$A$700,A40)</x:f>
        <x:v>2</x:v>
      </x:c>
      <x:c r="T40" s="49" t="str">
        <x:f>IF(AND(D40&lt;&gt;"Source",R40=0),"MISSING INPUT",IF(AND(Q40&lt;&gt;"Yes",S40=0),"NO DOWNSTREAM","OK"))</x:f>
        <x:v>OK</x:v>
      </x:c>
    </x:row>
    <x:row r="41">
      <x:c r="A41" s="49" t="str">
        <x:v>S-MEDICAL</x:v>
      </x:c>
      <x:c r="B41" s="49" t="str">
        <x:v>Sealed medical supply</x:v>
      </x:c>
      <x:c r="C41" s="49" t="str">
        <x:v>Medicine</x:v>
      </x:c>
      <x:c r="D41" s="49" t="str">
        <x:v>Source</x:v>
      </x:c>
      <x:c r="E41" s="49" t="str">
        <x:v>H0</x:v>
      </x:c>
      <x:c r="F41" s="49" t="str"/>
      <x:c r="G41" s="49" t="str">
        <x:v>find / inspect / recover</x:v>
      </x:c>
      <x:c r="H41" s="49" t="str"/>
      <x:c r="I41" s="49" t="str">
        <x:v>world</x:v>
      </x:c>
      <x:c r="J41" s="49" t="str">
        <x:v>observation / provenance</x:v>
      </x:c>
      <x:c r="K41" s="49" t="str">
        <x:v>variable</x:v>
      </x:c>
      <x:c r="L41" s="71" t="n">
        <x:v>0</x:v>
      </x:c>
      <x:c r="M41" s="71" t="n">
        <x:v>0</x:v>
      </x:c>
      <x:c r="N41" s="49" t="str">
        <x:v>identity and condition evidence</x:v>
      </x:c>
      <x:c r="O41" s="49" t="str">
        <x:v>inaccessible / contaminated / degraded</x:v>
      </x:c>
      <x:c r="P41" s="49" t="str"/>
      <x:c r="Q41" s="49" t="str">
        <x:v>No</x:v>
      </x:c>
      <x:c r="R41" s="71" t="n">
        <x:f>COUNTIF('Dependency Edges'!$B$5:$B$700,A41)</x:f>
        <x:v>0</x:v>
      </x:c>
      <x:c r="S41" s="71" t="n">
        <x:f>COUNTIF('Dependency Edges'!$A$5:$A$700,A41)</x:f>
        <x:v>2</x:v>
      </x:c>
      <x:c r="T41" s="49" t="str">
        <x:f>IF(AND(D41&lt;&gt;"Source",R41=0),"MISSING INPUT",IF(AND(Q41&lt;&gt;"Yes",S41=0),"NO DOWNSTREAM","OK"))</x:f>
        <x:v>OK</x:v>
      </x:c>
    </x:row>
    <x:row r="42">
      <x:c r="A42" s="49" t="str">
        <x:v>S-MANUAL</x:v>
      </x:c>
      <x:c r="B42" s="49" t="str">
        <x:v>Manual/label/diagram</x:v>
      </x:c>
      <x:c r="C42" s="49" t="str">
        <x:v>Knowledge</x:v>
      </x:c>
      <x:c r="D42" s="49" t="str">
        <x:v>Source</x:v>
      </x:c>
      <x:c r="E42" s="49" t="str">
        <x:v>H0</x:v>
      </x:c>
      <x:c r="F42" s="49" t="str"/>
      <x:c r="G42" s="49" t="str">
        <x:v>find / inspect / recover</x:v>
      </x:c>
      <x:c r="H42" s="49" t="str"/>
      <x:c r="I42" s="49" t="str">
        <x:v>world</x:v>
      </x:c>
      <x:c r="J42" s="49" t="str">
        <x:v>observation / provenance</x:v>
      </x:c>
      <x:c r="K42" s="49" t="str">
        <x:v>variable</x:v>
      </x:c>
      <x:c r="L42" s="71" t="n">
        <x:v>0</x:v>
      </x:c>
      <x:c r="M42" s="71" t="n">
        <x:v>0</x:v>
      </x:c>
      <x:c r="N42" s="49" t="str">
        <x:v>identity and condition evidence</x:v>
      </x:c>
      <x:c r="O42" s="49" t="str">
        <x:v>inaccessible / contaminated / degraded</x:v>
      </x:c>
      <x:c r="P42" s="49" t="str"/>
      <x:c r="Q42" s="49" t="str">
        <x:v>No</x:v>
      </x:c>
      <x:c r="R42" s="71" t="n">
        <x:f>COUNTIF('Dependency Edges'!$B$5:$B$700,A42)</x:f>
        <x:v>0</x:v>
      </x:c>
      <x:c r="S42" s="71" t="n">
        <x:f>COUNTIF('Dependency Edges'!$A$5:$A$700,A42)</x:f>
        <x:v>2</x:v>
      </x:c>
      <x:c r="T42" s="49" t="str">
        <x:f>IF(AND(D42&lt;&gt;"Source",R42=0),"MISSING INPUT",IF(AND(Q42&lt;&gt;"Yes",S42=0),"NO DOWNSTREAM","OK"))</x:f>
        <x:v>OK</x:v>
      </x:c>
    </x:row>
    <x:row r="43">
      <x:c r="A43" s="49" t="str">
        <x:v>S-ANOMALY</x:v>
      </x:c>
      <x:c r="B43" s="49" t="str">
        <x:v>Anomaly matter/evidence</x:v>
      </x:c>
      <x:c r="C43" s="49" t="str">
        <x:v>Anomaly</x:v>
      </x:c>
      <x:c r="D43" s="49" t="str">
        <x:v>Source</x:v>
      </x:c>
      <x:c r="E43" s="49" t="str">
        <x:v>H0</x:v>
      </x:c>
      <x:c r="F43" s="49" t="str"/>
      <x:c r="G43" s="49" t="str">
        <x:v>find / inspect / recover</x:v>
      </x:c>
      <x:c r="H43" s="49" t="str"/>
      <x:c r="I43" s="49" t="str">
        <x:v>world</x:v>
      </x:c>
      <x:c r="J43" s="49" t="str">
        <x:v>observation / provenance</x:v>
      </x:c>
      <x:c r="K43" s="49" t="str">
        <x:v>variable</x:v>
      </x:c>
      <x:c r="L43" s="71" t="n">
        <x:v>0</x:v>
      </x:c>
      <x:c r="M43" s="71" t="n">
        <x:v>0</x:v>
      </x:c>
      <x:c r="N43" s="49" t="str">
        <x:v>identity and condition evidence</x:v>
      </x:c>
      <x:c r="O43" s="49" t="str">
        <x:v>inaccessible / contaminated / degraded</x:v>
      </x:c>
      <x:c r="P43" s="49" t="str"/>
      <x:c r="Q43" s="49" t="str">
        <x:v>No</x:v>
      </x:c>
      <x:c r="R43" s="71" t="n">
        <x:f>COUNTIF('Dependency Edges'!$B$5:$B$700,A43)</x:f>
        <x:v>0</x:v>
      </x:c>
      <x:c r="S43" s="71" t="n">
        <x:f>COUNTIF('Dependency Edges'!$A$5:$A$700,A43)</x:f>
        <x:v>1</x:v>
      </x:c>
      <x:c r="T43" s="49" t="str">
        <x:f>IF(AND(D43&lt;&gt;"Source",R43=0),"MISSING INPUT",IF(AND(Q43&lt;&gt;"Yes",S43=0),"NO DOWNSTREAM","OK"))</x:f>
        <x:v>OK</x:v>
      </x:c>
    </x:row>
    <x:row r="44">
      <x:c r="A44" s="49" t="str">
        <x:v>P-SHARP-EDGE</x:v>
      </x:c>
      <x:c r="B44" s="49" t="str">
        <x:v>Sharp edge/point</x:v>
      </x:c>
      <x:c r="C44" s="49" t="str">
        <x:v>Tools</x:v>
      </x:c>
      <x:c r="D44" s="49" t="str">
        <x:v>Processed</x:v>
      </x:c>
      <x:c r="E44" s="49" t="str">
        <x:v>H0</x:v>
      </x:c>
      <x:c r="F44" s="49" t="str">
        <x:v>S-STONE</x:v>
      </x:c>
      <x:c r="G44" s="49" t="str">
        <x:v>strike / fracture / inspect</x:v>
      </x:c>
      <x:c r="H44" s="49" t="str">
        <x:v>T-HAMMERSTONE</x:v>
      </x:c>
      <x:c r="I44" s="49" t="str">
        <x:v>work mat</x:v>
      </x:c>
      <x:c r="J44" s="49" t="str">
        <x:v>stone / edge</x:v>
      </x:c>
      <x:c r="K44" s="49" t="str">
        <x:v>dexterity</x:v>
      </x:c>
      <x:c r="L44" s="71" t="n">
        <x:v>10</x:v>
      </x:c>
      <x:c r="M44" s="71" t="n">
        <x:v>0</x:v>
      </x:c>
      <x:c r="N44" s="49" t="str">
        <x:v>controlled cut test</x:v>
      </x:c>
      <x:c r="O44" s="49" t="str">
        <x:v>cut hand / poor edge</x:v>
      </x:c>
      <x:c r="P44" s="49" t="str">
        <x:v>S-BONE</x:v>
      </x:c>
      <x:c r="Q44" s="49" t="str">
        <x:v>No</x:v>
      </x:c>
      <x:c r="R44" s="71" t="n">
        <x:f>COUNTIF('Dependency Edges'!$B$5:$B$700,A44)</x:f>
        <x:v>2</x:v>
      </x:c>
      <x:c r="S44" s="71" t="n">
        <x:f>COUNTIF('Dependency Edges'!$A$5:$A$700,A44)</x:f>
        <x:v>8</x:v>
      </x:c>
      <x:c r="T44" s="49" t="str">
        <x:f>IF(AND(D44&lt;&gt;"Source",R44=0),"MISSING INPUT",IF(AND(Q44&lt;&gt;"Yes",S44=0),"NO DOWNSTREAM","OK"))</x:f>
        <x:v>OK</x:v>
      </x:c>
    </x:row>
    <x:row r="45">
      <x:c r="A45" s="49" t="str">
        <x:v>T-HAMMERSTONE</x:v>
      </x:c>
      <x:c r="B45" s="49" t="str">
        <x:v>Hammer stone</x:v>
      </x:c>
      <x:c r="C45" s="49" t="str">
        <x:v>Tools</x:v>
      </x:c>
      <x:c r="D45" s="49" t="str">
        <x:v>Tool</x:v>
      </x:c>
      <x:c r="E45" s="49" t="str">
        <x:v>H0</x:v>
      </x:c>
      <x:c r="F45" s="49" t="str">
        <x:v>S-STONE</x:v>
      </x:c>
      <x:c r="G45" s="49" t="str">
        <x:v>select / grip / strike</x:v>
      </x:c>
      <x:c r="H45" s="49" t="str"/>
      <x:c r="I45" s="49" t="str">
        <x:v>world</x:v>
      </x:c>
      <x:c r="J45" s="49" t="str">
        <x:v>stone / striking</x:v>
      </x:c>
      <x:c r="K45" s="49" t="str">
        <x:v>grip</x:v>
      </x:c>
      <x:c r="L45" s="71" t="n">
        <x:v>5</x:v>
      </x:c>
      <x:c r="M45" s="71" t="n">
        <x:v>0</x:v>
      </x:c>
      <x:c r="N45" s="49" t="str">
        <x:v>controlled strike</x:v>
      </x:c>
      <x:c r="O45" s="49" t="str">
        <x:v>hand injury / unsuitable stone</x:v>
      </x:c>
      <x:c r="P45" s="49" t="str"/>
      <x:c r="Q45" s="49" t="str">
        <x:v>No</x:v>
      </x:c>
      <x:c r="R45" s="71" t="n">
        <x:f>COUNTIF('Dependency Edges'!$B$5:$B$700,A45)</x:f>
        <x:v>1</x:v>
      </x:c>
      <x:c r="S45" s="71" t="n">
        <x:f>COUNTIF('Dependency Edges'!$A$5:$A$700,A45)</x:f>
        <x:v>2</x:v>
      </x:c>
      <x:c r="T45" s="49" t="str">
        <x:f>IF(AND(D45&lt;&gt;"Source",R45=0),"MISSING INPUT",IF(AND(Q45&lt;&gt;"Yes",S45=0),"NO DOWNSTREAM","OK"))</x:f>
        <x:v>OK</x:v>
      </x:c>
    </x:row>
    <x:row r="46">
      <x:c r="A46" s="49" t="str">
        <x:v>T-STONE-KNIFE</x:v>
      </x:c>
      <x:c r="B46" s="49" t="str">
        <x:v>Stone hand cutter</x:v>
      </x:c>
      <x:c r="C46" s="49" t="str">
        <x:v>Tools</x:v>
      </x:c>
      <x:c r="D46" s="49" t="str">
        <x:v>Tool</x:v>
      </x:c>
      <x:c r="E46" s="49" t="str">
        <x:v>H0</x:v>
      </x:c>
      <x:c r="F46" s="49" t="str">
        <x:v>P-SHARP-EDGE; S-FIBER</x:v>
      </x:c>
      <x:c r="G46" s="49" t="str">
        <x:v>wrap / guard / cut / test</x:v>
      </x:c>
      <x:c r="H46" s="49" t="str">
        <x:v>T-HAMMERSTONE</x:v>
      </x:c>
      <x:c r="I46" s="49" t="str">
        <x:v>W-WORKMAT</x:v>
      </x:c>
      <x:c r="J46" s="49" t="str">
        <x:v>edge / binding</x:v>
      </x:c>
      <x:c r="K46" s="49" t="str">
        <x:v>dexterity</x:v>
      </x:c>
      <x:c r="L46" s="71" t="n">
        <x:v>20</x:v>
      </x:c>
      <x:c r="M46" s="71" t="n">
        <x:v>0</x:v>
      </x:c>
      <x:c r="N46" s="49" t="str">
        <x:v>safe varied cutting</x:v>
      </x:c>
      <x:c r="O46" s="49" t="str">
        <x:v>edge shifts / cut</x:v>
      </x:c>
      <x:c r="P46" s="49" t="str"/>
      <x:c r="Q46" s="49" t="str">
        <x:v>No</x:v>
      </x:c>
      <x:c r="R46" s="71" t="n">
        <x:f>COUNTIF('Dependency Edges'!$B$5:$B$700,A46)</x:f>
        <x:v>4</x:v>
      </x:c>
      <x:c r="S46" s="71" t="n">
        <x:f>COUNTIF('Dependency Edges'!$A$5:$A$700,A46)</x:f>
        <x:v>27</x:v>
      </x:c>
      <x:c r="T46" s="49" t="str">
        <x:f>IF(AND(D46&lt;&gt;"Source",R46=0),"MISSING INPUT",IF(AND(Q46&lt;&gt;"Yes",S46=0),"NO DOWNSTREAM","OK"))</x:f>
        <x:v>OK</x:v>
      </x:c>
    </x:row>
    <x:row r="47">
      <x:c r="A47" s="49" t="str">
        <x:v>P-CORD</x:v>
      </x:c>
      <x:c r="B47" s="49" t="str">
        <x:v>Hand cordage</x:v>
      </x:c>
      <x:c r="C47" s="49" t="str">
        <x:v>Textile</x:v>
      </x:c>
      <x:c r="D47" s="49" t="str">
        <x:v>Processed</x:v>
      </x:c>
      <x:c r="E47" s="49" t="str">
        <x:v>H1</x:v>
      </x:c>
      <x:c r="F47" s="49" t="str">
        <x:v>S-FIBER</x:v>
      </x:c>
      <x:c r="G47" s="49" t="str">
        <x:v>prepare / twist / splice</x:v>
      </x:c>
      <x:c r="H47" s="49" t="str">
        <x:v>T-STONE-KNIFE</x:v>
      </x:c>
      <x:c r="I47" s="49" t="str">
        <x:v>W-WORKMAT</x:v>
      </x:c>
      <x:c r="J47" s="49" t="str">
        <x:v>fiber / cordage</x:v>
      </x:c>
      <x:c r="K47" s="49" t="str">
        <x:v>dexterity</x:v>
      </x:c>
      <x:c r="L47" s="71" t="n">
        <x:v>30</x:v>
      </x:c>
      <x:c r="M47" s="71" t="n">
        <x:v>0</x:v>
      </x:c>
      <x:c r="N47" s="49" t="str">
        <x:v>tension and knot test</x:v>
      </x:c>
      <x:c r="O47" s="49" t="str">
        <x:v>uneven / wet / break</x:v>
      </x:c>
      <x:c r="P47" s="49" t="str">
        <x:v>S-FOUND-ROPE</x:v>
      </x:c>
      <x:c r="Q47" s="49" t="str">
        <x:v>No</x:v>
      </x:c>
      <x:c r="R47" s="71" t="n">
        <x:f>COUNTIF('Dependency Edges'!$B$5:$B$700,A47)</x:f>
        <x:v>4</x:v>
      </x:c>
      <x:c r="S47" s="71" t="n">
        <x:f>COUNTIF('Dependency Edges'!$A$5:$A$700,A47)</x:f>
        <x:v>29</x:v>
      </x:c>
      <x:c r="T47" s="49" t="str">
        <x:f>IF(AND(D47&lt;&gt;"Source",R47=0),"MISSING INPUT",IF(AND(Q47&lt;&gt;"Yes",S47=0),"NO DOWNSTREAM","OK"))</x:f>
        <x:v>OK</x:v>
      </x:c>
    </x:row>
    <x:row r="48">
      <x:c r="A48" s="49" t="str">
        <x:v>P-ROPE</x:v>
      </x:c>
      <x:c r="B48" s="49" t="str">
        <x:v>Rated rope</x:v>
      </x:c>
      <x:c r="C48" s="49" t="str">
        <x:v>Textile</x:v>
      </x:c>
      <x:c r="D48" s="49" t="str">
        <x:v>Processed</x:v>
      </x:c>
      <x:c r="E48" s="49" t="str">
        <x:v>H2</x:v>
      </x:c>
      <x:c r="F48" s="49" t="str">
        <x:v>P-CORD</x:v>
      </x:c>
      <x:c r="G48" s="49" t="str">
        <x:v>lay / splice / test</x:v>
      </x:c>
      <x:c r="H48" s="49" t="str">
        <x:v>T-MEASURE</x:v>
      </x:c>
      <x:c r="I48" s="49" t="str">
        <x:v>W-BENCH</x:v>
      </x:c>
      <x:c r="J48" s="49" t="str">
        <x:v>fiber / rigging</x:v>
      </x:c>
      <x:c r="K48" s="49" t="str">
        <x:v>endurance + dexterity</x:v>
      </x:c>
      <x:c r="L48" s="71" t="n">
        <x:v>120</x:v>
      </x:c>
      <x:c r="M48" s="71" t="n">
        <x:v>0</x:v>
      </x:c>
      <x:c r="N48" s="49" t="str">
        <x:v>proof load and inspection</x:v>
      </x:c>
      <x:c r="O48" s="49" t="str">
        <x:v>strand failure</x:v>
      </x:c>
      <x:c r="P48" s="49" t="str">
        <x:v>S-FOUND-ROPE</x:v>
      </x:c>
      <x:c r="Q48" s="49" t="str">
        <x:v>No</x:v>
      </x:c>
      <x:c r="R48" s="71" t="n">
        <x:f>COUNTIF('Dependency Edges'!$B$5:$B$700,A48)</x:f>
        <x:v>4</x:v>
      </x:c>
      <x:c r="S48" s="71" t="n">
        <x:f>COUNTIF('Dependency Edges'!$A$5:$A$700,A48)</x:f>
        <x:v>11</x:v>
      </x:c>
      <x:c r="T48" s="49" t="str">
        <x:f>IF(AND(D48&lt;&gt;"Source",R48=0),"MISSING INPUT",IF(AND(Q48&lt;&gt;"Yes",S48=0),"NO DOWNSTREAM","OK"))</x:f>
        <x:v>OK</x:v>
      </x:c>
    </x:row>
    <x:row r="49">
      <x:c r="A49" s="49" t="str">
        <x:v>P-MAT</x:v>
      </x:c>
      <x:c r="B49" s="49" t="str">
        <x:v>Woven mat/basket stock</x:v>
      </x:c>
      <x:c r="C49" s="49" t="str">
        <x:v>Textile</x:v>
      </x:c>
      <x:c r="D49" s="49" t="str">
        <x:v>Processed</x:v>
      </x:c>
      <x:c r="E49" s="49" t="str">
        <x:v>H1</x:v>
      </x:c>
      <x:c r="F49" s="49" t="str">
        <x:v>S-FIBER; P-CORD</x:v>
      </x:c>
      <x:c r="G49" s="49" t="str">
        <x:v>split / weave / edge</x:v>
      </x:c>
      <x:c r="H49" s="49" t="str">
        <x:v>T-STONE-KNIFE</x:v>
      </x:c>
      <x:c r="I49" s="49" t="str">
        <x:v>W-WORKMAT</x:v>
      </x:c>
      <x:c r="J49" s="49" t="str">
        <x:v>weaving</x:v>
      </x:c>
      <x:c r="K49" s="49" t="str">
        <x:v>dexterity</x:v>
      </x:c>
      <x:c r="L49" s="71" t="n">
        <x:v>90</x:v>
      </x:c>
      <x:c r="M49" s="71" t="n">
        <x:v>0</x:v>
      </x:c>
      <x:c r="N49" s="49" t="str">
        <x:v>load/coverage test</x:v>
      </x:c>
      <x:c r="O49" s="49" t="str">
        <x:v>gap / tear</x:v>
      </x:c>
      <x:c r="P49" s="49" t="str">
        <x:v>S-CANVAS</x:v>
      </x:c>
      <x:c r="Q49" s="49" t="str">
        <x:v>No</x:v>
      </x:c>
      <x:c r="R49" s="71" t="n">
        <x:f>COUNTIF('Dependency Edges'!$B$5:$B$700,A49)</x:f>
        <x:v>4</x:v>
      </x:c>
      <x:c r="S49" s="71" t="n">
        <x:f>COUNTIF('Dependency Edges'!$A$5:$A$700,A49)</x:f>
        <x:v>18</x:v>
      </x:c>
      <x:c r="T49" s="49" t="str">
        <x:f>IF(AND(D49&lt;&gt;"Source",R49=0),"MISSING INPUT",IF(AND(Q49&lt;&gt;"Yes",S49=0),"NO DOWNSTREAM","OK"))</x:f>
        <x:v>OK</x:v>
      </x:c>
    </x:row>
    <x:row r="50">
      <x:c r="A50" s="49" t="str">
        <x:v>P-STRAIGHT-POLE</x:v>
      </x:c>
      <x:c r="B50" s="49" t="str">
        <x:v>Prepared pole/member</x:v>
      </x:c>
      <x:c r="C50" s="49" t="str">
        <x:v>Timber</x:v>
      </x:c>
      <x:c r="D50" s="49" t="str">
        <x:v>Processed</x:v>
      </x:c>
      <x:c r="E50" s="49" t="str">
        <x:v>H1</x:v>
      </x:c>
      <x:c r="F50" s="49" t="str">
        <x:v>S-TIMBER; T-STONE-KNIFE</x:v>
      </x:c>
      <x:c r="G50" s="49" t="str">
        <x:v>select / trim / straighten</x:v>
      </x:c>
      <x:c r="H50" s="49" t="str">
        <x:v>T-STONE-KNIFE</x:v>
      </x:c>
      <x:c r="I50" s="49" t="str">
        <x:v>world</x:v>
      </x:c>
      <x:c r="J50" s="49" t="str">
        <x:v>timber</x:v>
      </x:c>
      <x:c r="K50" s="49" t="str">
        <x:v>strength + dexterity</x:v>
      </x:c>
      <x:c r="L50" s="71" t="n">
        <x:v>45</x:v>
      </x:c>
      <x:c r="M50" s="71" t="n">
        <x:v>0</x:v>
      </x:c>
      <x:c r="N50" s="49" t="str">
        <x:v>straight/load inspection</x:v>
      </x:c>
      <x:c r="O50" s="49" t="str">
        <x:v>split / rot</x:v>
      </x:c>
      <x:c r="P50" s="49" t="str">
        <x:v>S-FERROUS</x:v>
      </x:c>
      <x:c r="Q50" s="49" t="str">
        <x:v>No</x:v>
      </x:c>
      <x:c r="R50" s="71" t="n">
        <x:f>COUNTIF('Dependency Edges'!$B$5:$B$700,A50)</x:f>
        <x:v>2</x:v>
      </x:c>
      <x:c r="S50" s="71" t="n">
        <x:f>COUNTIF('Dependency Edges'!$A$5:$A$700,A50)</x:f>
        <x:v>37</x:v>
      </x:c>
      <x:c r="T50" s="49" t="str">
        <x:f>IF(AND(D50&lt;&gt;"Source",R50=0),"MISSING INPUT",IF(AND(Q50&lt;&gt;"Yes",S50=0),"NO DOWNSTREAM","OK"))</x:f>
        <x:v>OK</x:v>
      </x:c>
    </x:row>
    <x:row r="51">
      <x:c r="A51" s="49" t="str">
        <x:v>P-PLANK</x:v>
      </x:c>
      <x:c r="B51" s="49" t="str">
        <x:v>Plank/board stock</x:v>
      </x:c>
      <x:c r="C51" s="49" t="str">
        <x:v>Timber</x:v>
      </x:c>
      <x:c r="D51" s="49" t="str">
        <x:v>Processed</x:v>
      </x:c>
      <x:c r="E51" s="49" t="str">
        <x:v>H3</x:v>
      </x:c>
      <x:c r="F51" s="49" t="str">
        <x:v>S-TIMBER; T-AXE; T-SAW</x:v>
      </x:c>
      <x:c r="G51" s="49" t="str">
        <x:v>split / saw / plane</x:v>
      </x:c>
      <x:c r="H51" s="49" t="str">
        <x:v>T-SAW</x:v>
      </x:c>
      <x:c r="I51" s="49" t="str">
        <x:v>W-BENCH</x:v>
      </x:c>
      <x:c r="J51" s="49" t="str">
        <x:v>timber / layout</x:v>
      </x:c>
      <x:c r="K51" s="49" t="str">
        <x:v>strength + endurance</x:v>
      </x:c>
      <x:c r="L51" s="71" t="n">
        <x:v>180</x:v>
      </x:c>
      <x:c r="M51" s="71" t="n">
        <x:v>0</x:v>
      </x:c>
      <x:c r="N51" s="49" t="str">
        <x:v>flatness and defect test</x:v>
      </x:c>
      <x:c r="O51" s="49" t="str">
        <x:v>waste / warp</x:v>
      </x:c>
      <x:c r="P51" s="49" t="str">
        <x:v>S-CANVAS</x:v>
      </x:c>
      <x:c r="Q51" s="49" t="str">
        <x:v>No</x:v>
      </x:c>
      <x:c r="R51" s="71" t="n">
        <x:f>COUNTIF('Dependency Edges'!$B$5:$B$700,A51)</x:f>
        <x:v>5</x:v>
      </x:c>
      <x:c r="S51" s="71" t="n">
        <x:f>COUNTIF('Dependency Edges'!$A$5:$A$700,A51)</x:f>
        <x:v>8</x:v>
      </x:c>
      <x:c r="T51" s="49" t="str">
        <x:f>IF(AND(D51&lt;&gt;"Source",R51=0),"MISSING INPUT",IF(AND(Q51&lt;&gt;"Yes",S51=0),"NO DOWNSTREAM","OK"))</x:f>
        <x:v>OK</x:v>
      </x:c>
    </x:row>
    <x:row r="52">
      <x:c r="A52" s="49" t="str">
        <x:v>P-PEG</x:v>
      </x:c>
      <x:c r="B52" s="49" t="str">
        <x:v>Peg/wedge/wood fastener</x:v>
      </x:c>
      <x:c r="C52" s="49" t="str">
        <x:v>Joining</x:v>
      </x:c>
      <x:c r="D52" s="49" t="str">
        <x:v>Processed</x:v>
      </x:c>
      <x:c r="E52" s="49" t="str">
        <x:v>H1</x:v>
      </x:c>
      <x:c r="F52" s="49" t="str">
        <x:v>P-STRAIGHT-POLE; T-STONE-KNIFE</x:v>
      </x:c>
      <x:c r="G52" s="49" t="str">
        <x:v>cut / taper / fit</x:v>
      </x:c>
      <x:c r="H52" s="49" t="str">
        <x:v>T-STONE-KNIFE</x:v>
      </x:c>
      <x:c r="I52" s="49" t="str">
        <x:v>W-WORKMAT</x:v>
      </x:c>
      <x:c r="J52" s="49" t="str">
        <x:v>joinery</x:v>
      </x:c>
      <x:c r="K52" s="49" t="str">
        <x:v>dexterity</x:v>
      </x:c>
      <x:c r="L52" s="71" t="n">
        <x:v>15</x:v>
      </x:c>
      <x:c r="M52" s="71" t="n">
        <x:v>0</x:v>
      </x:c>
      <x:c r="N52" s="49" t="str">
        <x:v>fit/pull test</x:v>
      </x:c>
      <x:c r="O52" s="49" t="str">
        <x:v>split / loose</x:v>
      </x:c>
      <x:c r="P52" s="49" t="str">
        <x:v>S-FASTENER</x:v>
      </x:c>
      <x:c r="Q52" s="49" t="str">
        <x:v>No</x:v>
      </x:c>
      <x:c r="R52" s="71" t="n">
        <x:f>COUNTIF('Dependency Edges'!$B$5:$B$700,A52)</x:f>
        <x:v>3</x:v>
      </x:c>
      <x:c r="S52" s="71" t="n">
        <x:f>COUNTIF('Dependency Edges'!$A$5:$A$700,A52)</x:f>
        <x:v>8</x:v>
      </x:c>
      <x:c r="T52" s="49" t="str">
        <x:f>IF(AND(D52&lt;&gt;"Source",R52=0),"MISSING INPUT",IF(AND(Q52&lt;&gt;"Yes",S52=0),"NO DOWNSTREAM","OK"))</x:f>
        <x:v>OK</x:v>
      </x:c>
    </x:row>
    <x:row r="53">
      <x:c r="A53" s="49" t="str">
        <x:v>P-PITCH</x:v>
      </x:c>
      <x:c r="B53" s="49" t="str">
        <x:v>Prepared sealant</x:v>
      </x:c>
      <x:c r="C53" s="49" t="str">
        <x:v>Joining</x:v>
      </x:c>
      <x:c r="D53" s="49" t="str">
        <x:v>Processed</x:v>
      </x:c>
      <x:c r="E53" s="49" t="str">
        <x:v>H2</x:v>
      </x:c>
      <x:c r="F53" s="49" t="str">
        <x:v>S-RESIN; W-HEARTH</x:v>
      </x:c>
      <x:c r="G53" s="49" t="str">
        <x:v>collect / heat / mix / test</x:v>
      </x:c>
      <x:c r="H53" s="49" t="str">
        <x:v>C-FOUND-PAN</x:v>
      </x:c>
      <x:c r="I53" s="49" t="str">
        <x:v>W-HEARTH</x:v>
      </x:c>
      <x:c r="J53" s="49" t="str">
        <x:v>seal / thermal</x:v>
      </x:c>
      <x:c r="K53" s="49" t="str">
        <x:v>heat control</x:v>
      </x:c>
      <x:c r="L53" s="71" t="n">
        <x:v>60</x:v>
      </x:c>
      <x:c r="M53" s="71" t="n">
        <x:v>30</x:v>
      </x:c>
      <x:c r="N53" s="49" t="str">
        <x:v>adhesion/water test</x:v>
      </x:c>
      <x:c r="O53" s="49" t="str">
        <x:v>burn / brittle / contaminate</x:v>
      </x:c>
      <x:c r="P53" s="49" t="str">
        <x:v>S-RUBBER</x:v>
      </x:c>
      <x:c r="Q53" s="49" t="str">
        <x:v>No</x:v>
      </x:c>
      <x:c r="R53" s="71" t="n">
        <x:f>COUNTIF('Dependency Edges'!$B$5:$B$700,A53)</x:f>
        <x:v>3</x:v>
      </x:c>
      <x:c r="S53" s="71" t="n">
        <x:f>COUNTIF('Dependency Edges'!$A$5:$A$700,A53)</x:f>
        <x:v>2</x:v>
      </x:c>
      <x:c r="T53" s="49" t="str">
        <x:f>IF(AND(D53&lt;&gt;"Source",R53=0),"MISSING INPUT",IF(AND(Q53&lt;&gt;"Yes",S53=0),"NO DOWNSTREAM","OK"))</x:f>
        <x:v>OK</x:v>
      </x:c>
    </x:row>
    <x:row r="54">
      <x:c r="A54" s="49" t="str">
        <x:v>P-CHARCOAL</x:v>
      </x:c>
      <x:c r="B54" s="49" t="str">
        <x:v>Charcoal</x:v>
      </x:c>
      <x:c r="C54" s="49" t="str">
        <x:v>Thermal</x:v>
      </x:c>
      <x:c r="D54" s="49" t="str">
        <x:v>Processed</x:v>
      </x:c>
      <x:c r="E54" s="49" t="str">
        <x:v>H3</x:v>
      </x:c>
      <x:c r="F54" s="49" t="str">
        <x:v>S-WOODFUEL; W-CHARCOAL</x:v>
      </x:c>
      <x:c r="G54" s="49" t="str">
        <x:v>grade / load / restrict / cool</x:v>
      </x:c>
      <x:c r="H54" s="49" t="str">
        <x:v>T-SHOVEL</x:v>
      </x:c>
      <x:c r="I54" s="49" t="str">
        <x:v>W-CHARCOAL</x:v>
      </x:c>
      <x:c r="J54" s="49" t="str">
        <x:v>firecraft</x:v>
      </x:c>
      <x:c r="K54" s="49" t="str">
        <x:v>heat endurance</x:v>
      </x:c>
      <x:c r="L54" s="71" t="n">
        <x:v>120</x:v>
      </x:c>
      <x:c r="M54" s="71" t="n">
        <x:v>480</x:v>
      </x:c>
      <x:c r="N54" s="49" t="str">
        <x:v>yield and burn test</x:v>
      </x:c>
      <x:c r="O54" s="49" t="str">
        <x:v>fire / ash / undercarbonize</x:v>
      </x:c>
      <x:c r="P54" s="49" t="str"/>
      <x:c r="Q54" s="49" t="str">
        <x:v>No</x:v>
      </x:c>
      <x:c r="R54" s="71" t="n">
        <x:f>COUNTIF('Dependency Edges'!$B$5:$B$700,A54)</x:f>
        <x:v>3</x:v>
      </x:c>
      <x:c r="S54" s="71" t="n">
        <x:f>COUNTIF('Dependency Edges'!$A$5:$A$700,A54)</x:f>
        <x:v>3</x:v>
      </x:c>
      <x:c r="T54" s="49" t="str">
        <x:f>IF(AND(D54&lt;&gt;"Source",R54=0),"MISSING INPUT",IF(AND(Q54&lt;&gt;"Yes",S54=0),"NO DOWNSTREAM","OK"))</x:f>
        <x:v>OK</x:v>
      </x:c>
    </x:row>
    <x:row r="55">
      <x:c r="A55" s="49" t="str">
        <x:v>P-CLAY-BODY</x:v>
      </x:c>
      <x:c r="B55" s="49" t="str">
        <x:v>Prepared clay body</x:v>
      </x:c>
      <x:c r="C55" s="49" t="str">
        <x:v>Ceramic</x:v>
      </x:c>
      <x:c r="D55" s="49" t="str">
        <x:v>Processed</x:v>
      </x:c>
      <x:c r="E55" s="49" t="str">
        <x:v>H2</x:v>
      </x:c>
      <x:c r="F55" s="49" t="str">
        <x:v>S-CLAY; S-SAND</x:v>
      </x:c>
      <x:c r="G55" s="49" t="str">
        <x:v>clean / temper / wedge</x:v>
      </x:c>
      <x:c r="H55" s="49" t="str">
        <x:v>T-DIG</x:v>
      </x:c>
      <x:c r="I55" s="49" t="str">
        <x:v>W-WORKMAT</x:v>
      </x:c>
      <x:c r="J55" s="49" t="str">
        <x:v>clay</x:v>
      </x:c>
      <x:c r="K55" s="49" t="str">
        <x:v>dexterity</x:v>
      </x:c>
      <x:c r="L55" s="71" t="n">
        <x:v>60</x:v>
      </x:c>
      <x:c r="M55" s="71" t="n">
        <x:v>60</x:v>
      </x:c>
      <x:c r="N55" s="49" t="str">
        <x:v>forming sample</x:v>
      </x:c>
      <x:c r="O55" s="49" t="str">
        <x:v>crack / contamination</x:v>
      </x:c>
      <x:c r="P55" s="49" t="str"/>
      <x:c r="Q55" s="49" t="str">
        <x:v>No</x:v>
      </x:c>
      <x:c r="R55" s="71" t="n">
        <x:f>COUNTIF('Dependency Edges'!$B$5:$B$700,A55)</x:f>
        <x:v>4</x:v>
      </x:c>
      <x:c r="S55" s="71" t="n">
        <x:f>COUNTIF('Dependency Edges'!$A$5:$A$700,A55)</x:f>
        <x:v>2</x:v>
      </x:c>
      <x:c r="T55" s="49" t="str">
        <x:f>IF(AND(D55&lt;&gt;"Source",R55=0),"MISSING INPUT",IF(AND(Q55&lt;&gt;"Yes",S55=0),"NO DOWNSTREAM","OK"))</x:f>
        <x:v>OK</x:v>
      </x:c>
    </x:row>
    <x:row r="56">
      <x:c r="A56" s="49" t="str">
        <x:v>P-FIRED-CERAMIC</x:v>
      </x:c>
      <x:c r="B56" s="49" t="str">
        <x:v>Fired ceramic/refractory</x:v>
      </x:c>
      <x:c r="C56" s="49" t="str">
        <x:v>Ceramic</x:v>
      </x:c>
      <x:c r="D56" s="49" t="str">
        <x:v>Processed</x:v>
      </x:c>
      <x:c r="E56" s="49" t="str">
        <x:v>H4</x:v>
      </x:c>
      <x:c r="F56" s="49" t="str">
        <x:v>P-CLAY-BODY; W-KILN</x:v>
      </x:c>
      <x:c r="G56" s="49" t="str">
        <x:v>form / dry / fire / cool</x:v>
      </x:c>
      <x:c r="H56" s="49" t="str">
        <x:v>T-TONGS</x:v>
      </x:c>
      <x:c r="I56" s="49" t="str">
        <x:v>W-KILN</x:v>
      </x:c>
      <x:c r="J56" s="49" t="str">
        <x:v>clay / heat</x:v>
      </x:c>
      <x:c r="K56" s="49" t="str">
        <x:v>dexterity + heat</x:v>
      </x:c>
      <x:c r="L56" s="71" t="n">
        <x:v>120</x:v>
      </x:c>
      <x:c r="M56" s="71" t="n">
        <x:v>720</x:v>
      </x:c>
      <x:c r="N56" s="49" t="str">
        <x:v>ring/leak/heat test</x:v>
      </x:c>
      <x:c r="O56" s="49" t="str">
        <x:v>crack / spall</x:v>
      </x:c>
      <x:c r="P56" s="49" t="str"/>
      <x:c r="Q56" s="49" t="str">
        <x:v>No</x:v>
      </x:c>
      <x:c r="R56" s="71" t="n">
        <x:f>COUNTIF('Dependency Edges'!$B$5:$B$700,A56)</x:f>
        <x:v>3</x:v>
      </x:c>
      <x:c r="S56" s="71" t="n">
        <x:f>COUNTIF('Dependency Edges'!$A$5:$A$700,A56)</x:f>
        <x:v>6</x:v>
      </x:c>
      <x:c r="T56" s="49" t="str">
        <x:f>IF(AND(D56&lt;&gt;"Source",R56=0),"MISSING INPUT",IF(AND(Q56&lt;&gt;"Yes",S56=0),"NO DOWNSTREAM","OK"))</x:f>
        <x:v>OK</x:v>
      </x:c>
    </x:row>
    <x:row r="57">
      <x:c r="A57" s="49" t="str">
        <x:v>P-METAL-STOCK</x:v>
      </x:c>
      <x:c r="B57" s="49" t="str">
        <x:v>Sorted cleaned metal stock</x:v>
      </x:c>
      <x:c r="C57" s="49" t="str">
        <x:v>Metal</x:v>
      </x:c>
      <x:c r="D57" s="49" t="str">
        <x:v>Processed</x:v>
      </x:c>
      <x:c r="E57" s="49" t="str">
        <x:v>H3</x:v>
      </x:c>
      <x:c r="F57" s="49" t="str">
        <x:v>S-FERROUS</x:v>
      </x:c>
      <x:c r="G57" s="49" t="str">
        <x:v>isolate / clean / grade</x:v>
      </x:c>
      <x:c r="H57" s="49" t="str">
        <x:v>T-PRY</x:v>
      </x:c>
      <x:c r="I57" s="49" t="str">
        <x:v>W-BENCH</x:v>
      </x:c>
      <x:c r="J57" s="49" t="str">
        <x:v>salvage / metal</x:v>
      </x:c>
      <x:c r="K57" s="49" t="str">
        <x:v>moderate</x:v>
      </x:c>
      <x:c r="L57" s="71" t="n">
        <x:v>90</x:v>
      </x:c>
      <x:c r="M57" s="71" t="n">
        <x:v>0</x:v>
      </x:c>
      <x:c r="N57" s="49" t="str">
        <x:v>coupon/condition test</x:v>
      </x:c>
      <x:c r="O57" s="49" t="str">
        <x:v>contamination / crack</x:v>
      </x:c>
      <x:c r="P57" s="49" t="str">
        <x:v>S-BRASS</x:v>
      </x:c>
      <x:c r="Q57" s="49" t="str">
        <x:v>No</x:v>
      </x:c>
      <x:c r="R57" s="71" t="n">
        <x:f>COUNTIF('Dependency Edges'!$B$5:$B$700,A57)</x:f>
        <x:v>3</x:v>
      </x:c>
      <x:c r="S57" s="71" t="n">
        <x:f>COUNTIF('Dependency Edges'!$A$5:$A$700,A57)</x:f>
        <x:v>13</x:v>
      </x:c>
      <x:c r="T57" s="49" t="str">
        <x:f>IF(AND(D57&lt;&gt;"Source",R57=0),"MISSING INPUT",IF(AND(Q57&lt;&gt;"Yes",S57=0),"NO DOWNSTREAM","OK"))</x:f>
        <x:v>OK</x:v>
      </x:c>
    </x:row>
    <x:row r="58">
      <x:c r="A58" s="49" t="str">
        <x:v>P-DEBURRED-AL</x:v>
      </x:c>
      <x:c r="B58" s="49" t="str">
        <x:v>Qualified deburred aluminum sheet</x:v>
      </x:c>
      <x:c r="C58" s="49" t="str">
        <x:v>Metal</x:v>
      </x:c>
      <x:c r="D58" s="49" t="str">
        <x:v>Processed</x:v>
      </x:c>
      <x:c r="E58" s="49" t="str">
        <x:v>H4</x:v>
      </x:c>
      <x:c r="F58" s="49" t="str">
        <x:v>S-ALUMINUM; T-SNIPS; T-FILE</x:v>
      </x:c>
      <x:c r="G58" s="49" t="str">
        <x:v>provenance / detach / clean / coupon</x:v>
      </x:c>
      <x:c r="H58" s="49" t="str">
        <x:v>T-SNIPS; T-FILE</x:v>
      </x:c>
      <x:c r="I58" s="49" t="str">
        <x:v>W-BENCH</x:v>
      </x:c>
      <x:c r="J58" s="49" t="str">
        <x:v>salvage / food-contact / metal</x:v>
      </x:c>
      <x:c r="K58" s="49" t="str">
        <x:v>dexterity</x:v>
      </x:c>
      <x:c r="L58" s="71" t="n">
        <x:v>240</x:v>
      </x:c>
      <x:c r="M58" s="71" t="n">
        <x:v>0</x:v>
      </x:c>
      <x:c r="N58" s="49" t="str">
        <x:v>bend/surface coupon</x:v>
      </x:c>
      <x:c r="O58" s="49" t="str">
        <x:v>coating / fuel / crack</x:v>
      </x:c>
      <x:c r="P58" s="49" t="str"/>
      <x:c r="Q58" s="49" t="str">
        <x:v>No</x:v>
      </x:c>
      <x:c r="R58" s="71" t="n">
        <x:f>COUNTIF('Dependency Edges'!$B$5:$B$700,A58)</x:f>
        <x:v>4</x:v>
      </x:c>
      <x:c r="S58" s="71" t="n">
        <x:f>COUNTIF('Dependency Edges'!$A$5:$A$700,A58)</x:f>
        <x:v>1</x:v>
      </x:c>
      <x:c r="T58" s="49" t="str">
        <x:f>IF(AND(D58&lt;&gt;"Source",R58=0),"MISSING INPUT",IF(AND(Q58&lt;&gt;"Yes",S58=0),"NO DOWNSTREAM","OK"))</x:f>
        <x:v>OK</x:v>
      </x:c>
    </x:row>
    <x:row r="59">
      <x:c r="A59" s="49" t="str">
        <x:v>P-RIVET</x:v>
      </x:c>
      <x:c r="B59" s="49" t="str">
        <x:v>Suitable rivet/fastener</x:v>
      </x:c>
      <x:c r="C59" s="49" t="str">
        <x:v>Joining</x:v>
      </x:c>
      <x:c r="D59" s="49" t="str">
        <x:v>Processed</x:v>
      </x:c>
      <x:c r="E59" s="49" t="str">
        <x:v>H4</x:v>
      </x:c>
      <x:c r="F59" s="49" t="str">
        <x:v>S-FASTENER</x:v>
      </x:c>
      <x:c r="G59" s="49" t="str">
        <x:v>sort / clean / test</x:v>
      </x:c>
      <x:c r="H59" s="49" t="str">
        <x:v>T-MEASURE</x:v>
      </x:c>
      <x:c r="I59" s="49" t="str">
        <x:v>W-BENCH</x:v>
      </x:c>
      <x:c r="J59" s="49" t="str">
        <x:v>fastener</x:v>
      </x:c>
      <x:c r="K59" s="49" t="str">
        <x:v>dexterity</x:v>
      </x:c>
      <x:c r="L59" s="71" t="n">
        <x:v>30</x:v>
      </x:c>
      <x:c r="M59" s="71" t="n">
        <x:v>0</x:v>
      </x:c>
      <x:c r="N59" s="49" t="str">
        <x:v>shear/pull sample</x:v>
      </x:c>
      <x:c r="O59" s="49" t="str">
        <x:v>mixed alloy / weak</x:v>
      </x:c>
      <x:c r="P59" s="49" t="str">
        <x:v>P-PEG</x:v>
      </x:c>
      <x:c r="Q59" s="49" t="str">
        <x:v>No</x:v>
      </x:c>
      <x:c r="R59" s="71" t="n">
        <x:f>COUNTIF('Dependency Edges'!$B$5:$B$700,A59)</x:f>
        <x:v>3</x:v>
      </x:c>
      <x:c r="S59" s="71" t="n">
        <x:f>COUNTIF('Dependency Edges'!$A$5:$A$700,A59)</x:f>
        <x:v>1</x:v>
      </x:c>
      <x:c r="T59" s="49" t="str">
        <x:f>IF(AND(D59&lt;&gt;"Source",R59=0),"MISSING INPUT",IF(AND(Q59&lt;&gt;"Yes",S59=0),"NO DOWNSTREAM","OK"))</x:f>
        <x:v>OK</x:v>
      </x:c>
    </x:row>
    <x:row r="60">
      <x:c r="A60" s="49" t="str">
        <x:v>P-GASKET</x:v>
      </x:c>
      <x:c r="B60" s="49" t="str">
        <x:v>Seal/gasket set</x:v>
      </x:c>
      <x:c r="C60" s="49" t="str">
        <x:v>Joining</x:v>
      </x:c>
      <x:c r="D60" s="49" t="str">
        <x:v>Processed</x:v>
      </x:c>
      <x:c r="E60" s="49" t="str">
        <x:v>H4</x:v>
      </x:c>
      <x:c r="F60" s="49" t="str">
        <x:v>S-RUBBER; T-STONE-KNIFE</x:v>
      </x:c>
      <x:c r="G60" s="49" t="str">
        <x:v>clean / cut / fit / compress</x:v>
      </x:c>
      <x:c r="H60" s="49" t="str">
        <x:v>T-STONE-KNIFE</x:v>
      </x:c>
      <x:c r="I60" s="49" t="str">
        <x:v>W-BENCH</x:v>
      </x:c>
      <x:c r="J60" s="49" t="str">
        <x:v>sealing</x:v>
      </x:c>
      <x:c r="K60" s="49" t="str">
        <x:v>dexterity</x:v>
      </x:c>
      <x:c r="L60" s="71" t="n">
        <x:v>45</x:v>
      </x:c>
      <x:c r="M60" s="71" t="n">
        <x:v>0</x:v>
      </x:c>
      <x:c r="N60" s="49" t="str">
        <x:v>leak/compatibility test</x:v>
      </x:c>
      <x:c r="O60" s="49" t="str">
        <x:v>swell / crack</x:v>
      </x:c>
      <x:c r="P60" s="49" t="str">
        <x:v>P-PITCH</x:v>
      </x:c>
      <x:c r="Q60" s="49" t="str">
        <x:v>No</x:v>
      </x:c>
      <x:c r="R60" s="71" t="n">
        <x:f>COUNTIF('Dependency Edges'!$B$5:$B$700,A60)</x:f>
        <x:v>3</x:v>
      </x:c>
      <x:c r="S60" s="71" t="n">
        <x:f>COUNTIF('Dependency Edges'!$A$5:$A$700,A60)</x:f>
        <x:v>4</x:v>
      </x:c>
      <x:c r="T60" s="49" t="str">
        <x:f>IF(AND(D60&lt;&gt;"Source",R60=0),"MISSING INPUT",IF(AND(Q60&lt;&gt;"Yes",S60=0),"NO DOWNSTREAM","OK"))</x:f>
        <x:v>OK</x:v>
      </x:c>
    </x:row>
    <x:row r="61">
      <x:c r="A61" s="49" t="str">
        <x:v>P-CONDUCTOR</x:v>
      </x:c>
      <x:c r="B61" s="49" t="str">
        <x:v>Protected conductor/terminal</x:v>
      </x:c>
      <x:c r="C61" s="49" t="str">
        <x:v>Electrical</x:v>
      </x:c>
      <x:c r="D61" s="49" t="str">
        <x:v>Processed</x:v>
      </x:c>
      <x:c r="E61" s="49" t="str">
        <x:v>H4</x:v>
      </x:c>
      <x:c r="F61" s="49" t="str">
        <x:v>S-WIRE; S-COPPER</x:v>
      </x:c>
      <x:c r="G61" s="49" t="str">
        <x:v>clean / join / insulate / test</x:v>
      </x:c>
      <x:c r="H61" s="49" t="str">
        <x:v>T-METER</x:v>
      </x:c>
      <x:c r="I61" s="49" t="str">
        <x:v>W-ELECTRICAL</x:v>
      </x:c>
      <x:c r="J61" s="49" t="str">
        <x:v>electrical</x:v>
      </x:c>
      <x:c r="K61" s="49" t="str">
        <x:v>dexterity</x:v>
      </x:c>
      <x:c r="L61" s="71" t="n">
        <x:v>45</x:v>
      </x:c>
      <x:c r="M61" s="71" t="n">
        <x:v>0</x:v>
      </x:c>
      <x:c r="N61" s="49" t="str">
        <x:v>continuity/isolation</x:v>
      </x:c>
      <x:c r="O61" s="49" t="str">
        <x:v>short / corrosion</x:v>
      </x:c>
      <x:c r="P61" s="49" t="str"/>
      <x:c r="Q61" s="49" t="str">
        <x:v>No</x:v>
      </x:c>
      <x:c r="R61" s="71" t="n">
        <x:f>COUNTIF('Dependency Edges'!$B$5:$B$700,A61)</x:f>
        <x:v>4</x:v>
      </x:c>
      <x:c r="S61" s="71" t="n">
        <x:f>COUNTIF('Dependency Edges'!$A$5:$A$700,A61)</x:f>
        <x:v>5</x:v>
      </x:c>
      <x:c r="T61" s="49" t="str">
        <x:f>IF(AND(D61&lt;&gt;"Source",R61=0),"MISSING INPUT",IF(AND(Q61&lt;&gt;"Yes",S61=0),"NO DOWNSTREAM","OK"))</x:f>
        <x:v>OK</x:v>
      </x:c>
    </x:row>
    <x:row r="62">
      <x:c r="A62" s="49" t="str">
        <x:v>P-CLEAN-WATER</x:v>
      </x:c>
      <x:c r="B62" s="49" t="str">
        <x:v>Treated protected water lot</x:v>
      </x:c>
      <x:c r="C62" s="49" t="str">
        <x:v>Water</x:v>
      </x:c>
      <x:c r="D62" s="49" t="str">
        <x:v>Processed</x:v>
      </x:c>
      <x:c r="E62" s="49" t="str">
        <x:v>H2</x:v>
      </x:c>
      <x:c r="F62" s="49" t="str">
        <x:v>S-POND; C-FOUND-PAN; W-HEARTH</x:v>
      </x:c>
      <x:c r="G62" s="49" t="str">
        <x:v>collect / clarify / boil / cool / cover</x:v>
      </x:c>
      <x:c r="H62" s="49" t="str">
        <x:v>C-FOUND-PAN</x:v>
      </x:c>
      <x:c r="I62" s="49" t="str">
        <x:v>W-WATER</x:v>
      </x:c>
      <x:c r="J62" s="49" t="str">
        <x:v>water / hygiene</x:v>
      </x:c>
      <x:c r="K62" s="49" t="str">
        <x:v>moderate</x:v>
      </x:c>
      <x:c r="L62" s="71" t="n">
        <x:v>30</x:v>
      </x:c>
      <x:c r="M62" s="71" t="n">
        <x:v>15</x:v>
      </x:c>
      <x:c r="N62" s="49" t="str">
        <x:v>treatment + container history</x:v>
      </x:c>
      <x:c r="O62" s="49" t="str">
        <x:v>recontamination</x:v>
      </x:c>
      <x:c r="P62" s="49" t="str">
        <x:v>S-RAIN</x:v>
      </x:c>
      <x:c r="Q62" s="49" t="str">
        <x:v>No</x:v>
      </x:c>
      <x:c r="R62" s="71" t="n">
        <x:f>COUNTIF('Dependency Edges'!$B$5:$B$700,A62)</x:f>
        <x:v>10</x:v>
      </x:c>
      <x:c r="S62" s="71" t="n">
        <x:f>COUNTIF('Dependency Edges'!$A$5:$A$700,A62)</x:f>
        <x:v>10</x:v>
      </x:c>
      <x:c r="T62" s="49" t="str">
        <x:f>IF(AND(D62&lt;&gt;"Source",R62=0),"MISSING INPUT",IF(AND(Q62&lt;&gt;"Yes",S62=0),"NO DOWNSTREAM","OK"))</x:f>
        <x:v>OK</x:v>
      </x:c>
    </x:row>
    <x:row r="63">
      <x:c r="A63" s="49" t="str">
        <x:v>P-ORS</x:v>
      </x:c>
      <x:c r="B63" s="49" t="str">
        <x:v>Measured oral rehydration solution</x:v>
      </x:c>
      <x:c r="C63" s="49" t="str">
        <x:v>Medicine</x:v>
      </x:c>
      <x:c r="D63" s="49" t="str">
        <x:v>Processed</x:v>
      </x:c>
      <x:c r="E63" s="49" t="str">
        <x:v>H3</x:v>
      </x:c>
      <x:c r="F63" s="49" t="str">
        <x:v>P-CLEAN-WATER; S-SALT; S-SUGAR; T-MEASURE</x:v>
      </x:c>
      <x:c r="G63" s="49" t="str">
        <x:v>measure / mix / label</x:v>
      </x:c>
      <x:c r="H63" s="49" t="str">
        <x:v>T-MEASURE</x:v>
      </x:c>
      <x:c r="I63" s="49" t="str">
        <x:v>W-CLEAN</x:v>
      </x:c>
      <x:c r="J63" s="49" t="str">
        <x:v>medicine / measurement</x:v>
      </x:c>
      <x:c r="K63" s="49" t="str">
        <x:v>low</x:v>
      </x:c>
      <x:c r="L63" s="71" t="n">
        <x:v>10</x:v>
      </x:c>
      <x:c r="M63" s="71" t="n">
        <x:v>0</x:v>
      </x:c>
      <x:c r="N63" s="49" t="str">
        <x:v>correct measure and taste warning</x:v>
      </x:c>
      <x:c r="O63" s="49" t="str">
        <x:v>too concentrated / dirty</x:v>
      </x:c>
      <x:c r="P63" s="49" t="str">
        <x:v>S-MEDICAL</x:v>
      </x:c>
      <x:c r="Q63" s="49" t="str">
        <x:v>No</x:v>
      </x:c>
      <x:c r="R63" s="71" t="n">
        <x:f>COUNTIF('Dependency Edges'!$B$5:$B$700,A63)</x:f>
        <x:v>6</x:v>
      </x:c>
      <x:c r="S63" s="71" t="n">
        <x:f>COUNTIF('Dependency Edges'!$A$5:$A$700,A63)</x:f>
        <x:v>1</x:v>
      </x:c>
      <x:c r="T63" s="49" t="str">
        <x:f>IF(AND(D63&lt;&gt;"Source",R63=0),"MISSING INPUT",IF(AND(Q63&lt;&gt;"Yes",S63=0),"NO DOWNSTREAM","OK"))</x:f>
        <x:v>OK</x:v>
      </x:c>
    </x:row>
    <x:row r="64">
      <x:c r="A64" s="49" t="str">
        <x:v>P-DRESSING</x:v>
      </x:c>
      <x:c r="B64" s="49" t="str">
        <x:v>Clean dressing</x:v>
      </x:c>
      <x:c r="C64" s="49" t="str">
        <x:v>Medicine</x:v>
      </x:c>
      <x:c r="D64" s="49" t="str">
        <x:v>Processed</x:v>
      </x:c>
      <x:c r="E64" s="49" t="str">
        <x:v>H2</x:v>
      </x:c>
      <x:c r="F64" s="49" t="str">
        <x:v>S-CANVAS; P-CLEAN-WATER; T-STONE-KNIFE</x:v>
      </x:c>
      <x:c r="G64" s="49" t="str">
        <x:v>clean / cut / dry / store</x:v>
      </x:c>
      <x:c r="H64" s="49" t="str">
        <x:v>T-STONE-KNIFE</x:v>
      </x:c>
      <x:c r="I64" s="49" t="str">
        <x:v>W-CLEAN</x:v>
      </x:c>
      <x:c r="J64" s="49" t="str">
        <x:v>hygiene / medicine</x:v>
      </x:c>
      <x:c r="K64" s="49" t="str">
        <x:v>dexterity</x:v>
      </x:c>
      <x:c r="L64" s="71" t="n">
        <x:v>30</x:v>
      </x:c>
      <x:c r="M64" s="71" t="n">
        <x:v>60</x:v>
      </x:c>
      <x:c r="N64" s="49" t="str">
        <x:v>clean/fit inspection</x:v>
      </x:c>
      <x:c r="O64" s="49" t="str">
        <x:v>contaminate / fray</x:v>
      </x:c>
      <x:c r="P64" s="49" t="str">
        <x:v>S-MEDICAL</x:v>
      </x:c>
      <x:c r="Q64" s="49" t="str">
        <x:v>No</x:v>
      </x:c>
      <x:c r="R64" s="71" t="n">
        <x:f>COUNTIF('Dependency Edges'!$B$5:$B$700,A64)</x:f>
        <x:v>4</x:v>
      </x:c>
      <x:c r="S64" s="71" t="n">
        <x:f>COUNTIF('Dependency Edges'!$A$5:$A$700,A64)</x:f>
        <x:v>1</x:v>
      </x:c>
      <x:c r="T64" s="49" t="str">
        <x:f>IF(AND(D64&lt;&gt;"Source",R64=0),"MISSING INPUT",IF(AND(Q64&lt;&gt;"Yes",S64=0),"NO DOWNSTREAM","OK"))</x:f>
        <x:v>OK</x:v>
      </x:c>
    </x:row>
    <x:row r="65">
      <x:c r="A65" s="49" t="str">
        <x:v>P-SPLINT-STOCK</x:v>
      </x:c>
      <x:c r="B65" s="49" t="str">
        <x:v>Padded splint stock</x:v>
      </x:c>
      <x:c r="C65" s="49" t="str">
        <x:v>Medicine</x:v>
      </x:c>
      <x:c r="D65" s="49" t="str">
        <x:v>Processed</x:v>
      </x:c>
      <x:c r="E65" s="49" t="str">
        <x:v>H2</x:v>
      </x:c>
      <x:c r="F65" s="49" t="str">
        <x:v>P-STRAIGHT-POLE; S-CANVAS; P-CORD</x:v>
      </x:c>
      <x:c r="G65" s="49" t="str">
        <x:v>shape / pad / bind</x:v>
      </x:c>
      <x:c r="H65" s="49" t="str">
        <x:v>T-STONE-KNIFE</x:v>
      </x:c>
      <x:c r="I65" s="49" t="str">
        <x:v>W-CLEAN</x:v>
      </x:c>
      <x:c r="J65" s="49" t="str">
        <x:v>medicine / fit</x:v>
      </x:c>
      <x:c r="K65" s="49" t="str">
        <x:v>dexterity</x:v>
      </x:c>
      <x:c r="L65" s="71" t="n">
        <x:v>30</x:v>
      </x:c>
      <x:c r="M65" s="71" t="n">
        <x:v>0</x:v>
      </x:c>
      <x:c r="N65" s="49" t="str">
        <x:v>fit/circulation check</x:v>
      </x:c>
      <x:c r="O65" s="49" t="str">
        <x:v>pressure / slip</x:v>
      </x:c>
      <x:c r="P65" s="49" t="str"/>
      <x:c r="Q65" s="49" t="str">
        <x:v>No</x:v>
      </x:c>
      <x:c r="R65" s="71" t="n">
        <x:f>COUNTIF('Dependency Edges'!$B$5:$B$700,A65)</x:f>
        <x:v>5</x:v>
      </x:c>
      <x:c r="S65" s="71" t="n">
        <x:f>COUNTIF('Dependency Edges'!$A$5:$A$700,A65)</x:f>
        <x:v>1</x:v>
      </x:c>
      <x:c r="T65" s="49" t="str">
        <x:f>IF(AND(D65&lt;&gt;"Source",R65=0),"MISSING INPUT",IF(AND(Q65&lt;&gt;"Yes",S65=0),"NO DOWNSTREAM","OK"))</x:f>
        <x:v>OK</x:v>
      </x:c>
    </x:row>
    <x:row r="66">
      <x:c r="A66" s="49" t="str">
        <x:v>P-PRESERVED-FOOD</x:v>
      </x:c>
      <x:c r="B66" s="49" t="str">
        <x:v>Preserved food lot</x:v>
      </x:c>
      <x:c r="C66" s="49" t="str">
        <x:v>Food</x:v>
      </x:c>
      <x:c r="D66" s="49" t="str">
        <x:v>Processed</x:v>
      </x:c>
      <x:c r="E66" s="49" t="str">
        <x:v>H3</x:v>
      </x:c>
      <x:c r="F66" s="49" t="str">
        <x:v>S-FOOD; A-SMOKER</x:v>
      </x:c>
      <x:c r="G66" s="49" t="str">
        <x:v>clean / cut / smoke / inspect</x:v>
      </x:c>
      <x:c r="H66" s="49" t="str">
        <x:v>T-STONE-KNIFE</x:v>
      </x:c>
      <x:c r="I66" s="49" t="str">
        <x:v>A-SMOKER</x:v>
      </x:c>
      <x:c r="J66" s="49" t="str">
        <x:v>food / hygiene</x:v>
      </x:c>
      <x:c r="K66" s="49" t="str">
        <x:v>moderate</x:v>
      </x:c>
      <x:c r="L66" s="71" t="n">
        <x:v>60</x:v>
      </x:c>
      <x:c r="M66" s="71" t="n">
        <x:v>480</x:v>
      </x:c>
      <x:c r="N66" s="49" t="str">
        <x:v>dryness/spoilage history</x:v>
      </x:c>
      <x:c r="O66" s="49" t="str">
        <x:v>false preserve</x:v>
      </x:c>
      <x:c r="P66" s="49" t="str"/>
      <x:c r="Q66" s="49" t="str">
        <x:v>No</x:v>
      </x:c>
      <x:c r="R66" s="71" t="n">
        <x:f>COUNTIF('Dependency Edges'!$B$5:$B$700,A66)</x:f>
        <x:v>7</x:v>
      </x:c>
      <x:c r="S66" s="71" t="n">
        <x:f>COUNTIF('Dependency Edges'!$A$5:$A$700,A66)</x:f>
        <x:v>1</x:v>
      </x:c>
      <x:c r="T66" s="49" t="str">
        <x:f>IF(AND(D66&lt;&gt;"Source",R66=0),"MISSING INPUT",IF(AND(Q66&lt;&gt;"Yes",S66=0),"NO DOWNSTREAM","OK"))</x:f>
        <x:v>OK</x:v>
      </x:c>
    </x:row>
    <x:row r="67">
      <x:c r="A67" s="49" t="str">
        <x:v>P-SEED-LOT</x:v>
      </x:c>
      <x:c r="B67" s="49" t="str">
        <x:v>Documented seed lot</x:v>
      </x:c>
      <x:c r="C67" s="49" t="str">
        <x:v>Food</x:v>
      </x:c>
      <x:c r="D67" s="49" t="str">
        <x:v>Processed</x:v>
      </x:c>
      <x:c r="E67" s="49" t="str">
        <x:v>H3</x:v>
      </x:c>
      <x:c r="F67" s="49" t="str">
        <x:v>S-FOOD; W-ARCHIVE</x:v>
      </x:c>
      <x:c r="G67" s="49" t="str">
        <x:v>select / clean / dry / label</x:v>
      </x:c>
      <x:c r="H67" s="49" t="str">
        <x:v>T-STONE-KNIFE</x:v>
      </x:c>
      <x:c r="I67" s="49" t="str">
        <x:v>W-ARCHIVE</x:v>
      </x:c>
      <x:c r="J67" s="49" t="str">
        <x:v>cultivation / record</x:v>
      </x:c>
      <x:c r="K67" s="49" t="str">
        <x:v>low</x:v>
      </x:c>
      <x:c r="L67" s="71" t="n">
        <x:v>30</x:v>
      </x:c>
      <x:c r="M67" s="71" t="n">
        <x:v>240</x:v>
      </x:c>
      <x:c r="N67" s="49" t="str">
        <x:v>germination test</x:v>
      </x:c>
      <x:c r="O67" s="49" t="str">
        <x:v>mold / low viability</x:v>
      </x:c>
      <x:c r="P67" s="49" t="str"/>
      <x:c r="Q67" s="49" t="str">
        <x:v>No</x:v>
      </x:c>
      <x:c r="R67" s="71" t="n">
        <x:f>COUNTIF('Dependency Edges'!$B$5:$B$700,A67)</x:f>
        <x:v>3</x:v>
      </x:c>
      <x:c r="S67" s="71" t="n">
        <x:f>COUNTIF('Dependency Edges'!$A$5:$A$700,A67)</x:f>
        <x:v>2</x:v>
      </x:c>
      <x:c r="T67" s="49" t="str">
        <x:f>IF(AND(D67&lt;&gt;"Source",R67=0),"MISSING INPUT",IF(AND(Q67&lt;&gt;"Yes",S67=0),"NO DOWNSTREAM","OK"))</x:f>
        <x:v>OK</x:v>
      </x:c>
    </x:row>
    <x:row r="68">
      <x:c r="A68" s="49" t="str">
        <x:v>T-MEASURE</x:v>
      </x:c>
      <x:c r="B68" s="49" t="str">
        <x:v>Marked cord/gauge/level</x:v>
      </x:c>
      <x:c r="C68" s="49" t="str">
        <x:v>Tools</x:v>
      </x:c>
      <x:c r="D68" s="49" t="str">
        <x:v>Tool</x:v>
      </x:c>
      <x:c r="E68" s="49" t="str">
        <x:v>H2</x:v>
      </x:c>
      <x:c r="F68" s="49" t="str">
        <x:v>P-CORD; P-STRAIGHT-POLE; P-CLEAN-WATER</x:v>
      </x:c>
      <x:c r="G68" s="49" t="str">
        <x:v>mark / compare / calibrate</x:v>
      </x:c>
      <x:c r="H68" s="49" t="str">
        <x:v>T-STONE-KNIFE</x:v>
      </x:c>
      <x:c r="I68" s="49" t="str">
        <x:v>W-WORKMAT</x:v>
      </x:c>
      <x:c r="J68" s="49" t="str">
        <x:v>measurement</x:v>
      </x:c>
      <x:c r="K68" s="49" t="str">
        <x:v>dexterity</x:v>
      </x:c>
      <x:c r="L68" s="71" t="n">
        <x:v>45</x:v>
      </x:c>
      <x:c r="M68" s="71" t="n">
        <x:v>0</x:v>
      </x:c>
      <x:c r="N68" s="49" t="str">
        <x:v>known-length/level test</x:v>
      </x:c>
      <x:c r="O68" s="49" t="str">
        <x:v>bad datum</x:v>
      </x:c>
      <x:c r="P68" s="49" t="str"/>
      <x:c r="Q68" s="49" t="str">
        <x:v>No</x:v>
      </x:c>
      <x:c r="R68" s="71" t="n">
        <x:f>COUNTIF('Dependency Edges'!$B$5:$B$700,A68)</x:f>
        <x:v>5</x:v>
      </x:c>
      <x:c r="S68" s="71" t="n">
        <x:f>COUNTIF('Dependency Edges'!$A$5:$A$700,A68)</x:f>
        <x:v>25</x:v>
      </x:c>
      <x:c r="T68" s="49" t="str">
        <x:f>IF(AND(D68&lt;&gt;"Source",R68=0),"MISSING INPUT",IF(AND(Q68&lt;&gt;"Yes",S68=0),"NO DOWNSTREAM","OK"))</x:f>
        <x:v>OK</x:v>
      </x:c>
    </x:row>
    <x:row r="69">
      <x:c r="A69" s="49" t="str">
        <x:v>T-AXE</x:v>
      </x:c>
      <x:c r="B69" s="49" t="str">
        <x:v>Handled chopping tool</x:v>
      </x:c>
      <x:c r="C69" s="49" t="str">
        <x:v>Tools</x:v>
      </x:c>
      <x:c r="D69" s="49" t="str">
        <x:v>Tool</x:v>
      </x:c>
      <x:c r="E69" s="49" t="str">
        <x:v>H2</x:v>
      </x:c>
      <x:c r="F69" s="49" t="str">
        <x:v>P-SHARP-EDGE; P-STRAIGHT-POLE; P-CORD; P-PEG</x:v>
      </x:c>
      <x:c r="G69" s="49" t="str">
        <x:v>fit / bind / wedge / balance / test</x:v>
      </x:c>
      <x:c r="H69" s="49" t="str">
        <x:v>T-MALLET</x:v>
      </x:c>
      <x:c r="I69" s="49" t="str">
        <x:v>W-BENCH</x:v>
      </x:c>
      <x:c r="J69" s="49" t="str">
        <x:v>toolmaking / timber</x:v>
      </x:c>
      <x:c r="K69" s="49" t="str">
        <x:v>strength + dexterity</x:v>
      </x:c>
      <x:c r="L69" s="71" t="n">
        <x:v>120</x:v>
      </x:c>
      <x:c r="M69" s="71" t="n">
        <x:v>0</x:v>
      </x:c>
      <x:c r="N69" s="49" t="str">
        <x:v>repeated strike/haft test</x:v>
      </x:c>
      <x:c r="O69" s="49" t="str">
        <x:v>head shift / break</x:v>
      </x:c>
      <x:c r="P69" s="49" t="str">
        <x:v>S-FERROUS</x:v>
      </x:c>
      <x:c r="Q69" s="49" t="str">
        <x:v>No</x:v>
      </x:c>
      <x:c r="R69" s="71" t="n">
        <x:f>COUNTIF('Dependency Edges'!$B$5:$B$700,A69)</x:f>
        <x:v>6</x:v>
      </x:c>
      <x:c r="S69" s="71" t="n">
        <x:f>COUNTIF('Dependency Edges'!$A$5:$A$700,A69)</x:f>
        <x:v>5</x:v>
      </x:c>
      <x:c r="T69" s="49" t="str">
        <x:f>IF(AND(D69&lt;&gt;"Source",R69=0),"MISSING INPUT",IF(AND(Q69&lt;&gt;"Yes",S69=0),"NO DOWNSTREAM","OK"))</x:f>
        <x:v>OK</x:v>
      </x:c>
    </x:row>
    <x:row r="70">
      <x:c r="A70" s="49" t="str">
        <x:v>T-ADZE</x:v>
      </x:c>
      <x:c r="B70" s="49" t="str">
        <x:v>Adze/hewing tool</x:v>
      </x:c>
      <x:c r="C70" s="49" t="str">
        <x:v>Tools</x:v>
      </x:c>
      <x:c r="D70" s="49" t="str">
        <x:v>Tool</x:v>
      </x:c>
      <x:c r="E70" s="49" t="str">
        <x:v>H3</x:v>
      </x:c>
      <x:c r="F70" s="49" t="str">
        <x:v>P-METAL-STOCK; P-STRAIGHT-POLE; P-PEG</x:v>
      </x:c>
      <x:c r="G70" s="49" t="str">
        <x:v>shape / haft / angle / test</x:v>
      </x:c>
      <x:c r="H70" s="49" t="str">
        <x:v>T-HAMMER</x:v>
      </x:c>
      <x:c r="I70" s="49" t="str">
        <x:v>W-BENCH</x:v>
      </x:c>
      <x:c r="J70" s="49" t="str">
        <x:v>metal / timber</x:v>
      </x:c>
      <x:c r="K70" s="49" t="str">
        <x:v>strength + dexterity</x:v>
      </x:c>
      <x:c r="L70" s="71" t="n">
        <x:v>180</x:v>
      </x:c>
      <x:c r="M70" s="71" t="n">
        <x:v>0</x:v>
      </x:c>
      <x:c r="N70" s="49" t="str">
        <x:v>controlled hew</x:v>
      </x:c>
      <x:c r="O70" s="49" t="str">
        <x:v>head shift / cut</x:v>
      </x:c>
      <x:c r="P70" s="49" t="str"/>
      <x:c r="Q70" s="49" t="str">
        <x:v>No</x:v>
      </x:c>
      <x:c r="R70" s="71" t="n">
        <x:f>COUNTIF('Dependency Edges'!$B$5:$B$700,A70)</x:f>
        <x:v>5</x:v>
      </x:c>
      <x:c r="S70" s="71" t="n">
        <x:f>COUNTIF('Dependency Edges'!$A$5:$A$700,A70)</x:f>
        <x:v>1</x:v>
      </x:c>
      <x:c r="T70" s="49" t="str">
        <x:f>IF(AND(D70&lt;&gt;"Source",R70=0),"MISSING INPUT",IF(AND(Q70&lt;&gt;"Yes",S70=0),"NO DOWNSTREAM","OK"))</x:f>
        <x:v>OK</x:v>
      </x:c>
    </x:row>
    <x:row r="71">
      <x:c r="A71" s="49" t="str">
        <x:v>T-MALLET</x:v>
      </x:c>
      <x:c r="B71" s="49" t="str">
        <x:v>Wood/stone mallet</x:v>
      </x:c>
      <x:c r="C71" s="49" t="str">
        <x:v>Tools</x:v>
      </x:c>
      <x:c r="D71" s="49" t="str">
        <x:v>Tool</x:v>
      </x:c>
      <x:c r="E71" s="49" t="str">
        <x:v>H1</x:v>
      </x:c>
      <x:c r="F71" s="49" t="str">
        <x:v>P-STRAIGHT-POLE; P-PEG</x:v>
      </x:c>
      <x:c r="G71" s="49" t="str">
        <x:v>shape / haft / test</x:v>
      </x:c>
      <x:c r="H71" s="49" t="str">
        <x:v>T-STONE-KNIFE</x:v>
      </x:c>
      <x:c r="I71" s="49" t="str">
        <x:v>W-WORKMAT</x:v>
      </x:c>
      <x:c r="J71" s="49" t="str">
        <x:v>toolmaking</x:v>
      </x:c>
      <x:c r="K71" s="49" t="str">
        <x:v>strength</x:v>
      </x:c>
      <x:c r="L71" s="71" t="n">
        <x:v>45</x:v>
      </x:c>
      <x:c r="M71" s="71" t="n">
        <x:v>0</x:v>
      </x:c>
      <x:c r="N71" s="49" t="str">
        <x:v>strike/haft test</x:v>
      </x:c>
      <x:c r="O71" s="49" t="str">
        <x:v>split</x:v>
      </x:c>
      <x:c r="P71" s="49" t="str"/>
      <x:c r="Q71" s="49" t="str">
        <x:v>No</x:v>
      </x:c>
      <x:c r="R71" s="71" t="n">
        <x:f>COUNTIF('Dependency Edges'!$B$5:$B$700,A71)</x:f>
        <x:v>4</x:v>
      </x:c>
      <x:c r="S71" s="71" t="n">
        <x:f>COUNTIF('Dependency Edges'!$A$5:$A$700,A71)</x:f>
        <x:v>1</x:v>
      </x:c>
      <x:c r="T71" s="49" t="str">
        <x:f>IF(AND(D71&lt;&gt;"Source",R71=0),"MISSING INPUT",IF(AND(Q71&lt;&gt;"Yes",S71=0),"NO DOWNSTREAM","OK"))</x:f>
        <x:v>OK</x:v>
      </x:c>
    </x:row>
    <x:row r="72">
      <x:c r="A72" s="49" t="str">
        <x:v>T-HAMMER</x:v>
      </x:c>
      <x:c r="B72" s="49" t="str">
        <x:v>Fitted metal hammer</x:v>
      </x:c>
      <x:c r="C72" s="49" t="str">
        <x:v>Tools</x:v>
      </x:c>
      <x:c r="D72" s="49" t="str">
        <x:v>Tool</x:v>
      </x:c>
      <x:c r="E72" s="49" t="str">
        <x:v>H4</x:v>
      </x:c>
      <x:c r="F72" s="49" t="str">
        <x:v>P-METAL-STOCK; P-STRAIGHT-POLE; P-PEG; W-FORGE</x:v>
      </x:c>
      <x:c r="G72" s="49" t="str">
        <x:v>forge / fit / wedge / temper / test</x:v>
      </x:c>
      <x:c r="H72" s="49" t="str">
        <x:v>T-TONGS</x:v>
      </x:c>
      <x:c r="I72" s="49" t="str">
        <x:v>W-FORGE</x:v>
      </x:c>
      <x:c r="J72" s="49" t="str">
        <x:v>metal / toolmaking</x:v>
      </x:c>
      <x:c r="K72" s="49" t="str">
        <x:v>strength + heat</x:v>
      </x:c>
      <x:c r="L72" s="71" t="n">
        <x:v>240</x:v>
      </x:c>
      <x:c r="M72" s="71" t="n">
        <x:v>0</x:v>
      </x:c>
      <x:c r="N72" s="49" t="str">
        <x:v>face/haft/load test</x:v>
      </x:c>
      <x:c r="O72" s="49" t="str">
        <x:v>crack / mushroom</x:v>
      </x:c>
      <x:c r="P72" s="49" t="str"/>
      <x:c r="Q72" s="49" t="str">
        <x:v>No</x:v>
      </x:c>
      <x:c r="R72" s="71" t="n">
        <x:f>COUNTIF('Dependency Edges'!$B$5:$B$700,A72)</x:f>
        <x:v>5</x:v>
      </x:c>
      <x:c r="S72" s="71" t="n">
        <x:f>COUNTIF('Dependency Edges'!$A$5:$A$700,A72)</x:f>
        <x:v>12</x:v>
      </x:c>
      <x:c r="T72" s="49" t="str">
        <x:f>IF(AND(D72&lt;&gt;"Source",R72=0),"MISSING INPUT",IF(AND(Q72&lt;&gt;"Yes",S72=0),"NO DOWNSTREAM","OK"))</x:f>
        <x:v>OK</x:v>
      </x:c>
    </x:row>
    <x:row r="73">
      <x:c r="A73" s="49" t="str">
        <x:v>T-CHISEL</x:v>
      </x:c>
      <x:c r="B73" s="49" t="str">
        <x:v>Chisel/wedge set</x:v>
      </x:c>
      <x:c r="C73" s="49" t="str">
        <x:v>Tools</x:v>
      </x:c>
      <x:c r="D73" s="49" t="str">
        <x:v>Tool</x:v>
      </x:c>
      <x:c r="E73" s="49" t="str">
        <x:v>H3</x:v>
      </x:c>
      <x:c r="F73" s="49" t="str">
        <x:v>P-METAL-STOCK; W-FORGE</x:v>
      </x:c>
      <x:c r="G73" s="49" t="str">
        <x:v>forge / grind / temper</x:v>
      </x:c>
      <x:c r="H73" s="49" t="str">
        <x:v>T-HAMMER</x:v>
      </x:c>
      <x:c r="I73" s="49" t="str">
        <x:v>W-FORGE</x:v>
      </x:c>
      <x:c r="J73" s="49" t="str">
        <x:v>metal / fracture</x:v>
      </x:c>
      <x:c r="K73" s="49" t="str">
        <x:v>heat + dexterity</x:v>
      </x:c>
      <x:c r="L73" s="71" t="n">
        <x:v>180</x:v>
      </x:c>
      <x:c r="M73" s="71" t="n">
        <x:v>0</x:v>
      </x:c>
      <x:c r="N73" s="49" t="str">
        <x:v>edge and strike test</x:v>
      </x:c>
      <x:c r="O73" s="49" t="str">
        <x:v>chip / bend</x:v>
      </x:c>
      <x:c r="P73" s="49" t="str"/>
      <x:c r="Q73" s="49" t="str">
        <x:v>No</x:v>
      </x:c>
      <x:c r="R73" s="71" t="n">
        <x:f>COUNTIF('Dependency Edges'!$B$5:$B$700,A73)</x:f>
        <x:v>3</x:v>
      </x:c>
      <x:c r="S73" s="71" t="n">
        <x:f>COUNTIF('Dependency Edges'!$A$5:$A$700,A73)</x:f>
        <x:v>1</x:v>
      </x:c>
      <x:c r="T73" s="49" t="str">
        <x:f>IF(AND(D73&lt;&gt;"Source",R73=0),"MISSING INPUT",IF(AND(Q73&lt;&gt;"Yes",S73=0),"NO DOWNSTREAM","OK"))</x:f>
        <x:v>OK</x:v>
      </x:c>
    </x:row>
    <x:row r="74">
      <x:c r="A74" s="49" t="str">
        <x:v>T-PRY</x:v>
      </x:c>
      <x:c r="B74" s="49" t="str">
        <x:v>Pry bar/leverage tool</x:v>
      </x:c>
      <x:c r="C74" s="49" t="str">
        <x:v>Tools</x:v>
      </x:c>
      <x:c r="D74" s="49" t="str">
        <x:v>Tool</x:v>
      </x:c>
      <x:c r="E74" s="49" t="str">
        <x:v>H3</x:v>
      </x:c>
      <x:c r="F74" s="49" t="str">
        <x:v>P-METAL-STOCK; W-FORGE</x:v>
      </x:c>
      <x:c r="G74" s="49" t="str">
        <x:v>select / bend / shape / test</x:v>
      </x:c>
      <x:c r="H74" s="49" t="str">
        <x:v>T-HAMMER</x:v>
      </x:c>
      <x:c r="I74" s="49" t="str">
        <x:v>W-FORGE</x:v>
      </x:c>
      <x:c r="J74" s="49" t="str">
        <x:v>metal / leverage</x:v>
      </x:c>
      <x:c r="K74" s="49" t="str">
        <x:v>strength</x:v>
      </x:c>
      <x:c r="L74" s="71" t="n">
        <x:v>120</x:v>
      </x:c>
      <x:c r="M74" s="71" t="n">
        <x:v>0</x:v>
      </x:c>
      <x:c r="N74" s="49" t="str">
        <x:v>proof bend</x:v>
      </x:c>
      <x:c r="O74" s="49" t="str">
        <x:v>springback / fracture</x:v>
      </x:c>
      <x:c r="P74" s="49" t="str"/>
      <x:c r="Q74" s="49" t="str">
        <x:v>No</x:v>
      </x:c>
      <x:c r="R74" s="71" t="n">
        <x:f>COUNTIF('Dependency Edges'!$B$5:$B$700,A74)</x:f>
        <x:v>3</x:v>
      </x:c>
      <x:c r="S74" s="71" t="n">
        <x:f>COUNTIF('Dependency Edges'!$A$5:$A$700,A74)</x:f>
        <x:v>5</x:v>
      </x:c>
      <x:c r="T74" s="49" t="str">
        <x:f>IF(AND(D74&lt;&gt;"Source",R74=0),"MISSING INPUT",IF(AND(Q74&lt;&gt;"Yes",S74=0),"NO DOWNSTREAM","OK"))</x:f>
        <x:v>OK</x:v>
      </x:c>
    </x:row>
    <x:row r="75">
      <x:c r="A75" s="49" t="str">
        <x:v>T-AWL</x:v>
      </x:c>
      <x:c r="B75" s="49" t="str">
        <x:v>Awl/piercer</x:v>
      </x:c>
      <x:c r="C75" s="49" t="str">
        <x:v>Tools</x:v>
      </x:c>
      <x:c r="D75" s="49" t="str">
        <x:v>Tool</x:v>
      </x:c>
      <x:c r="E75" s="49" t="str">
        <x:v>H1</x:v>
      </x:c>
      <x:c r="F75" s="49" t="str">
        <x:v>S-BONE; P-SHARP-EDGE</x:v>
      </x:c>
      <x:c r="G75" s="49" t="str">
        <x:v>shape / polish / grip</x:v>
      </x:c>
      <x:c r="H75" s="49" t="str">
        <x:v>T-STONE-KNIFE</x:v>
      </x:c>
      <x:c r="I75" s="49" t="str">
        <x:v>W-WORKMAT</x:v>
      </x:c>
      <x:c r="J75" s="49" t="str">
        <x:v>bone / sewing</x:v>
      </x:c>
      <x:c r="K75" s="49" t="str">
        <x:v>dexterity</x:v>
      </x:c>
      <x:c r="L75" s="71" t="n">
        <x:v>30</x:v>
      </x:c>
      <x:c r="M75" s="71" t="n">
        <x:v>0</x:v>
      </x:c>
      <x:c r="N75" s="49" t="str">
        <x:v>pierce sample</x:v>
      </x:c>
      <x:c r="O75" s="49" t="str">
        <x:v>snap / puncture</x:v>
      </x:c>
      <x:c r="P75" s="49" t="str"/>
      <x:c r="Q75" s="49" t="str">
        <x:v>No</x:v>
      </x:c>
      <x:c r="R75" s="71" t="n">
        <x:f>COUNTIF('Dependency Edges'!$B$5:$B$700,A75)</x:f>
        <x:v>4</x:v>
      </x:c>
      <x:c r="S75" s="71" t="n">
        <x:f>COUNTIF('Dependency Edges'!$A$5:$A$700,A75)</x:f>
        <x:v>1</x:v>
      </x:c>
      <x:c r="T75" s="49" t="str">
        <x:f>IF(AND(D75&lt;&gt;"Source",R75=0),"MISSING INPUT",IF(AND(Q75&lt;&gt;"Yes",S75=0),"NO DOWNSTREAM","OK"))</x:f>
        <x:v>OK</x:v>
      </x:c>
    </x:row>
    <x:row r="76">
      <x:c r="A76" s="49" t="str">
        <x:v>T-BOW-DRILL</x:v>
      </x:c>
      <x:c r="B76" s="49" t="str">
        <x:v>Bow/hand drill</x:v>
      </x:c>
      <x:c r="C76" s="49" t="str">
        <x:v>Tools</x:v>
      </x:c>
      <x:c r="D76" s="49" t="str">
        <x:v>Tool</x:v>
      </x:c>
      <x:c r="E76" s="49" t="str">
        <x:v>H2</x:v>
      </x:c>
      <x:c r="F76" s="49" t="str">
        <x:v>P-STRAIGHT-POLE; P-CORD; P-SHARP-EDGE</x:v>
      </x:c>
      <x:c r="G76" s="49" t="str">
        <x:v>shape / assemble / brace / test</x:v>
      </x:c>
      <x:c r="H76" s="49" t="str">
        <x:v>T-STONE-KNIFE</x:v>
      </x:c>
      <x:c r="I76" s="49" t="str">
        <x:v>W-WORKMAT</x:v>
      </x:c>
      <x:c r="J76" s="49" t="str">
        <x:v>boring / fire</x:v>
      </x:c>
      <x:c r="K76" s="49" t="str">
        <x:v>coordination</x:v>
      </x:c>
      <x:c r="L76" s="71" t="n">
        <x:v>90</x:v>
      </x:c>
      <x:c r="M76" s="71" t="n">
        <x:v>0</x:v>
      </x:c>
      <x:c r="N76" s="49" t="str">
        <x:v>controlled bore/ember</x:v>
      </x:c>
      <x:c r="O76" s="49" t="str">
        <x:v>slip / friction burn</x:v>
      </x:c>
      <x:c r="P76" s="49" t="str"/>
      <x:c r="Q76" s="49" t="str">
        <x:v>No</x:v>
      </x:c>
      <x:c r="R76" s="71" t="n">
        <x:f>COUNTIF('Dependency Edges'!$B$5:$B$700,A76)</x:f>
        <x:v>5</x:v>
      </x:c>
      <x:c r="S76" s="71" t="n">
        <x:f>COUNTIF('Dependency Edges'!$A$5:$A$700,A76)</x:f>
        <x:v>1</x:v>
      </x:c>
      <x:c r="T76" s="49" t="str">
        <x:f>IF(AND(D76&lt;&gt;"Source",R76=0),"MISSING INPUT",IF(AND(Q76&lt;&gt;"Yes",S76=0),"NO DOWNSTREAM","OK"))</x:f>
        <x:v>OK</x:v>
      </x:c>
    </x:row>
    <x:row r="77">
      <x:c r="A77" s="49" t="str">
        <x:v>T-DRILL</x:v>
      </x:c>
      <x:c r="B77" s="49" t="str">
        <x:v>Brace/drill and bits</x:v>
      </x:c>
      <x:c r="C77" s="49" t="str">
        <x:v>Tools</x:v>
      </x:c>
      <x:c r="D77" s="49" t="str">
        <x:v>Tool</x:v>
      </x:c>
      <x:c r="E77" s="49" t="str">
        <x:v>H4</x:v>
      </x:c>
      <x:c r="F77" s="49" t="str">
        <x:v>P-METAL-STOCK; P-STRAIGHT-POLE; W-FORGE</x:v>
      </x:c>
      <x:c r="G77" s="49" t="str">
        <x:v>forge bit / make brace / align</x:v>
      </x:c>
      <x:c r="H77" s="49" t="str">
        <x:v>T-HAMMER</x:v>
      </x:c>
      <x:c r="I77" s="49" t="str">
        <x:v>W-BENCH</x:v>
      </x:c>
      <x:c r="J77" s="49" t="str">
        <x:v>metal / boring</x:v>
      </x:c>
      <x:c r="K77" s="49" t="str">
        <x:v>dexterity</x:v>
      </x:c>
      <x:c r="L77" s="71" t="n">
        <x:v>300</x:v>
      </x:c>
      <x:c r="M77" s="71" t="n">
        <x:v>0</x:v>
      </x:c>
      <x:c r="N77" s="49" t="str">
        <x:v>round/aligned hole</x:v>
      </x:c>
      <x:c r="O77" s="49" t="str">
        <x:v>bit break</x:v>
      </x:c>
      <x:c r="P77" s="49" t="str"/>
      <x:c r="Q77" s="49" t="str">
        <x:v>No</x:v>
      </x:c>
      <x:c r="R77" s="71" t="n">
        <x:f>COUNTIF('Dependency Edges'!$B$5:$B$700,A77)</x:f>
        <x:v>5</x:v>
      </x:c>
      <x:c r="S77" s="71" t="n">
        <x:f>COUNTIF('Dependency Edges'!$A$5:$A$700,A77)</x:f>
        <x:v>2</x:v>
      </x:c>
      <x:c r="T77" s="49" t="str">
        <x:f>IF(AND(D77&lt;&gt;"Source",R77=0),"MISSING INPUT",IF(AND(Q77&lt;&gt;"Yes",S77=0),"NO DOWNSTREAM","OK"))</x:f>
        <x:v>OK</x:v>
      </x:c>
    </x:row>
    <x:row r="78">
      <x:c r="A78" s="49" t="str">
        <x:v>T-SAW</x:v>
      </x:c>
      <x:c r="B78" s="49" t="str">
        <x:v>Saw/hacksaw route</x:v>
      </x:c>
      <x:c r="C78" s="49" t="str">
        <x:v>Tools</x:v>
      </x:c>
      <x:c r="D78" s="49" t="str">
        <x:v>Tool</x:v>
      </x:c>
      <x:c r="E78" s="49" t="str">
        <x:v>H4</x:v>
      </x:c>
      <x:c r="F78" s="49" t="str">
        <x:v>P-METAL-STOCK; P-STRAIGHT-POLE; W-FORGE</x:v>
      </x:c>
      <x:c r="G78" s="49" t="str">
        <x:v>tooth / tension / handle / test</x:v>
      </x:c>
      <x:c r="H78" s="49" t="str">
        <x:v>T-FILE</x:v>
      </x:c>
      <x:c r="I78" s="49" t="str">
        <x:v>W-BENCH</x:v>
      </x:c>
      <x:c r="J78" s="49" t="str">
        <x:v>metal / timber</x:v>
      </x:c>
      <x:c r="K78" s="49" t="str">
        <x:v>endurance + dexterity</x:v>
      </x:c>
      <x:c r="L78" s="71" t="n">
        <x:v>360</x:v>
      </x:c>
      <x:c r="M78" s="71" t="n">
        <x:v>0</x:v>
      </x:c>
      <x:c r="N78" s="49" t="str">
        <x:v>straight cut</x:v>
      </x:c>
      <x:c r="O78" s="49" t="str">
        <x:v>bind / tooth loss</x:v>
      </x:c>
      <x:c r="P78" s="49" t="str"/>
      <x:c r="Q78" s="49" t="str">
        <x:v>No</x:v>
      </x:c>
      <x:c r="R78" s="71" t="n">
        <x:f>COUNTIF('Dependency Edges'!$B$5:$B$700,A78)</x:f>
        <x:v>5</x:v>
      </x:c>
      <x:c r="S78" s="71" t="n">
        <x:f>COUNTIF('Dependency Edges'!$A$5:$A$700,A78)</x:f>
        <x:v>1</x:v>
      </x:c>
      <x:c r="T78" s="49" t="str">
        <x:f>IF(AND(D78&lt;&gt;"Source",R78=0),"MISSING INPUT",IF(AND(Q78&lt;&gt;"Yes",S78=0),"NO DOWNSTREAM","OK"))</x:f>
        <x:v>OK</x:v>
      </x:c>
    </x:row>
    <x:row r="79">
      <x:c r="A79" s="49" t="str">
        <x:v>T-FILE</x:v>
      </x:c>
      <x:c r="B79" s="49" t="str">
        <x:v>File/abrasive tool</x:v>
      </x:c>
      <x:c r="C79" s="49" t="str">
        <x:v>Tools</x:v>
      </x:c>
      <x:c r="D79" s="49" t="str">
        <x:v>Tool</x:v>
      </x:c>
      <x:c r="E79" s="49" t="str">
        <x:v>H3</x:v>
      </x:c>
      <x:c r="F79" s="49" t="str">
        <x:v>S-STONE; P-METAL-STOCK</x:v>
      </x:c>
      <x:c r="G79" s="49" t="str">
        <x:v>select / groove / harden / handle</x:v>
      </x:c>
      <x:c r="H79" s="49" t="str">
        <x:v>T-HAMMER</x:v>
      </x:c>
      <x:c r="I79" s="49" t="str">
        <x:v>W-FORGE</x:v>
      </x:c>
      <x:c r="J79" s="49" t="str">
        <x:v>abrasion / metal</x:v>
      </x:c>
      <x:c r="K79" s="49" t="str">
        <x:v>dexterity</x:v>
      </x:c>
      <x:c r="L79" s="71" t="n">
        <x:v>180</x:v>
      </x:c>
      <x:c r="M79" s="71" t="n">
        <x:v>0</x:v>
      </x:c>
      <x:c r="N79" s="49" t="str">
        <x:v>controlled deburr</x:v>
      </x:c>
      <x:c r="O79" s="49" t="str">
        <x:v>clog / scratch</x:v>
      </x:c>
      <x:c r="P79" s="49" t="str"/>
      <x:c r="Q79" s="49" t="str">
        <x:v>No</x:v>
      </x:c>
      <x:c r="R79" s="71" t="n">
        <x:f>COUNTIF('Dependency Edges'!$B$5:$B$700,A79)</x:f>
        <x:v>4</x:v>
      </x:c>
      <x:c r="S79" s="71" t="n">
        <x:f>COUNTIF('Dependency Edges'!$A$5:$A$700,A79)</x:f>
        <x:v>4</x:v>
      </x:c>
      <x:c r="T79" s="49" t="str">
        <x:f>IF(AND(D79&lt;&gt;"Source",R79=0),"MISSING INPUT",IF(AND(Q79&lt;&gt;"Yes",S79=0),"NO DOWNSTREAM","OK"))</x:f>
        <x:v>OK</x:v>
      </x:c>
    </x:row>
    <x:row r="80">
      <x:c r="A80" s="49" t="str">
        <x:v>T-TONGS</x:v>
      </x:c>
      <x:c r="B80" s="49" t="str">
        <x:v>Tongs/gripping tool</x:v>
      </x:c>
      <x:c r="C80" s="49" t="str">
        <x:v>Tools</x:v>
      </x:c>
      <x:c r="D80" s="49" t="str">
        <x:v>Tool</x:v>
      </x:c>
      <x:c r="E80" s="49" t="str">
        <x:v>H3</x:v>
      </x:c>
      <x:c r="F80" s="49" t="str">
        <x:v>P-METAL-STOCK; W-FORGE</x:v>
      </x:c>
      <x:c r="G80" s="49" t="str">
        <x:v>forge / pivot / fit</x:v>
      </x:c>
      <x:c r="H80" s="49" t="str">
        <x:v>T-HAMMER</x:v>
      </x:c>
      <x:c r="I80" s="49" t="str">
        <x:v>W-FORGE</x:v>
      </x:c>
      <x:c r="J80" s="49" t="str">
        <x:v>metal / holding</x:v>
      </x:c>
      <x:c r="K80" s="49" t="str">
        <x:v>dexterity</x:v>
      </x:c>
      <x:c r="L80" s="71" t="n">
        <x:v>180</x:v>
      </x:c>
      <x:c r="M80" s="71" t="n">
        <x:v>0</x:v>
      </x:c>
      <x:c r="N80" s="49" t="str">
        <x:v>hot-object grip</x:v>
      </x:c>
      <x:c r="O80" s="49" t="str">
        <x:v>slip / pinch</x:v>
      </x:c>
      <x:c r="P80" s="49" t="str"/>
      <x:c r="Q80" s="49" t="str">
        <x:v>No</x:v>
      </x:c>
      <x:c r="R80" s="71" t="n">
        <x:f>COUNTIF('Dependency Edges'!$B$5:$B$700,A80)</x:f>
        <x:v>3</x:v>
      </x:c>
      <x:c r="S80" s="71" t="n">
        <x:f>COUNTIF('Dependency Edges'!$A$5:$A$700,A80)</x:f>
        <x:v>6</x:v>
      </x:c>
      <x:c r="T80" s="49" t="str">
        <x:f>IF(AND(D80&lt;&gt;"Source",R80=0),"MISSING INPUT",IF(AND(Q80&lt;&gt;"Yes",S80=0),"NO DOWNSTREAM","OK"))</x:f>
        <x:v>OK</x:v>
      </x:c>
    </x:row>
    <x:row r="81">
      <x:c r="A81" s="49" t="str">
        <x:v>T-CLAMP</x:v>
      </x:c>
      <x:c r="B81" s="49" t="str">
        <x:v>Clamp/vice/jig</x:v>
      </x:c>
      <x:c r="C81" s="49" t="str">
        <x:v>Tools</x:v>
      </x:c>
      <x:c r="D81" s="49" t="str">
        <x:v>Tool</x:v>
      </x:c>
      <x:c r="E81" s="49" t="str">
        <x:v>H3</x:v>
      </x:c>
      <x:c r="F81" s="49" t="str">
        <x:v>P-PLANK; P-PEG; S-FASTENER</x:v>
      </x:c>
      <x:c r="G81" s="49" t="str">
        <x:v>frame / screw/wedge / align</x:v>
      </x:c>
      <x:c r="H81" s="49" t="str">
        <x:v>T-DRILL</x:v>
      </x:c>
      <x:c r="I81" s="49" t="str">
        <x:v>W-BENCH</x:v>
      </x:c>
      <x:c r="J81" s="49" t="str">
        <x:v>workholding</x:v>
      </x:c>
      <x:c r="K81" s="49" t="str">
        <x:v>dexterity</x:v>
      </x:c>
      <x:c r="L81" s="71" t="n">
        <x:v>180</x:v>
      </x:c>
      <x:c r="M81" s="71" t="n">
        <x:v>0</x:v>
      </x:c>
      <x:c r="N81" s="49" t="str">
        <x:v>holding force/alignment</x:v>
      </x:c>
      <x:c r="O81" s="49" t="str">
        <x:v>rack / crush</x:v>
      </x:c>
      <x:c r="P81" s="49" t="str"/>
      <x:c r="Q81" s="49" t="str">
        <x:v>No</x:v>
      </x:c>
      <x:c r="R81" s="71" t="n">
        <x:f>COUNTIF('Dependency Edges'!$B$5:$B$700,A81)</x:f>
        <x:v>5</x:v>
      </x:c>
      <x:c r="S81" s="71" t="n">
        <x:f>COUNTIF('Dependency Edges'!$A$5:$A$700,A81)</x:f>
        <x:v>2</x:v>
      </x:c>
      <x:c r="T81" s="49" t="str">
        <x:f>IF(AND(D81&lt;&gt;"Source",R81=0),"MISSING INPUT",IF(AND(Q81&lt;&gt;"Yes",S81=0),"NO DOWNSTREAM","OK"))</x:f>
        <x:v>OK</x:v>
      </x:c>
    </x:row>
    <x:row r="82">
      <x:c r="A82" s="49" t="str">
        <x:v>T-DIG</x:v>
      </x:c>
      <x:c r="B82" s="49" t="str">
        <x:v>Digging stick/scoop</x:v>
      </x:c>
      <x:c r="C82" s="49" t="str">
        <x:v>Tools</x:v>
      </x:c>
      <x:c r="D82" s="49" t="str">
        <x:v>Tool</x:v>
      </x:c>
      <x:c r="E82" s="49" t="str">
        <x:v>H1</x:v>
      </x:c>
      <x:c r="F82" s="49" t="str">
        <x:v>P-STRAIGHT-POLE; P-SHARP-EDGE</x:v>
      </x:c>
      <x:c r="G82" s="49" t="str">
        <x:v>shape / harden / test</x:v>
      </x:c>
      <x:c r="H82" s="49" t="str">
        <x:v>T-STONE-KNIFE</x:v>
      </x:c>
      <x:c r="I82" s="49" t="str">
        <x:v>W-WORKMAT</x:v>
      </x:c>
      <x:c r="J82" s="49" t="str">
        <x:v>earthwork</x:v>
      </x:c>
      <x:c r="K82" s="49" t="str">
        <x:v>strength</x:v>
      </x:c>
      <x:c r="L82" s="71" t="n">
        <x:v>45</x:v>
      </x:c>
      <x:c r="M82" s="71" t="n">
        <x:v>0</x:v>
      </x:c>
      <x:c r="N82" s="49" t="str">
        <x:v>soil penetration</x:v>
      </x:c>
      <x:c r="O82" s="49" t="str">
        <x:v>break / blister</x:v>
      </x:c>
      <x:c r="P82" s="49" t="str"/>
      <x:c r="Q82" s="49" t="str">
        <x:v>No</x:v>
      </x:c>
      <x:c r="R82" s="71" t="n">
        <x:f>COUNTIF('Dependency Edges'!$B$5:$B$700,A82)</x:f>
        <x:v>4</x:v>
      </x:c>
      <x:c r="S82" s="71" t="n">
        <x:f>COUNTIF('Dependency Edges'!$A$5:$A$700,A82)</x:f>
        <x:v>8</x:v>
      </x:c>
      <x:c r="T82" s="49" t="str">
        <x:f>IF(AND(D82&lt;&gt;"Source",R82=0),"MISSING INPUT",IF(AND(Q82&lt;&gt;"Yes",S82=0),"NO DOWNSTREAM","OK"))</x:f>
        <x:v>OK</x:v>
      </x:c>
    </x:row>
    <x:row r="83">
      <x:c r="A83" s="49" t="str">
        <x:v>T-SHOVEL</x:v>
      </x:c>
      <x:c r="B83" s="49" t="str">
        <x:v>Fitted shovel/mattock</x:v>
      </x:c>
      <x:c r="C83" s="49" t="str">
        <x:v>Tools</x:v>
      </x:c>
      <x:c r="D83" s="49" t="str">
        <x:v>Tool</x:v>
      </x:c>
      <x:c r="E83" s="49" t="str">
        <x:v>H3</x:v>
      </x:c>
      <x:c r="F83" s="49" t="str">
        <x:v>P-METAL-STOCK; P-STRAIGHT-POLE; S-FASTENER</x:v>
      </x:c>
      <x:c r="G83" s="49" t="str">
        <x:v>shape / haft / test</x:v>
      </x:c>
      <x:c r="H83" s="49" t="str">
        <x:v>T-HAMMER</x:v>
      </x:c>
      <x:c r="I83" s="49" t="str">
        <x:v>W-BENCH</x:v>
      </x:c>
      <x:c r="J83" s="49" t="str">
        <x:v>earthwork / metal</x:v>
      </x:c>
      <x:c r="K83" s="49" t="str">
        <x:v>strength + endurance</x:v>
      </x:c>
      <x:c r="L83" s="71" t="n">
        <x:v>240</x:v>
      </x:c>
      <x:c r="M83" s="71" t="n">
        <x:v>0</x:v>
      </x:c>
      <x:c r="N83" s="49" t="str">
        <x:v>dig/lift test</x:v>
      </x:c>
      <x:c r="O83" s="49" t="str">
        <x:v>bend / loose</x:v>
      </x:c>
      <x:c r="P83" s="49" t="str"/>
      <x:c r="Q83" s="49" t="str">
        <x:v>No</x:v>
      </x:c>
      <x:c r="R83" s="71" t="n">
        <x:f>COUNTIF('Dependency Edges'!$B$5:$B$700,A83)</x:f>
        <x:v>5</x:v>
      </x:c>
      <x:c r="S83" s="71" t="n">
        <x:f>COUNTIF('Dependency Edges'!$A$5:$A$700,A83)</x:f>
        <x:v>4</x:v>
      </x:c>
      <x:c r="T83" s="49" t="str">
        <x:f>IF(AND(D83&lt;&gt;"Source",R83=0),"MISSING INPUT",IF(AND(Q83&lt;&gt;"Yes",S83=0),"NO DOWNSTREAM","OK"))</x:f>
        <x:v>OK</x:v>
      </x:c>
    </x:row>
    <x:row r="84">
      <x:c r="A84" s="49" t="str">
        <x:v>T-NEEDLE</x:v>
      </x:c>
      <x:c r="B84" s="49" t="str">
        <x:v>Needle/sewing set</x:v>
      </x:c>
      <x:c r="C84" s="49" t="str">
        <x:v>Tools</x:v>
      </x:c>
      <x:c r="D84" s="49" t="str">
        <x:v>Tool</x:v>
      </x:c>
      <x:c r="E84" s="49" t="str">
        <x:v>H2</x:v>
      </x:c>
      <x:c r="F84" s="49" t="str">
        <x:v>S-BONE; T-AWL</x:v>
      </x:c>
      <x:c r="G84" s="49" t="str">
        <x:v>shape / polish / eye</x:v>
      </x:c>
      <x:c r="H84" s="49" t="str">
        <x:v>T-STONE-KNIFE</x:v>
      </x:c>
      <x:c r="I84" s="49" t="str">
        <x:v>W-WORKMAT</x:v>
      </x:c>
      <x:c r="J84" s="49" t="str">
        <x:v>sewing</x:v>
      </x:c>
      <x:c r="K84" s="49" t="str">
        <x:v>dexterity</x:v>
      </x:c>
      <x:c r="L84" s="71" t="n">
        <x:v>45</x:v>
      </x:c>
      <x:c r="M84" s="71" t="n">
        <x:v>0</x:v>
      </x:c>
      <x:c r="N84" s="49" t="str">
        <x:v>seam sample</x:v>
      </x:c>
      <x:c r="O84" s="49" t="str">
        <x:v>snap / puncture</x:v>
      </x:c>
      <x:c r="P84" s="49" t="str"/>
      <x:c r="Q84" s="49" t="str">
        <x:v>No</x:v>
      </x:c>
      <x:c r="R84" s="71" t="n">
        <x:f>COUNTIF('Dependency Edges'!$B$5:$B$700,A84)</x:f>
        <x:v>4</x:v>
      </x:c>
      <x:c r="S84" s="71" t="n">
        <x:f>COUNTIF('Dependency Edges'!$A$5:$A$700,A84)</x:f>
        <x:v>1</x:v>
      </x:c>
      <x:c r="T84" s="49" t="str">
        <x:f>IF(AND(D84&lt;&gt;"Source",R84=0),"MISSING INPUT",IF(AND(Q84&lt;&gt;"Yes",S84=0),"NO DOWNSTREAM","OK"))</x:f>
        <x:v>OK</x:v>
      </x:c>
    </x:row>
    <x:row r="85">
      <x:c r="A85" s="49" t="str">
        <x:v>T-SNIPS</x:v>
      </x:c>
      <x:c r="B85" s="49" t="str">
        <x:v>Sheet cutting tool</x:v>
      </x:c>
      <x:c r="C85" s="49" t="str">
        <x:v>Tools</x:v>
      </x:c>
      <x:c r="D85" s="49" t="str">
        <x:v>Tool</x:v>
      </x:c>
      <x:c r="E85" s="49" t="str">
        <x:v>H4</x:v>
      </x:c>
      <x:c r="F85" s="49" t="str">
        <x:v>P-METAL-STOCK; W-FORGE</x:v>
      </x:c>
      <x:c r="G85" s="49" t="str">
        <x:v>forge / pivot / sharpen / test</x:v>
      </x:c>
      <x:c r="H85" s="49" t="str">
        <x:v>T-HAMMER</x:v>
      </x:c>
      <x:c r="I85" s="49" t="str">
        <x:v>W-FORGE</x:v>
      </x:c>
      <x:c r="J85" s="49" t="str">
        <x:v>metal / sheet</x:v>
      </x:c>
      <x:c r="K85" s="49" t="str">
        <x:v>strength + dexterity</x:v>
      </x:c>
      <x:c r="L85" s="71" t="n">
        <x:v>300</x:v>
      </x:c>
      <x:c r="M85" s="71" t="n">
        <x:v>0</x:v>
      </x:c>
      <x:c r="N85" s="49" t="str">
        <x:v>clean sheet cut</x:v>
      </x:c>
      <x:c r="O85" s="49" t="str">
        <x:v>burr / jaw spread</x:v>
      </x:c>
      <x:c r="P85" s="49" t="str"/>
      <x:c r="Q85" s="49" t="str">
        <x:v>No</x:v>
      </x:c>
      <x:c r="R85" s="71" t="n">
        <x:f>COUNTIF('Dependency Edges'!$B$5:$B$700,A85)</x:f>
        <x:v>3</x:v>
      </x:c>
      <x:c r="S85" s="71" t="n">
        <x:f>COUNTIF('Dependency Edges'!$A$5:$A$700,A85)</x:f>
        <x:v>2</x:v>
      </x:c>
      <x:c r="T85" s="49" t="str">
        <x:f>IF(AND(D85&lt;&gt;"Source",R85=0),"MISSING INPUT",IF(AND(Q85&lt;&gt;"Yes",S85=0),"NO DOWNSTREAM","OK"))</x:f>
        <x:v>OK</x:v>
      </x:c>
    </x:row>
    <x:row r="86">
      <x:c r="A86" s="49" t="str">
        <x:v>T-PUNCH</x:v>
      </x:c>
      <x:c r="B86" s="49" t="str">
        <x:v>Punch/rivet set</x:v>
      </x:c>
      <x:c r="C86" s="49" t="str">
        <x:v>Tools</x:v>
      </x:c>
      <x:c r="D86" s="49" t="str">
        <x:v>Tool</x:v>
      </x:c>
      <x:c r="E86" s="49" t="str">
        <x:v>H4</x:v>
      </x:c>
      <x:c r="F86" s="49" t="str">
        <x:v>P-METAL-STOCK; W-FORGE</x:v>
      </x:c>
      <x:c r="G86" s="49" t="str">
        <x:v>forge / temper / size</x:v>
      </x:c>
      <x:c r="H86" s="49" t="str">
        <x:v>T-HAMMER</x:v>
      </x:c>
      <x:c r="I86" s="49" t="str">
        <x:v>W-FORGE</x:v>
      </x:c>
      <x:c r="J86" s="49" t="str">
        <x:v>metal / fastening</x:v>
      </x:c>
      <x:c r="K86" s="49" t="str">
        <x:v>dexterity</x:v>
      </x:c>
      <x:c r="L86" s="71" t="n">
        <x:v>180</x:v>
      </x:c>
      <x:c r="M86" s="71" t="n">
        <x:v>0</x:v>
      </x:c>
      <x:c r="N86" s="49" t="str">
        <x:v>hole/rivet sample</x:v>
      </x:c>
      <x:c r="O86" s="49" t="str">
        <x:v>mushroom / misalign</x:v>
      </x:c>
      <x:c r="P86" s="49" t="str"/>
      <x:c r="Q86" s="49" t="str">
        <x:v>No</x:v>
      </x:c>
      <x:c r="R86" s="71" t="n">
        <x:f>COUNTIF('Dependency Edges'!$B$5:$B$700,A86)</x:f>
        <x:v>3</x:v>
      </x:c>
      <x:c r="S86" s="71" t="n">
        <x:f>COUNTIF('Dependency Edges'!$A$5:$A$700,A86)</x:f>
        <x:v>1</x:v>
      </x:c>
      <x:c r="T86" s="49" t="str">
        <x:f>IF(AND(D86&lt;&gt;"Source",R86=0),"MISSING INPUT",IF(AND(Q86&lt;&gt;"Yes",S86=0),"NO DOWNSTREAM","OK"))</x:f>
        <x:v>OK</x:v>
      </x:c>
    </x:row>
    <x:row r="87">
      <x:c r="A87" s="49" t="str">
        <x:v>T-METER</x:v>
      </x:c>
      <x:c r="B87" s="49" t="str">
        <x:v>Electrical test meter</x:v>
      </x:c>
      <x:c r="C87" s="49" t="str">
        <x:v>Tools</x:v>
      </x:c>
      <x:c r="D87" s="49" t="str">
        <x:v>Tool</x:v>
      </x:c>
      <x:c r="E87" s="49" t="str">
        <x:v>H5</x:v>
      </x:c>
      <x:c r="F87" s="49" t="str">
        <x:v>S-BATTERY; S-WIRE; S-RADIO</x:v>
      </x:c>
      <x:c r="G87" s="49" t="str">
        <x:v>recover / protect / calibrate</x:v>
      </x:c>
      <x:c r="H87" s="49" t="str"/>
      <x:c r="I87" s="49" t="str">
        <x:v>W-ELECTRICAL</x:v>
      </x:c>
      <x:c r="J87" s="49" t="str">
        <x:v>electrical / measurement</x:v>
      </x:c>
      <x:c r="K87" s="49" t="str">
        <x:v>dexterity + knowledge</x:v>
      </x:c>
      <x:c r="L87" s="71" t="n">
        <x:v>240</x:v>
      </x:c>
      <x:c r="M87" s="71" t="n">
        <x:v>0</x:v>
      </x:c>
      <x:c r="N87" s="49" t="str">
        <x:v>known reference test</x:v>
      </x:c>
      <x:c r="O87" s="49" t="str">
        <x:v>short / false reading</x:v>
      </x:c>
      <x:c r="P87" s="49" t="str"/>
      <x:c r="Q87" s="49" t="str">
        <x:v>No</x:v>
      </x:c>
      <x:c r="R87" s="71" t="n">
        <x:f>COUNTIF('Dependency Edges'!$B$5:$B$700,A87)</x:f>
        <x:v>4</x:v>
      </x:c>
      <x:c r="S87" s="71" t="n">
        <x:f>COUNTIF('Dependency Edges'!$A$5:$A$700,A87)</x:f>
        <x:v>12</x:v>
      </x:c>
      <x:c r="T87" s="49" t="str">
        <x:f>IF(AND(D87&lt;&gt;"Source",R87=0),"MISSING INPUT",IF(AND(Q87&lt;&gt;"Yes",S87=0),"NO DOWNSTREAM","OK"))</x:f>
        <x:v>OK</x:v>
      </x:c>
    </x:row>
    <x:row r="88">
      <x:c r="A88" s="49" t="str">
        <x:v>W-WORKMAT</x:v>
      </x:c>
      <x:c r="B88" s="49" t="str">
        <x:v>Work mat/support</x:v>
      </x:c>
      <x:c r="C88" s="49" t="str">
        <x:v>Workspace</x:v>
      </x:c>
      <x:c r="D88" s="49" t="str">
        <x:v>Workspace</x:v>
      </x:c>
      <x:c r="E88" s="49" t="str">
        <x:v>H1</x:v>
      </x:c>
      <x:c r="F88" s="49" t="str">
        <x:v>P-MAT</x:v>
      </x:c>
      <x:c r="G88" s="49" t="str">
        <x:v>place / clean / support</x:v>
      </x:c>
      <x:c r="H88" s="49" t="str"/>
      <x:c r="I88" s="49" t="str">
        <x:v>sheltered ground</x:v>
      </x:c>
      <x:c r="J88" s="49" t="str">
        <x:v>workholding / hygiene</x:v>
      </x:c>
      <x:c r="K88" s="49" t="str">
        <x:v>low</x:v>
      </x:c>
      <x:c r="L88" s="71" t="n">
        <x:v>10</x:v>
      </x:c>
      <x:c r="M88" s="71" t="n">
        <x:v>0</x:v>
      </x:c>
      <x:c r="N88" s="49" t="str">
        <x:v>dry/stable surface</x:v>
      </x:c>
      <x:c r="O88" s="49" t="str">
        <x:v>dirty / unstable</x:v>
      </x:c>
      <x:c r="P88" s="49" t="str"/>
      <x:c r="Q88" s="49" t="str">
        <x:v>No</x:v>
      </x:c>
      <x:c r="R88" s="71" t="n">
        <x:f>COUNTIF('Dependency Edges'!$B$5:$B$700,A88)</x:f>
        <x:v>1</x:v>
      </x:c>
      <x:c r="S88" s="71" t="n">
        <x:f>COUNTIF('Dependency Edges'!$A$5:$A$700,A88)</x:f>
        <x:v>13</x:v>
      </x:c>
      <x:c r="T88" s="49" t="str">
        <x:f>IF(AND(D88&lt;&gt;"Source",R88=0),"MISSING INPUT",IF(AND(Q88&lt;&gt;"Yes",S88=0),"NO DOWNSTREAM","OK"))</x:f>
        <x:v>OK</x:v>
      </x:c>
    </x:row>
    <x:row r="89">
      <x:c r="A89" s="49" t="str">
        <x:v>W-HEARTH</x:v>
      </x:c>
      <x:c r="B89" s="49" t="str">
        <x:v>Controlled hearth</x:v>
      </x:c>
      <x:c r="C89" s="49" t="str">
        <x:v>Thermal</x:v>
      </x:c>
      <x:c r="D89" s="49" t="str">
        <x:v>Workspace</x:v>
      </x:c>
      <x:c r="E89" s="49" t="str">
        <x:v>H2</x:v>
      </x:c>
      <x:c r="F89" s="49" t="str">
        <x:v>S-STONE; S-WOODFUEL; P-CORD</x:v>
      </x:c>
      <x:c r="G89" s="49" t="str">
        <x:v>site / contain / ignite / manage / extinguish</x:v>
      </x:c>
      <x:c r="H89" s="49" t="str">
        <x:v>T-DIG</x:v>
      </x:c>
      <x:c r="I89" s="49" t="str">
        <x:v>safe exterior</x:v>
      </x:c>
      <x:c r="J89" s="49" t="str">
        <x:v>firecraft</x:v>
      </x:c>
      <x:c r="K89" s="49" t="str">
        <x:v>moderate</x:v>
      </x:c>
      <x:c r="L89" s="71" t="n">
        <x:v>90</x:v>
      </x:c>
      <x:c r="M89" s="71" t="n">
        <x:v>0</x:v>
      </x:c>
      <x:c r="N89" s="49" t="str">
        <x:v>sustained heat/smoke/escape</x:v>
      </x:c>
      <x:c r="O89" s="49" t="str">
        <x:v>fire / smoke / extinction</x:v>
      </x:c>
      <x:c r="P89" s="49" t="str"/>
      <x:c r="Q89" s="49" t="str">
        <x:v>No</x:v>
      </x:c>
      <x:c r="R89" s="71" t="n">
        <x:f>COUNTIF('Dependency Edges'!$B$5:$B$700,A89)</x:f>
        <x:v>5</x:v>
      </x:c>
      <x:c r="S89" s="71" t="n">
        <x:f>COUNTIF('Dependency Edges'!$A$5:$A$700,A89)</x:f>
        <x:v>10</x:v>
      </x:c>
      <x:c r="T89" s="49" t="str">
        <x:f>IF(AND(D89&lt;&gt;"Source",R89=0),"MISSING INPUT",IF(AND(Q89&lt;&gt;"Yes",S89=0),"NO DOWNSTREAM","OK"))</x:f>
        <x:v>OK</x:v>
      </x:c>
    </x:row>
    <x:row r="90">
      <x:c r="A90" s="49" t="str">
        <x:v>W-BENCH</x:v>
      </x:c>
      <x:c r="B90" s="49" t="str">
        <x:v>Workbench with holding</x:v>
      </x:c>
      <x:c r="C90" s="49" t="str">
        <x:v>Workspace</x:v>
      </x:c>
      <x:c r="D90" s="49" t="str">
        <x:v>Workspace</x:v>
      </x:c>
      <x:c r="E90" s="49" t="str">
        <x:v>H3</x:v>
      </x:c>
      <x:c r="F90" s="49" t="str">
        <x:v>P-PLANK; P-STRAIGHT-POLE; P-PEG; T-MEASURE</x:v>
      </x:c>
      <x:c r="G90" s="49" t="str">
        <x:v>frame / brace / level / test</x:v>
      </x:c>
      <x:c r="H90" s="49" t="str">
        <x:v>T-AXE</x:v>
      </x:c>
      <x:c r="I90" s="49" t="str">
        <x:v>working home</x:v>
      </x:c>
      <x:c r="J90" s="49" t="str">
        <x:v>construction / workholding</x:v>
      </x:c>
      <x:c r="K90" s="49" t="str">
        <x:v>strength + dexterity</x:v>
      </x:c>
      <x:c r="L90" s="71" t="n">
        <x:v>360</x:v>
      </x:c>
      <x:c r="M90" s="71" t="n">
        <x:v>0</x:v>
      </x:c>
      <x:c r="N90" s="49" t="str">
        <x:v>rack/load/clamp test</x:v>
      </x:c>
      <x:c r="O90" s="49" t="str">
        <x:v>rack / overturn</x:v>
      </x:c>
      <x:c r="P90" s="49" t="str"/>
      <x:c r="Q90" s="49" t="str">
        <x:v>No</x:v>
      </x:c>
      <x:c r="R90" s="71" t="n">
        <x:f>COUNTIF('Dependency Edges'!$B$5:$B$700,A90)</x:f>
        <x:v>5</x:v>
      </x:c>
      <x:c r="S90" s="71" t="n">
        <x:f>COUNTIF('Dependency Edges'!$A$5:$A$700,A90)</x:f>
        <x:v>29</x:v>
      </x:c>
      <x:c r="T90" s="49" t="str">
        <x:f>IF(AND(D90&lt;&gt;"Source",R90=0),"MISSING INPUT",IF(AND(Q90&lt;&gt;"Yes",S90=0),"NO DOWNSTREAM","OK"))</x:f>
        <x:v>OK</x:v>
      </x:c>
    </x:row>
    <x:row r="91">
      <x:c r="A91" s="49" t="str">
        <x:v>W-CHARCOAL</x:v>
      </x:c>
      <x:c r="B91" s="49" t="str">
        <x:v>Charcoal pit/retort</x:v>
      </x:c>
      <x:c r="C91" s="49" t="str">
        <x:v>Thermal</x:v>
      </x:c>
      <x:c r="D91" s="49" t="str">
        <x:v>Workspace</x:v>
      </x:c>
      <x:c r="E91" s="49" t="str">
        <x:v>H3</x:v>
      </x:c>
      <x:c r="F91" s="49" t="str">
        <x:v>S-STONE; P-CLAY-BODY; S-WOODFUEL</x:v>
      </x:c>
      <x:c r="G91" s="49" t="str">
        <x:v>build / seal / vent / control</x:v>
      </x:c>
      <x:c r="H91" s="49" t="str">
        <x:v>T-DIG</x:v>
      </x:c>
      <x:c r="I91" s="49" t="str">
        <x:v>safe yard</x:v>
      </x:c>
      <x:c r="J91" s="49" t="str">
        <x:v>firecraft</x:v>
      </x:c>
      <x:c r="K91" s="49" t="str">
        <x:v>heat</x:v>
      </x:c>
      <x:c r="L91" s="71" t="n">
        <x:v>240</x:v>
      </x:c>
      <x:c r="M91" s="71" t="n">
        <x:v>0</x:v>
      </x:c>
      <x:c r="N91" s="49" t="str">
        <x:v>controlled low-oxygen burn</x:v>
      </x:c>
      <x:c r="O91" s="49" t="str">
        <x:v>wildfire / ash</x:v>
      </x:c>
      <x:c r="P91" s="49" t="str"/>
      <x:c r="Q91" s="49" t="str">
        <x:v>No</x:v>
      </x:c>
      <x:c r="R91" s="71" t="n">
        <x:f>COUNTIF('Dependency Edges'!$B$5:$B$700,A91)</x:f>
        <x:v>4</x:v>
      </x:c>
      <x:c r="S91" s="71" t="n">
        <x:f>COUNTIF('Dependency Edges'!$A$5:$A$700,A91)</x:f>
        <x:v>1</x:v>
      </x:c>
      <x:c r="T91" s="49" t="str">
        <x:f>IF(AND(D91&lt;&gt;"Source",R91=0),"MISSING INPUT",IF(AND(Q91&lt;&gt;"Yes",S91=0),"NO DOWNSTREAM","OK"))</x:f>
        <x:v>OK</x:v>
      </x:c>
    </x:row>
    <x:row r="92">
      <x:c r="A92" s="49" t="str">
        <x:v>W-KILN</x:v>
      </x:c>
      <x:c r="B92" s="49" t="str">
        <x:v>Kiln/firing hearth</x:v>
      </x:c>
      <x:c r="C92" s="49" t="str">
        <x:v>Ceramic</x:v>
      </x:c>
      <x:c r="D92" s="49" t="str">
        <x:v>Workspace</x:v>
      </x:c>
      <x:c r="E92" s="49" t="str">
        <x:v>H4</x:v>
      </x:c>
      <x:c r="F92" s="49" t="str">
        <x:v>P-FIRED-CERAMIC; S-STONE; P-CHARCOAL</x:v>
      </x:c>
      <x:c r="G92" s="49" t="str">
        <x:v>build / draft / fire / cool</x:v>
      </x:c>
      <x:c r="H92" s="49" t="str">
        <x:v>T-TONGS</x:v>
      </x:c>
      <x:c r="I92" s="49" t="str">
        <x:v>safe yard</x:v>
      </x:c>
      <x:c r="J92" s="49" t="str">
        <x:v>ceramic / thermal</x:v>
      </x:c>
      <x:c r="K92" s="49" t="str">
        <x:v>heat</x:v>
      </x:c>
      <x:c r="L92" s="71" t="n">
        <x:v>720</x:v>
      </x:c>
      <x:c r="M92" s="71" t="n">
        <x:v>0</x:v>
      </x:c>
      <x:c r="N92" s="49" t="str">
        <x:v>fired test pieces</x:v>
      </x:c>
      <x:c r="O92" s="49" t="str">
        <x:v>collapse / uneven heat</x:v>
      </x:c>
      <x:c r="P92" s="49" t="str"/>
      <x:c r="Q92" s="49" t="str">
        <x:v>No</x:v>
      </x:c>
      <x:c r="R92" s="71" t="n">
        <x:f>COUNTIF('Dependency Edges'!$B$5:$B$700,A92)</x:f>
        <x:v>4</x:v>
      </x:c>
      <x:c r="S92" s="71" t="n">
        <x:f>COUNTIF('Dependency Edges'!$A$5:$A$700,A92)</x:f>
        <x:v>2</x:v>
      </x:c>
      <x:c r="T92" s="49" t="str">
        <x:f>IF(AND(D92&lt;&gt;"Source",R92=0),"MISSING INPUT",IF(AND(Q92&lt;&gt;"Yes",S92=0),"NO DOWNSTREAM","OK"))</x:f>
        <x:v>OK</x:v>
      </x:c>
    </x:row>
    <x:row r="93">
      <x:c r="A93" s="49" t="str">
        <x:v>W-FORGE</x:v>
      </x:c>
      <x:c r="B93" s="49" t="str">
        <x:v>Forge/anvil station</x:v>
      </x:c>
      <x:c r="C93" s="49" t="str">
        <x:v>Metal</x:v>
      </x:c>
      <x:c r="D93" s="49" t="str">
        <x:v>Workspace</x:v>
      </x:c>
      <x:c r="E93" s="49" t="str">
        <x:v>H4</x:v>
      </x:c>
      <x:c r="F93" s="49" t="str">
        <x:v>P-FIRED-CERAMIC; P-CHARCOAL; T-TONGS; T-HAMMER</x:v>
      </x:c>
      <x:c r="G93" s="49" t="str">
        <x:v>build / draft / heat / form</x:v>
      </x:c>
      <x:c r="H93" s="49" t="str">
        <x:v>T-TONGS</x:v>
      </x:c>
      <x:c r="I93" s="49" t="str">
        <x:v>ventilated yard</x:v>
      </x:c>
      <x:c r="J93" s="49" t="str">
        <x:v>metal / thermal</x:v>
      </x:c>
      <x:c r="K93" s="49" t="str">
        <x:v>strength + heat</x:v>
      </x:c>
      <x:c r="L93" s="71" t="n">
        <x:v>720</x:v>
      </x:c>
      <x:c r="M93" s="71" t="n">
        <x:v>0</x:v>
      </x:c>
      <x:c r="N93" s="49" t="str">
        <x:v>forged test stock</x:v>
      </x:c>
      <x:c r="O93" s="49" t="str">
        <x:v>burn / fume / crack</x:v>
      </x:c>
      <x:c r="P93" s="49" t="str"/>
      <x:c r="Q93" s="49" t="str">
        <x:v>No</x:v>
      </x:c>
      <x:c r="R93" s="71" t="n">
        <x:f>COUNTIF('Dependency Edges'!$B$5:$B$700,A93)</x:f>
        <x:v>4</x:v>
      </x:c>
      <x:c r="S93" s="71" t="n">
        <x:f>COUNTIF('Dependency Edges'!$A$5:$A$700,A93)</x:f>
        <x:v>11</x:v>
      </x:c>
      <x:c r="T93" s="49" t="str">
        <x:f>IF(AND(D93&lt;&gt;"Source",R93=0),"MISSING INPUT",IF(AND(Q93&lt;&gt;"Yes",S93=0),"NO DOWNSTREAM","OK"))</x:f>
        <x:v>OK</x:v>
      </x:c>
    </x:row>
    <x:row r="94">
      <x:c r="A94" s="49" t="str">
        <x:v>W-CLEAN</x:v>
      </x:c>
      <x:c r="B94" s="49" t="str">
        <x:v>Clean treatment surface</x:v>
      </x:c>
      <x:c r="C94" s="49" t="str">
        <x:v>Medicine</x:v>
      </x:c>
      <x:c r="D94" s="49" t="str">
        <x:v>Workspace</x:v>
      </x:c>
      <x:c r="E94" s="49" t="str">
        <x:v>H2</x:v>
      </x:c>
      <x:c r="F94" s="49" t="str">
        <x:v>P-CLEAN-WATER; P-MAT; A-ROOF</x:v>
      </x:c>
      <x:c r="G94" s="49" t="str">
        <x:v>clean / separate / light / store</x:v>
      </x:c>
      <x:c r="H94" s="49" t="str"/>
      <x:c r="I94" s="49" t="str">
        <x:v>refuge</x:v>
      </x:c>
      <x:c r="J94" s="49" t="str">
        <x:v>hygiene / medicine</x:v>
      </x:c>
      <x:c r="K94" s="49" t="str">
        <x:v>low</x:v>
      </x:c>
      <x:c r="L94" s="71" t="n">
        <x:v>60</x:v>
      </x:c>
      <x:c r="M94" s="71" t="n">
        <x:v>0</x:v>
      </x:c>
      <x:c r="N94" s="49" t="str">
        <x:v>clean/dirty separation</x:v>
      </x:c>
      <x:c r="O94" s="49" t="str">
        <x:v>recontaminate</x:v>
      </x:c>
      <x:c r="P94" s="49" t="str"/>
      <x:c r="Q94" s="49" t="str">
        <x:v>No</x:v>
      </x:c>
      <x:c r="R94" s="71" t="n">
        <x:f>COUNTIF('Dependency Edges'!$B$5:$B$700,A94)</x:f>
        <x:v>3</x:v>
      </x:c>
      <x:c r="S94" s="71" t="n">
        <x:f>COUNTIF('Dependency Edges'!$A$5:$A$700,A94)</x:f>
        <x:v>16</x:v>
      </x:c>
      <x:c r="T94" s="49" t="str">
        <x:f>IF(AND(D94&lt;&gt;"Source",R94=0),"MISSING INPUT",IF(AND(Q94&lt;&gt;"Yes",S94=0),"NO DOWNSTREAM","OK"))</x:f>
        <x:v>OK</x:v>
      </x:c>
    </x:row>
    <x:row r="95">
      <x:c r="A95" s="49" t="str">
        <x:v>W-WATER</x:v>
      </x:c>
      <x:c r="B95" s="49" t="str">
        <x:v>Water treatment station</x:v>
      </x:c>
      <x:c r="C95" s="49" t="str">
        <x:v>Water</x:v>
      </x:c>
      <x:c r="D95" s="49" t="str">
        <x:v>Workspace</x:v>
      </x:c>
      <x:c r="E95" s="49" t="str">
        <x:v>H2</x:v>
      </x:c>
      <x:c r="F95" s="49" t="str">
        <x:v>W-HEARTH; W-CLEAN; C-COVERED-STORE</x:v>
      </x:c>
      <x:c r="G95" s="49" t="str">
        <x:v>separate raw/treated / heat / cool / label</x:v>
      </x:c>
      <x:c r="H95" s="49" t="str"/>
      <x:c r="I95" s="49" t="str">
        <x:v>working shelter</x:v>
      </x:c>
      <x:c r="J95" s="49" t="str">
        <x:v>water / hygiene</x:v>
      </x:c>
      <x:c r="K95" s="49" t="str">
        <x:v>moderate</x:v>
      </x:c>
      <x:c r="L95" s="71" t="n">
        <x:v>120</x:v>
      </x:c>
      <x:c r="M95" s="71" t="n">
        <x:v>0</x:v>
      </x:c>
      <x:c r="N95" s="49" t="str">
        <x:v>no cross-contamination</x:v>
      </x:c>
      <x:c r="O95" s="49" t="str">
        <x:v>mix / spill</x:v>
      </x:c>
      <x:c r="P95" s="49" t="str"/>
      <x:c r="Q95" s="49" t="str">
        <x:v>No</x:v>
      </x:c>
      <x:c r="R95" s="71" t="n">
        <x:f>COUNTIF('Dependency Edges'!$B$5:$B$700,A95)</x:f>
        <x:v>3</x:v>
      </x:c>
      <x:c r="S95" s="71" t="n">
        <x:f>COUNTIF('Dependency Edges'!$A$5:$A$700,A95)</x:f>
        <x:v>2</x:v>
      </x:c>
      <x:c r="T95" s="49" t="str">
        <x:f>IF(AND(D95&lt;&gt;"Source",R95=0),"MISSING INPUT",IF(AND(Q95&lt;&gt;"Yes",S95=0),"NO DOWNSTREAM","OK"))</x:f>
        <x:v>OK</x:v>
      </x:c>
    </x:row>
    <x:row r="96">
      <x:c r="A96" s="49" t="str">
        <x:v>A-SMOKER</x:v>
      </x:c>
      <x:c r="B96" s="49" t="str">
        <x:v>Smoking/drying station</x:v>
      </x:c>
      <x:c r="C96" s="49" t="str">
        <x:v>Food</x:v>
      </x:c>
      <x:c r="D96" s="49" t="str">
        <x:v>Workspace</x:v>
      </x:c>
      <x:c r="E96" s="49" t="str">
        <x:v>H3</x:v>
      </x:c>
      <x:c r="F96" s="49" t="str">
        <x:v>P-STRAIGHT-POLE; P-MAT; W-HEARTH</x:v>
      </x:c>
      <x:c r="G96" s="49" t="str">
        <x:v>frame / rack / draft / smoke</x:v>
      </x:c>
      <x:c r="H96" s="49" t="str">
        <x:v>T-STONE-KNIFE</x:v>
      </x:c>
      <x:c r="I96" s="49" t="str">
        <x:v>safe food yard</x:v>
      </x:c>
      <x:c r="J96" s="49" t="str">
        <x:v>food / thermal</x:v>
      </x:c>
      <x:c r="K96" s="49" t="str">
        <x:v>moderate</x:v>
      </x:c>
      <x:c r="L96" s="71" t="n">
        <x:v>240</x:v>
      </x:c>
      <x:c r="M96" s="71" t="n">
        <x:v>0</x:v>
      </x:c>
      <x:c r="N96" s="49" t="str">
        <x:v>time/condition test</x:v>
      </x:c>
      <x:c r="O96" s="49" t="str">
        <x:v>spoil / fire</x:v>
      </x:c>
      <x:c r="P96" s="49" t="str"/>
      <x:c r="Q96" s="49" t="str">
        <x:v>No</x:v>
      </x:c>
      <x:c r="R96" s="71" t="n">
        <x:f>COUNTIF('Dependency Edges'!$B$5:$B$700,A96)</x:f>
        <x:v>4</x:v>
      </x:c>
      <x:c r="S96" s="71" t="n">
        <x:f>COUNTIF('Dependency Edges'!$A$5:$A$700,A96)</x:f>
        <x:v>2</x:v>
      </x:c>
      <x:c r="T96" s="49" t="str">
        <x:f>IF(AND(D96&lt;&gt;"Source",R96=0),"MISSING INPUT",IF(AND(Q96&lt;&gt;"Yes",S96=0),"NO DOWNSTREAM","OK"))</x:f>
        <x:v>OK</x:v>
      </x:c>
    </x:row>
    <x:row r="97">
      <x:c r="A97" s="49" t="str">
        <x:v>W-CLINIC</x:v>
      </x:c>
      <x:c r="B97" s="49" t="str">
        <x:v>Clinic/recovery station</x:v>
      </x:c>
      <x:c r="C97" s="49" t="str">
        <x:v>Medicine</x:v>
      </x:c>
      <x:c r="D97" s="49" t="str">
        <x:v>Workspace</x:v>
      </x:c>
      <x:c r="E97" s="49" t="str">
        <x:v>H5</x:v>
      </x:c>
      <x:c r="F97" s="49" t="str">
        <x:v>W-CLEAN; A-RAISED-BED; A-COVERED-STORE; A-LAMP</x:v>
      </x:c>
      <x:c r="G97" s="49" t="str">
        <x:v>separate / treat / monitor / record</x:v>
      </x:c>
      <x:c r="H97" s="49" t="str"/>
      <x:c r="I97" s="49" t="str">
        <x:v>legacy home</x:v>
      </x:c>
      <x:c r="J97" s="49" t="str">
        <x:v>medicine / archive</x:v>
      </x:c>
      <x:c r="K97" s="49" t="str">
        <x:v>low</x:v>
      </x:c>
      <x:c r="L97" s="71" t="n">
        <x:v>720</x:v>
      </x:c>
      <x:c r="M97" s="71" t="n">
        <x:v>0</x:v>
      </x:c>
      <x:c r="N97" s="49" t="str">
        <x:v>care/recovery drill</x:v>
      </x:c>
      <x:c r="O97" s="49" t="str">
        <x:v>contamination / power loss</x:v>
      </x:c>
      <x:c r="P97" s="49" t="str"/>
      <x:c r="Q97" s="49" t="str">
        <x:v>Yes</x:v>
      </x:c>
      <x:c r="R97" s="71" t="n">
        <x:f>COUNTIF('Dependency Edges'!$B$5:$B$700,A97)</x:f>
        <x:v>11</x:v>
      </x:c>
      <x:c r="S97" s="71" t="n">
        <x:f>COUNTIF('Dependency Edges'!$A$5:$A$700,A97)</x:f>
        <x:v>1</x:v>
      </x:c>
      <x:c r="T97" s="49" t="str">
        <x:f>IF(AND(D97&lt;&gt;"Source",R97=0),"MISSING INPUT",IF(AND(Q97&lt;&gt;"Yes",S97=0),"NO DOWNSTREAM","OK"))</x:f>
        <x:v>OK</x:v>
      </x:c>
    </x:row>
    <x:row r="98">
      <x:c r="A98" s="49" t="str">
        <x:v>W-BOATYARD</x:v>
      </x:c>
      <x:c r="B98" s="49" t="str">
        <x:v>Boatyard</x:v>
      </x:c>
      <x:c r="C98" s="49" t="str">
        <x:v>Maritime</x:v>
      </x:c>
      <x:c r="D98" s="49" t="str">
        <x:v>Workspace</x:v>
      </x:c>
      <x:c r="E98" s="49" t="str">
        <x:v>H5</x:v>
      </x:c>
      <x:c r="F98" s="49" t="str">
        <x:v>W-BENCH; A-TRIPOD; A-DOCK; W-ARCHIVE</x:v>
      </x:c>
      <x:c r="G98" s="49" t="str">
        <x:v>support / dry / fit / launch</x:v>
      </x:c>
      <x:c r="H98" s="49" t="str">
        <x:v>T-MEASURE</x:v>
      </x:c>
      <x:c r="I98" s="49" t="str">
        <x:v>shore</x:v>
      </x:c>
      <x:c r="J98" s="49" t="str">
        <x:v>boat / rigging</x:v>
      </x:c>
      <x:c r="K98" s="49" t="str">
        <x:v>high</x:v>
      </x:c>
      <x:c r="L98" s="71" t="n">
        <x:v>1200</x:v>
      </x:c>
      <x:c r="M98" s="71" t="n">
        <x:v>0</x:v>
      </x:c>
      <x:c r="N98" s="49" t="str">
        <x:v>hull/load/launch tests</x:v>
      </x:c>
      <x:c r="O98" s="49" t="str">
        <x:v>collapse / contamination</x:v>
      </x:c>
      <x:c r="P98" s="49" t="str"/>
      <x:c r="Q98" s="49" t="str">
        <x:v>No</x:v>
      </x:c>
      <x:c r="R98" s="71" t="n">
        <x:f>COUNTIF('Dependency Edges'!$B$5:$B$700,A98)</x:f>
        <x:v>5</x:v>
      </x:c>
      <x:c r="S98" s="71" t="n">
        <x:f>COUNTIF('Dependency Edges'!$A$5:$A$700,A98)</x:f>
        <x:v>5</x:v>
      </x:c>
      <x:c r="T98" s="49" t="str">
        <x:f>IF(AND(D98&lt;&gt;"Source",R98=0),"MISSING INPUT",IF(AND(Q98&lt;&gt;"Yes",S98=0),"NO DOWNSTREAM","OK"))</x:f>
        <x:v>OK</x:v>
      </x:c>
    </x:row>
    <x:row r="99">
      <x:c r="A99" s="49" t="str">
        <x:v>W-ELECTRICAL</x:v>
      </x:c>
      <x:c r="B99" s="49" t="str">
        <x:v>Protected electrical bench</x:v>
      </x:c>
      <x:c r="C99" s="49" t="str">
        <x:v>Electrical</x:v>
      </x:c>
      <x:c r="D99" s="49" t="str">
        <x:v>Workspace</x:v>
      </x:c>
      <x:c r="E99" s="49" t="str">
        <x:v>H5</x:v>
      </x:c>
      <x:c r="F99" s="49" t="str">
        <x:v>W-BENCH; A-ROOF; T-METER; P-CONDUCTOR</x:v>
      </x:c>
      <x:c r="G99" s="49" t="str">
        <x:v>isolate / dry / fuse / test</x:v>
      </x:c>
      <x:c r="H99" s="49" t="str">
        <x:v>T-METER</x:v>
      </x:c>
      <x:c r="I99" s="49" t="str">
        <x:v>working home</x:v>
      </x:c>
      <x:c r="J99" s="49" t="str">
        <x:v>electrical</x:v>
      </x:c>
      <x:c r="K99" s="49" t="str">
        <x:v>dexterity</x:v>
      </x:c>
      <x:c r="L99" s="71" t="n">
        <x:v>600</x:v>
      </x:c>
      <x:c r="M99" s="71" t="n">
        <x:v>0</x:v>
      </x:c>
      <x:c r="N99" s="49" t="str">
        <x:v>known-reference/isolation</x:v>
      </x:c>
      <x:c r="O99" s="49" t="str">
        <x:v>short / fire</x:v>
      </x:c>
      <x:c r="P99" s="49" t="str"/>
      <x:c r="Q99" s="49" t="str">
        <x:v>No</x:v>
      </x:c>
      <x:c r="R99" s="71" t="n">
        <x:f>COUNTIF('Dependency Edges'!$B$5:$B$700,A99)</x:f>
        <x:v>4</x:v>
      </x:c>
      <x:c r="S99" s="71" t="n">
        <x:f>COUNTIF('Dependency Edges'!$A$5:$A$700,A99)</x:f>
        <x:v>5</x:v>
      </x:c>
      <x:c r="T99" s="49" t="str">
        <x:f>IF(AND(D99&lt;&gt;"Source",R99=0),"MISSING INPUT",IF(AND(Q99&lt;&gt;"Yes",S99=0),"NO DOWNSTREAM","OK"))</x:f>
        <x:v>OK</x:v>
      </x:c>
    </x:row>
    <x:row r="100">
      <x:c r="A100" s="49" t="str">
        <x:v>W-ARCHIVE</x:v>
      </x:c>
      <x:c r="B100" s="49" t="str">
        <x:v>Continuity archive</x:v>
      </x:c>
      <x:c r="C100" s="49" t="str">
        <x:v>Legacy</x:v>
      </x:c>
      <x:c r="D100" s="49" t="str">
        <x:v>Workspace</x:v>
      </x:c>
      <x:c r="E100" s="49" t="str">
        <x:v>H6</x:v>
      </x:c>
      <x:c r="F100" s="49" t="str">
        <x:v>A-COVERED-STORE; S-MANUAL; T-MEASURE</x:v>
      </x:c>
      <x:c r="G100" s="49" t="str">
        <x:v>document / label / sample / index</x:v>
      </x:c>
      <x:c r="H100" s="49" t="str"/>
      <x:c r="I100" s="49" t="str">
        <x:v>legacy home</x:v>
      </x:c>
      <x:c r="J100" s="49" t="str">
        <x:v>documentation / teaching</x:v>
      </x:c>
      <x:c r="K100" s="49" t="str">
        <x:v>low</x:v>
      </x:c>
      <x:c r="L100" s="71" t="n">
        <x:v>480</x:v>
      </x:c>
      <x:c r="M100" s="71" t="n">
        <x:v>0</x:v>
      </x:c>
      <x:c r="N100" s="49" t="str">
        <x:v>successor reproduction drill</x:v>
      </x:c>
      <x:c r="O100" s="49" t="str">
        <x:v>loss / ambiguity</x:v>
      </x:c>
      <x:c r="P100" s="49" t="str"/>
      <x:c r="Q100" s="49" t="str">
        <x:v>Yes</x:v>
      </x:c>
      <x:c r="R100" s="71" t="n">
        <x:f>COUNTIF('Dependency Edges'!$B$5:$B$700,A100)</x:f>
        <x:v>3</x:v>
      </x:c>
      <x:c r="S100" s="71" t="n">
        <x:f>COUNTIF('Dependency Edges'!$A$5:$A$700,A100)</x:f>
        <x:v>11</x:v>
      </x:c>
      <x:c r="T100" s="49" t="str">
        <x:f>IF(AND(D100&lt;&gt;"Source",R100=0),"MISSING INPUT",IF(AND(Q100&lt;&gt;"Yes",S100=0),"NO DOWNSTREAM","OK"))</x:f>
        <x:v>OK</x:v>
      </x:c>
    </x:row>
    <x:row r="101">
      <x:c r="A101" s="49" t="str">
        <x:v>C-COCONUT-CUP</x:v>
      </x:c>
      <x:c r="B101" s="49" t="str">
        <x:v>Coconut shell cup</x:v>
      </x:c>
      <x:c r="C101" s="49" t="str">
        <x:v>Water</x:v>
      </x:c>
      <x:c r="D101" s="49" t="str">
        <x:v>Container</x:v>
      </x:c>
      <x:c r="E101" s="49" t="str">
        <x:v>H1</x:v>
      </x:c>
      <x:c r="F101" s="49" t="str">
        <x:v>S-COCONUT; T-STONE-KNIFE</x:v>
      </x:c>
      <x:c r="G101" s="49" t="str">
        <x:v>open / clean / stabilize</x:v>
      </x:c>
      <x:c r="H101" s="49" t="str">
        <x:v>T-STONE-KNIFE</x:v>
      </x:c>
      <x:c r="I101" s="49" t="str">
        <x:v>W-WORKMAT</x:v>
      </x:c>
      <x:c r="J101" s="49" t="str">
        <x:v>water / hygiene</x:v>
      </x:c>
      <x:c r="K101" s="49" t="str">
        <x:v>dexterity</x:v>
      </x:c>
      <x:c r="L101" s="71" t="n">
        <x:v>15</x:v>
      </x:c>
      <x:c r="M101" s="71" t="n">
        <x:v>0</x:v>
      </x:c>
      <x:c r="N101" s="49" t="str">
        <x:v>leak/stability</x:v>
      </x:c>
      <x:c r="O101" s="49" t="str">
        <x:v>crack / spill</x:v>
      </x:c>
      <x:c r="P101" s="49" t="str">
        <x:v>S-BOTTLE</x:v>
      </x:c>
      <x:c r="Q101" s="49" t="str">
        <x:v>No</x:v>
      </x:c>
      <x:c r="R101" s="71" t="n">
        <x:f>COUNTIF('Dependency Edges'!$B$5:$B$700,A101)</x:f>
        <x:v>3</x:v>
      </x:c>
      <x:c r="S101" s="71" t="n">
        <x:f>COUNTIF('Dependency Edges'!$A$5:$A$700,A101)</x:f>
        <x:v>1</x:v>
      </x:c>
      <x:c r="T101" s="49" t="str">
        <x:f>IF(AND(D101&lt;&gt;"Source",R101=0),"MISSING INPUT",IF(AND(Q101&lt;&gt;"Yes",S101=0),"NO DOWNSTREAM","OK"))</x:f>
        <x:v>OK</x:v>
      </x:c>
    </x:row>
    <x:row r="102">
      <x:c r="A102" s="49" t="str">
        <x:v>C-COCONUT-BOILER</x:v>
      </x:c>
      <x:c r="B102" s="49" t="str">
        <x:v>Coconut emergency boiler</x:v>
      </x:c>
      <x:c r="C102" s="49" t="str">
        <x:v>Water</x:v>
      </x:c>
      <x:c r="D102" s="49" t="str">
        <x:v>Container</x:v>
      </x:c>
      <x:c r="E102" s="49" t="str">
        <x:v>H2</x:v>
      </x:c>
      <x:c r="F102" s="49" t="str">
        <x:v>C-COCONUT-CUP; W-HEARTH; S-STONE</x:v>
      </x:c>
      <x:c r="G102" s="49" t="str">
        <x:v>support / heat / manage / cool</x:v>
      </x:c>
      <x:c r="H102" s="49" t="str">
        <x:v>T-TONGS</x:v>
      </x:c>
      <x:c r="I102" s="49" t="str">
        <x:v>W-HEARTH</x:v>
      </x:c>
      <x:c r="J102" s="49" t="str">
        <x:v>water / thermal</x:v>
      </x:c>
      <x:c r="K102" s="49" t="str">
        <x:v>heat control</x:v>
      </x:c>
      <x:c r="L102" s="71" t="n">
        <x:v>30</x:v>
      </x:c>
      <x:c r="M102" s="71" t="n">
        <x:v>0</x:v>
      </x:c>
      <x:c r="N102" s="49" t="str">
        <x:v>small-batch boil</x:v>
      </x:c>
      <x:c r="O102" s="49" t="str">
        <x:v>crack / scald</x:v>
      </x:c>
      <x:c r="P102" s="49" t="str">
        <x:v>C-FOUND-PAN</x:v>
      </x:c>
      <x:c r="Q102" s="49" t="str">
        <x:v>No</x:v>
      </x:c>
      <x:c r="R102" s="71" t="n">
        <x:f>COUNTIF('Dependency Edges'!$B$5:$B$700,A102)</x:f>
        <x:v>4</x:v>
      </x:c>
      <x:c r="S102" s="71" t="n">
        <x:f>COUNTIF('Dependency Edges'!$A$5:$A$700,A102)</x:f>
        <x:v>1</x:v>
      </x:c>
      <x:c r="T102" s="49" t="str">
        <x:f>IF(AND(D102&lt;&gt;"Source",R102=0),"MISSING INPUT",IF(AND(Q102&lt;&gt;"Yes",S102=0),"NO DOWNSTREAM","OK"))</x:f>
        <x:v>OK</x:v>
      </x:c>
    </x:row>
    <x:row r="103">
      <x:c r="A103" s="49" t="str">
        <x:v>C-HIDE-POUCH</x:v>
      </x:c>
      <x:c r="B103" s="49" t="str">
        <x:v>Organic/hide water pouch</x:v>
      </x:c>
      <x:c r="C103" s="49" t="str">
        <x:v>Water</x:v>
      </x:c>
      <x:c r="D103" s="49" t="str">
        <x:v>Container</x:v>
      </x:c>
      <x:c r="E103" s="49" t="str">
        <x:v>H2</x:v>
      </x:c>
      <x:c r="F103" s="49" t="str">
        <x:v>S-HIDE; P-CORD; T-NEEDLE</x:v>
      </x:c>
      <x:c r="G103" s="49" t="str">
        <x:v>clean / scrape / sew / seal / support</x:v>
      </x:c>
      <x:c r="H103" s="49" t="str">
        <x:v>T-NEEDLE</x:v>
      </x:c>
      <x:c r="I103" s="49" t="str">
        <x:v>W-CLEAN</x:v>
      </x:c>
      <x:c r="J103" s="49" t="str">
        <x:v>hide / hygiene</x:v>
      </x:c>
      <x:c r="K103" s="49" t="str">
        <x:v>dexterity</x:v>
      </x:c>
      <x:c r="L103" s="71" t="n">
        <x:v>240</x:v>
      </x:c>
      <x:c r="M103" s="71" t="n">
        <x:v>120</x:v>
      </x:c>
      <x:c r="N103" s="49" t="str">
        <x:v>leak and heat-route test</x:v>
      </x:c>
      <x:c r="O103" s="49" t="str">
        <x:v>leak / contamination</x:v>
      </x:c>
      <x:c r="P103" s="49" t="str">
        <x:v>S-BOTTLE</x:v>
      </x:c>
      <x:c r="Q103" s="49" t="str">
        <x:v>No</x:v>
      </x:c>
      <x:c r="R103" s="71" t="n">
        <x:f>COUNTIF('Dependency Edges'!$B$5:$B$700,A103)</x:f>
        <x:v>4</x:v>
      </x:c>
      <x:c r="S103" s="71" t="n">
        <x:f>COUNTIF('Dependency Edges'!$A$5:$A$700,A103)</x:f>
        <x:v>1</x:v>
      </x:c>
      <x:c r="T103" s="49" t="str">
        <x:f>IF(AND(D103&lt;&gt;"Source",R103=0),"MISSING INPUT",IF(AND(Q103&lt;&gt;"Yes",S103=0),"NO DOWNSTREAM","OK"))</x:f>
        <x:v>OK</x:v>
      </x:c>
    </x:row>
    <x:row r="104">
      <x:c r="A104" s="49" t="str">
        <x:v>C-FOUND-PAN</x:v>
      </x:c>
      <x:c r="B104" s="49" t="str">
        <x:v>Qualified found pan</x:v>
      </x:c>
      <x:c r="C104" s="49" t="str">
        <x:v>Water</x:v>
      </x:c>
      <x:c r="D104" s="49" t="str">
        <x:v>Container</x:v>
      </x:c>
      <x:c r="E104" s="49" t="str">
        <x:v>H2</x:v>
      </x:c>
      <x:c r="F104" s="49" t="str">
        <x:v>S-PAN; P-CLEAN-WATER</x:v>
      </x:c>
      <x:c r="G104" s="49" t="str">
        <x:v>recover / clean / inspect / leak / heat test</x:v>
      </x:c>
      <x:c r="H104" s="49" t="str">
        <x:v>T-STONE-KNIFE</x:v>
      </x:c>
      <x:c r="I104" s="49" t="str">
        <x:v>W-CLEAN</x:v>
      </x:c>
      <x:c r="J104" s="49" t="str">
        <x:v>salvage / hygiene</x:v>
      </x:c>
      <x:c r="K104" s="49" t="str">
        <x:v>low</x:v>
      </x:c>
      <x:c r="L104" s="71" t="n">
        <x:v>60</x:v>
      </x:c>
      <x:c r="M104" s="71" t="n">
        <x:v>0</x:v>
      </x:c>
      <x:c r="N104" s="49" t="str">
        <x:v>repeated boil/leak</x:v>
      </x:c>
      <x:c r="O104" s="49" t="str">
        <x:v>coating / corrosion</x:v>
      </x:c>
      <x:c r="P104" s="49" t="str">
        <x:v>C-CLAY-POT</x:v>
      </x:c>
      <x:c r="Q104" s="49" t="str">
        <x:v>No</x:v>
      </x:c>
      <x:c r="R104" s="71" t="n">
        <x:f>COUNTIF('Dependency Edges'!$B$5:$B$700,A104)</x:f>
        <x:v>4</x:v>
      </x:c>
      <x:c r="S104" s="71" t="n">
        <x:f>COUNTIF('Dependency Edges'!$A$5:$A$700,A104)</x:f>
        <x:v>6</x:v>
      </x:c>
      <x:c r="T104" s="49" t="str">
        <x:f>IF(AND(D104&lt;&gt;"Source",R104=0),"MISSING INPUT",IF(AND(Q104&lt;&gt;"Yes",S104=0),"NO DOWNSTREAM","OK"))</x:f>
        <x:v>OK</x:v>
      </x:c>
    </x:row>
    <x:row r="105">
      <x:c r="A105" s="49" t="str">
        <x:v>C-CLAY-POT</x:v>
      </x:c>
      <x:c r="B105" s="49" t="str">
        <x:v>Fired clay pot</x:v>
      </x:c>
      <x:c r="C105" s="49" t="str">
        <x:v>Water</x:v>
      </x:c>
      <x:c r="D105" s="49" t="str">
        <x:v>Container</x:v>
      </x:c>
      <x:c r="E105" s="49" t="str">
        <x:v>H4</x:v>
      </x:c>
      <x:c r="F105" s="49" t="str">
        <x:v>P-FIRED-CERAMIC</x:v>
      </x:c>
      <x:c r="G105" s="49" t="str">
        <x:v>form / fire / leak / heat test</x:v>
      </x:c>
      <x:c r="H105" s="49" t="str">
        <x:v>T-TONGS</x:v>
      </x:c>
      <x:c r="I105" s="49" t="str">
        <x:v>W-KILN</x:v>
      </x:c>
      <x:c r="J105" s="49" t="str">
        <x:v>ceramic / water</x:v>
      </x:c>
      <x:c r="K105" s="49" t="str">
        <x:v>dexterity + heat</x:v>
      </x:c>
      <x:c r="L105" s="71" t="n">
        <x:v>180</x:v>
      </x:c>
      <x:c r="M105" s="71" t="n">
        <x:v>720</x:v>
      </x:c>
      <x:c r="N105" s="49" t="str">
        <x:v>leak/thermal cycle</x:v>
      </x:c>
      <x:c r="O105" s="49" t="str">
        <x:v>crack / spall</x:v>
      </x:c>
      <x:c r="P105" s="49" t="str">
        <x:v>C-FOUND-PAN</x:v>
      </x:c>
      <x:c r="Q105" s="49" t="str">
        <x:v>No</x:v>
      </x:c>
      <x:c r="R105" s="71" t="n">
        <x:f>COUNTIF('Dependency Edges'!$B$5:$B$700,A105)</x:f>
        <x:v>3</x:v>
      </x:c>
      <x:c r="S105" s="71" t="n">
        <x:f>COUNTIF('Dependency Edges'!$A$5:$A$700,A105)</x:f>
        <x:v>1</x:v>
      </x:c>
      <x:c r="T105" s="49" t="str">
        <x:f>IF(AND(D105&lt;&gt;"Source",R105=0),"MISSING INPUT",IF(AND(Q105&lt;&gt;"Yes",S105=0),"NO DOWNSTREAM","OK"))</x:f>
        <x:v>OK</x:v>
      </x:c>
    </x:row>
    <x:row r="106">
      <x:c r="A106" s="49" t="str">
        <x:v>C-AL-POT</x:v>
      </x:c>
      <x:c r="B106" s="49" t="str">
        <x:v>Qualified aluminum boiling vessel</x:v>
      </x:c>
      <x:c r="C106" s="49" t="str">
        <x:v>Water</x:v>
      </x:c>
      <x:c r="D106" s="49" t="str">
        <x:v>Container</x:v>
      </x:c>
      <x:c r="E106" s="49" t="str">
        <x:v>H5</x:v>
      </x:c>
      <x:c r="F106" s="49" t="str">
        <x:v>P-DEBURRED-AL; P-RIVET; T-PUNCH; T-CLAMP</x:v>
      </x:c>
      <x:c r="G106" s="49" t="str">
        <x:v>form / join / deburr / leak / heat test</x:v>
      </x:c>
      <x:c r="H106" s="49" t="str">
        <x:v>T-SNIPS; T-FILE; T-PUNCH</x:v>
      </x:c>
      <x:c r="I106" s="49" t="str">
        <x:v>W-BENCH</x:v>
      </x:c>
      <x:c r="J106" s="49" t="str">
        <x:v>metal / food-contact / water</x:v>
      </x:c>
      <x:c r="K106" s="49" t="str">
        <x:v>dexterity</x:v>
      </x:c>
      <x:c r="L106" s="71" t="n">
        <x:v>480</x:v>
      </x:c>
      <x:c r="M106" s="71" t="n">
        <x:v>60</x:v>
      </x:c>
      <x:c r="N106" s="49" t="str">
        <x:v>cold/hot leak and surface</x:v>
      </x:c>
      <x:c r="O106" s="49" t="str">
        <x:v>leak / coating / distort</x:v>
      </x:c>
      <x:c r="P106" s="49" t="str">
        <x:v>C-CLAY-POT</x:v>
      </x:c>
      <x:c r="Q106" s="49" t="str">
        <x:v>No</x:v>
      </x:c>
      <x:c r="R106" s="71" t="n">
        <x:f>COUNTIF('Dependency Edges'!$B$5:$B$700,A106)</x:f>
        <x:v>7</x:v>
      </x:c>
      <x:c r="S106" s="71" t="n">
        <x:f>COUNTIF('Dependency Edges'!$A$5:$A$700,A106)</x:f>
        <x:v>1</x:v>
      </x:c>
      <x:c r="T106" s="49" t="str">
        <x:f>IF(AND(D106&lt;&gt;"Source",R106=0),"MISSING INPUT",IF(AND(Q106&lt;&gt;"Yes",S106=0),"NO DOWNSTREAM","OK"))</x:f>
        <x:v>OK</x:v>
      </x:c>
    </x:row>
    <x:row r="107">
      <x:c r="A107" s="49" t="str">
        <x:v>C-COVERED-STORE</x:v>
      </x:c>
      <x:c r="B107" s="49" t="str">
        <x:v>Covered water reserve</x:v>
      </x:c>
      <x:c r="C107" s="49" t="str">
        <x:v>Water</x:v>
      </x:c>
      <x:c r="D107" s="49" t="str">
        <x:v>Assembly</x:v>
      </x:c>
      <x:c r="E107" s="49" t="str">
        <x:v>H2</x:v>
      </x:c>
      <x:c r="F107" s="49" t="str">
        <x:v>C-FOUND-PAN; P-MAT; P-CORD</x:v>
      </x:c>
      <x:c r="G107" s="49" t="str">
        <x:v>clean / fill / cover / controlled draw</x:v>
      </x:c>
      <x:c r="H107" s="49" t="str"/>
      <x:c r="I107" s="49" t="str">
        <x:v>W-CLEAN</x:v>
      </x:c>
      <x:c r="J107" s="49" t="str">
        <x:v>water / storage</x:v>
      </x:c>
      <x:c r="K107" s="49" t="str">
        <x:v>low</x:v>
      </x:c>
      <x:c r="L107" s="71" t="n">
        <x:v>30</x:v>
      </x:c>
      <x:c r="M107" s="71" t="n">
        <x:v>0</x:v>
      </x:c>
      <x:c r="N107" s="49" t="str">
        <x:v>protected draw</x:v>
      </x:c>
      <x:c r="O107" s="49" t="str">
        <x:v>recontamination</x:v>
      </x:c>
      <x:c r="P107" s="49" t="str">
        <x:v>C-CLAY-POT</x:v>
      </x:c>
      <x:c r="Q107" s="49" t="str">
        <x:v>No</x:v>
      </x:c>
      <x:c r="R107" s="71" t="n">
        <x:f>COUNTIF('Dependency Edges'!$B$5:$B$700,A107)</x:f>
        <x:v>5</x:v>
      </x:c>
      <x:c r="S107" s="71" t="n">
        <x:f>COUNTIF('Dependency Edges'!$A$5:$A$700,A107)</x:f>
        <x:v>5</x:v>
      </x:c>
      <x:c r="T107" s="49" t="str">
        <x:f>IF(AND(D107&lt;&gt;"Source",R107=0),"MISSING INPUT",IF(AND(Q107&lt;&gt;"Yes",S107=0),"NO DOWNSTREAM","OK"))</x:f>
        <x:v>OK</x:v>
      </x:c>
    </x:row>
    <x:row r="108">
      <x:c r="A108" s="49" t="str">
        <x:v>A-GUTTER</x:v>
      </x:c>
      <x:c r="B108" s="49" t="str">
        <x:v>Rain gutter/channel</x:v>
      </x:c>
      <x:c r="C108" s="49" t="str">
        <x:v>Water</x:v>
      </x:c>
      <x:c r="D108" s="49" t="str">
        <x:v>Assembly</x:v>
      </x:c>
      <x:c r="E108" s="49" t="str">
        <x:v>H3</x:v>
      </x:c>
      <x:c r="F108" s="49" t="str">
        <x:v>S-CANVAS; P-STRAIGHT-POLE; P-CORD; T-MEASURE</x:v>
      </x:c>
      <x:c r="G108" s="49" t="str">
        <x:v>slope / join / tension / test</x:v>
      </x:c>
      <x:c r="H108" s="49" t="str">
        <x:v>T-MEASURE</x:v>
      </x:c>
      <x:c r="I108" s="49" t="str">
        <x:v>A-ROOF</x:v>
      </x:c>
      <x:c r="J108" s="49" t="str">
        <x:v>water / construction</x:v>
      </x:c>
      <x:c r="K108" s="49" t="str">
        <x:v>moderate</x:v>
      </x:c>
      <x:c r="L108" s="71" t="n">
        <x:v>180</x:v>
      </x:c>
      <x:c r="M108" s="71" t="n">
        <x:v>0</x:v>
      </x:c>
      <x:c r="N108" s="49" t="str">
        <x:v>flow/leak/overflow</x:v>
      </x:c>
      <x:c r="O108" s="49" t="str">
        <x:v>dirty surface / leak</x:v>
      </x:c>
      <x:c r="P108" s="49" t="str">
        <x:v>S-ALUMINUM</x:v>
      </x:c>
      <x:c r="Q108" s="49" t="str">
        <x:v>No</x:v>
      </x:c>
      <x:c r="R108" s="71" t="n">
        <x:f>COUNTIF('Dependency Edges'!$B$5:$B$700,A108)</x:f>
        <x:v>5</x:v>
      </x:c>
      <x:c r="S108" s="71" t="n">
        <x:f>COUNTIF('Dependency Edges'!$A$5:$A$700,A108)</x:f>
        <x:v>2</x:v>
      </x:c>
      <x:c r="T108" s="49" t="str">
        <x:f>IF(AND(D108&lt;&gt;"Source",R108=0),"MISSING INPUT",IF(AND(Q108&lt;&gt;"Yes",S108=0),"NO DOWNSTREAM","OK"))</x:f>
        <x:v>OK</x:v>
      </x:c>
    </x:row>
    <x:row r="109">
      <x:c r="A109" s="49" t="str">
        <x:v>A-FIRST-FLUSH</x:v>
      </x:c>
      <x:c r="B109" s="49" t="str">
        <x:v>First-flush diverter</x:v>
      </x:c>
      <x:c r="C109" s="49" t="str">
        <x:v>Water</x:v>
      </x:c>
      <x:c r="D109" s="49" t="str">
        <x:v>Assembly</x:v>
      </x:c>
      <x:c r="E109" s="49" t="str">
        <x:v>H4</x:v>
      </x:c>
      <x:c r="F109" s="49" t="str">
        <x:v>A-GUTTER; S-BOTTLE; P-CORD</x:v>
      </x:c>
      <x:c r="G109" s="49" t="str">
        <x:v>divert / reset / test</x:v>
      </x:c>
      <x:c r="H109" s="49" t="str">
        <x:v>T-MEASURE</x:v>
      </x:c>
      <x:c r="I109" s="49" t="str">
        <x:v>A-ROOF</x:v>
      </x:c>
      <x:c r="J109" s="49" t="str">
        <x:v>water / mechanics</x:v>
      </x:c>
      <x:c r="K109" s="49" t="str">
        <x:v>dexterity</x:v>
      </x:c>
      <x:c r="L109" s="71" t="n">
        <x:v>120</x:v>
      </x:c>
      <x:c r="M109" s="71" t="n">
        <x:v>0</x:v>
      </x:c>
      <x:c r="N109" s="49" t="str">
        <x:v>dirty first-run separation</x:v>
      </x:c>
      <x:c r="O109" s="49" t="str">
        <x:v>stuck / cross-flow</x:v>
      </x:c>
      <x:c r="P109" s="49" t="str"/>
      <x:c r="Q109" s="49" t="str">
        <x:v>No</x:v>
      </x:c>
      <x:c r="R109" s="71" t="n">
        <x:f>COUNTIF('Dependency Edges'!$B$5:$B$700,A109)</x:f>
        <x:v>5</x:v>
      </x:c>
      <x:c r="S109" s="71" t="n">
        <x:f>COUNTIF('Dependency Edges'!$A$5:$A$700,A109)</x:f>
        <x:v>1</x:v>
      </x:c>
      <x:c r="T109" s="49" t="str">
        <x:f>IF(AND(D109&lt;&gt;"Source",R109=0),"MISSING INPUT",IF(AND(Q109&lt;&gt;"Yes",S109=0),"NO DOWNSTREAM","OK"))</x:f>
        <x:v>OK</x:v>
      </x:c>
    </x:row>
    <x:row r="110">
      <x:c r="A110" s="49" t="str">
        <x:v>A-CISTERN</x:v>
      </x:c>
      <x:c r="B110" s="49" t="str">
        <x:v>Covered cistern</x:v>
      </x:c>
      <x:c r="C110" s="49" t="str">
        <x:v>Water</x:v>
      </x:c>
      <x:c r="D110" s="49" t="str">
        <x:v>Assembly</x:v>
      </x:c>
      <x:c r="E110" s="49" t="str">
        <x:v>H4</x:v>
      </x:c>
      <x:c r="F110" s="49" t="str">
        <x:v>P-FIRED-CERAMIC; A-GUTTER; A-FIRST-FLUSH; P-PITCH</x:v>
      </x:c>
      <x:c r="G110" s="49" t="str">
        <x:v>site / seal / cover / overflow / clean</x:v>
      </x:c>
      <x:c r="H110" s="49" t="str">
        <x:v>T-MEASURE</x:v>
      </x:c>
      <x:c r="I110" s="49" t="str">
        <x:v>working home</x:v>
      </x:c>
      <x:c r="J110" s="49" t="str">
        <x:v>water / construction</x:v>
      </x:c>
      <x:c r="K110" s="49" t="str">
        <x:v>high</x:v>
      </x:c>
      <x:c r="L110" s="71" t="n">
        <x:v>1200</x:v>
      </x:c>
      <x:c r="M110" s="71" t="n">
        <x:v>240</x:v>
      </x:c>
      <x:c r="N110" s="49" t="str">
        <x:v>leak/clean/overflow</x:v>
      </x:c>
      <x:c r="O110" s="49" t="str">
        <x:v>leak / stagnation</x:v>
      </x:c>
      <x:c r="P110" s="49" t="str">
        <x:v>S-POLYMER</x:v>
      </x:c>
      <x:c r="Q110" s="49" t="str">
        <x:v>Yes</x:v>
      </x:c>
      <x:c r="R110" s="71" t="n">
        <x:f>COUNTIF('Dependency Edges'!$B$5:$B$700,A110)</x:f>
        <x:v>5</x:v>
      </x:c>
      <x:c r="S110" s="71" t="n">
        <x:f>COUNTIF('Dependency Edges'!$A$5:$A$700,A110)</x:f>
        <x:v>4</x:v>
      </x:c>
      <x:c r="T110" s="49" t="str">
        <x:f>IF(AND(D110&lt;&gt;"Source",R110=0),"MISSING INPUT",IF(AND(Q110&lt;&gt;"Yes",S110=0),"NO DOWNSTREAM","OK"))</x:f>
        <x:v>OK</x:v>
      </x:c>
    </x:row>
    <x:row r="111">
      <x:c r="A111" s="49" t="str">
        <x:v>A-FILTER</x:v>
      </x:c>
      <x:c r="B111" s="49" t="str">
        <x:v>Qualified treatment train</x:v>
      </x:c>
      <x:c r="C111" s="49" t="str">
        <x:v>Water</x:v>
      </x:c>
      <x:c r="D111" s="49" t="str">
        <x:v>Assembly</x:v>
      </x:c>
      <x:c r="E111" s="49" t="str">
        <x:v>H4</x:v>
      </x:c>
      <x:c r="F111" s="49" t="str">
        <x:v>S-SAND; P-CHARCOAL; P-MAT; C-COVERED-STORE</x:v>
      </x:c>
      <x:c r="G111" s="49" t="str">
        <x:v>settle / filter / disinfect / maintain</x:v>
      </x:c>
      <x:c r="H111" s="49" t="str">
        <x:v>T-MEASURE</x:v>
      </x:c>
      <x:c r="I111" s="49" t="str">
        <x:v>W-WATER</x:v>
      </x:c>
      <x:c r="J111" s="49" t="str">
        <x:v>water / fabrication</x:v>
      </x:c>
      <x:c r="K111" s="49" t="str">
        <x:v>moderate</x:v>
      </x:c>
      <x:c r="L111" s="71" t="n">
        <x:v>360</x:v>
      </x:c>
      <x:c r="M111" s="71" t="n">
        <x:v>0</x:v>
      </x:c>
      <x:c r="N111" s="49" t="str">
        <x:v>flow/integrity/outcome</x:v>
      </x:c>
      <x:c r="O111" s="49" t="str">
        <x:v>breakthrough</x:v>
      </x:c>
      <x:c r="P111" s="49" t="str">
        <x:v>C-FOUND-PAN</x:v>
      </x:c>
      <x:c r="Q111" s="49" t="str">
        <x:v>Yes</x:v>
      </x:c>
      <x:c r="R111" s="71" t="n">
        <x:f>COUNTIF('Dependency Edges'!$B$5:$B$700,A111)</x:f>
        <x:v>6</x:v>
      </x:c>
      <x:c r="S111" s="71" t="n">
        <x:f>COUNTIF('Dependency Edges'!$A$5:$A$700,A111)</x:f>
        <x:v>0</x:v>
      </x:c>
      <x:c r="T111" s="49" t="str">
        <x:f>IF(AND(D111&lt;&gt;"Source",R111=0),"MISSING INPUT",IF(AND(Q111&lt;&gt;"Yes",S111=0),"NO DOWNSTREAM","OK"))</x:f>
        <x:v>OK</x:v>
      </x:c>
    </x:row>
    <x:row r="112">
      <x:c r="A112" s="49" t="str">
        <x:v>A-DISTILLER</x:v>
      </x:c>
      <x:c r="B112" s="49" t="str">
        <x:v>Distiller/desalinator</x:v>
      </x:c>
      <x:c r="C112" s="49" t="str">
        <x:v>Water</x:v>
      </x:c>
      <x:c r="D112" s="49" t="str">
        <x:v>Assembly</x:v>
      </x:c>
      <x:c r="E112" s="49" t="str">
        <x:v>H5</x:v>
      </x:c>
      <x:c r="F112" s="49" t="str">
        <x:v>C-AL-POT; S-COPPER; P-GASKET; C-COVERED-STORE; W-HEARTH</x:v>
      </x:c>
      <x:c r="G112" s="49" t="str">
        <x:v>boil / condense / separate / clean</x:v>
      </x:c>
      <x:c r="H112" s="49" t="str">
        <x:v>T-MEASURE</x:v>
      </x:c>
      <x:c r="I112" s="49" t="str">
        <x:v>thermal workshop</x:v>
      </x:c>
      <x:c r="J112" s="49" t="str">
        <x:v>thermal / water / metal</x:v>
      </x:c>
      <x:c r="K112" s="49" t="str">
        <x:v>high</x:v>
      </x:c>
      <x:c r="L112" s="71" t="n">
        <x:v>720</x:v>
      </x:c>
      <x:c r="M112" s="71" t="n">
        <x:v>0</x:v>
      </x:c>
      <x:c r="N112" s="49" t="str">
        <x:v>salt rejection and clean distillate</x:v>
      </x:c>
      <x:c r="O112" s="49" t="str">
        <x:v>leak / volatile carryover</x:v>
      </x:c>
      <x:c r="P112" s="49" t="str">
        <x:v>C-CLAY-POT</x:v>
      </x:c>
      <x:c r="Q112" s="49" t="str">
        <x:v>Yes</x:v>
      </x:c>
      <x:c r="R112" s="71" t="n">
        <x:f>COUNTIF('Dependency Edges'!$B$5:$B$700,A112)</x:f>
        <x:v>7</x:v>
      </x:c>
      <x:c r="S112" s="71" t="n">
        <x:f>COUNTIF('Dependency Edges'!$A$5:$A$700,A112)</x:f>
        <x:v>0</x:v>
      </x:c>
      <x:c r="T112" s="49" t="str">
        <x:f>IF(AND(D112&lt;&gt;"Source",R112=0),"MISSING INPUT",IF(AND(Q112&lt;&gt;"Yes",S112=0),"NO DOWNSTREAM","OK"))</x:f>
        <x:v>OK</x:v>
      </x:c>
    </x:row>
    <x:row r="113">
      <x:c r="A113" s="49" t="str">
        <x:v>A-PIPE</x:v>
      </x:c>
      <x:c r="B113" s="49" t="str">
        <x:v>Pipe/hose line</x:v>
      </x:c>
      <x:c r="C113" s="49" t="str">
        <x:v>Water</x:v>
      </x:c>
      <x:c r="D113" s="49" t="str">
        <x:v>Assembly</x:v>
      </x:c>
      <x:c r="E113" s="49" t="str">
        <x:v>H4</x:v>
      </x:c>
      <x:c r="F113" s="49" t="str">
        <x:v>S-RUBBER; S-COPPER; P-GASKET</x:v>
      </x:c>
      <x:c r="G113" s="49" t="str">
        <x:v>cut / fit / support / flush</x:v>
      </x:c>
      <x:c r="H113" s="49" t="str">
        <x:v>T-STONE-KNIFE</x:v>
      </x:c>
      <x:c r="I113" s="49" t="str">
        <x:v>W-BENCH</x:v>
      </x:c>
      <x:c r="J113" s="49" t="str">
        <x:v>plumbing</x:v>
      </x:c>
      <x:c r="K113" s="49" t="str">
        <x:v>moderate</x:v>
      </x:c>
      <x:c r="L113" s="71" t="n">
        <x:v>240</x:v>
      </x:c>
      <x:c r="M113" s="71" t="n">
        <x:v>0</x:v>
      </x:c>
      <x:c r="N113" s="49" t="str">
        <x:v>flow/leak/clean</x:v>
      </x:c>
      <x:c r="O113" s="49" t="str">
        <x:v>leak / contamination</x:v>
      </x:c>
      <x:c r="P113" s="49" t="str"/>
      <x:c r="Q113" s="49" t="str">
        <x:v>No</x:v>
      </x:c>
      <x:c r="R113" s="71" t="n">
        <x:f>COUNTIF('Dependency Edges'!$B$5:$B$700,A113)</x:f>
        <x:v>5</x:v>
      </x:c>
      <x:c r="S113" s="71" t="n">
        <x:f>COUNTIF('Dependency Edges'!$A$5:$A$700,A113)</x:f>
        <x:v>6</x:v>
      </x:c>
      <x:c r="T113" s="49" t="str">
        <x:f>IF(AND(D113&lt;&gt;"Source",R113=0),"MISSING INPUT",IF(AND(Q113&lt;&gt;"Yes",S113=0),"NO DOWNSTREAM","OK"))</x:f>
        <x:v>OK</x:v>
      </x:c>
    </x:row>
    <x:row r="114">
      <x:c r="A114" s="49" t="str">
        <x:v>A-VALVE</x:v>
      </x:c>
      <x:c r="B114" s="49" t="str">
        <x:v>Shutoff valve</x:v>
      </x:c>
      <x:c r="C114" s="49" t="str">
        <x:v>Water</x:v>
      </x:c>
      <x:c r="D114" s="49" t="str">
        <x:v>Assembly</x:v>
      </x:c>
      <x:c r="E114" s="49" t="str">
        <x:v>H5</x:v>
      </x:c>
      <x:c r="F114" s="49" t="str">
        <x:v>S-BRASS; P-GASKET; A-PIPE</x:v>
      </x:c>
      <x:c r="G114" s="49" t="str">
        <x:v>recover / clean / fit / exercise</x:v>
      </x:c>
      <x:c r="H114" s="49" t="str">
        <x:v>T-PRY</x:v>
      </x:c>
      <x:c r="I114" s="49" t="str">
        <x:v>W-BENCH</x:v>
      </x:c>
      <x:c r="J114" s="49" t="str">
        <x:v>mechanics / plumbing</x:v>
      </x:c>
      <x:c r="K114" s="49" t="str">
        <x:v>dexterity</x:v>
      </x:c>
      <x:c r="L114" s="71" t="n">
        <x:v>180</x:v>
      </x:c>
      <x:c r="M114" s="71" t="n">
        <x:v>0</x:v>
      </x:c>
      <x:c r="N114" s="49" t="str">
        <x:v>close/open/leak</x:v>
      </x:c>
      <x:c r="O114" s="49" t="str">
        <x:v>seize / leak</x:v>
      </x:c>
      <x:c r="P114" s="49" t="str"/>
      <x:c r="Q114" s="49" t="str">
        <x:v>No</x:v>
      </x:c>
      <x:c r="R114" s="71" t="n">
        <x:f>COUNTIF('Dependency Edges'!$B$5:$B$700,A114)</x:f>
        <x:v>5</x:v>
      </x:c>
      <x:c r="S114" s="71" t="n">
        <x:f>COUNTIF('Dependency Edges'!$A$5:$A$700,A114)</x:f>
        <x:v>3</x:v>
      </x:c>
      <x:c r="T114" s="49" t="str">
        <x:f>IF(AND(D114&lt;&gt;"Source",R114=0),"MISSING INPUT",IF(AND(Q114&lt;&gt;"Yes",S114=0),"NO DOWNSTREAM","OK"))</x:f>
        <x:v>OK</x:v>
      </x:c>
    </x:row>
    <x:row r="115">
      <x:c r="A115" s="49" t="str">
        <x:v>A-PUMP</x:v>
      </x:c>
      <x:c r="B115" s="49" t="str">
        <x:v>Hand pump</x:v>
      </x:c>
      <x:c r="C115" s="49" t="str">
        <x:v>Water</x:v>
      </x:c>
      <x:c r="D115" s="49" t="str">
        <x:v>Assembly</x:v>
      </x:c>
      <x:c r="E115" s="49" t="str">
        <x:v>H5</x:v>
      </x:c>
      <x:c r="F115" s="49" t="str">
        <x:v>S-BEARING; A-PIPE; A-VALVE; P-GASKET</x:v>
      </x:c>
      <x:c r="G115" s="49" t="str">
        <x:v>diagnose / fit / prime / test</x:v>
      </x:c>
      <x:c r="H115" s="49" t="str">
        <x:v>T-MEASURE</x:v>
      </x:c>
      <x:c r="I115" s="49" t="str">
        <x:v>W-BENCH</x:v>
      </x:c>
      <x:c r="J115" s="49" t="str">
        <x:v>mechanics / water</x:v>
      </x:c>
      <x:c r="K115" s="49" t="str">
        <x:v>strength + dexterity</x:v>
      </x:c>
      <x:c r="L115" s="71" t="n">
        <x:v>480</x:v>
      </x:c>
      <x:c r="M115" s="71" t="n">
        <x:v>0</x:v>
      </x:c>
      <x:c r="N115" s="49" t="str">
        <x:v>prime/flow/leak</x:v>
      </x:c>
      <x:c r="O115" s="49" t="str">
        <x:v>air leak / contamination</x:v>
      </x:c>
      <x:c r="P115" s="49" t="str"/>
      <x:c r="Q115" s="49" t="str">
        <x:v>Yes</x:v>
      </x:c>
      <x:c r="R115" s="71" t="n">
        <x:f>COUNTIF('Dependency Edges'!$B$5:$B$700,A115)</x:f>
        <x:v>6</x:v>
      </x:c>
      <x:c r="S115" s="71" t="n">
        <x:f>COUNTIF('Dependency Edges'!$A$5:$A$700,A115)</x:f>
        <x:v>3</x:v>
      </x:c>
      <x:c r="T115" s="49" t="str">
        <x:f>IF(AND(D115&lt;&gt;"Source",R115=0),"MISSING INPUT",IF(AND(Q115&lt;&gt;"Yes",S115=0),"NO DOWNSTREAM","OK"))</x:f>
        <x:v>OK</x:v>
      </x:c>
    </x:row>
    <x:row r="116">
      <x:c r="A116" s="49" t="str">
        <x:v>A-WINDBREAK</x:v>
      </x:c>
      <x:c r="B116" s="49" t="str">
        <x:v>Oriented windbreak</x:v>
      </x:c>
      <x:c r="C116" s="49" t="str">
        <x:v>Shelter</x:v>
      </x:c>
      <x:c r="D116" s="49" t="str">
        <x:v>Assembly</x:v>
      </x:c>
      <x:c r="E116" s="49" t="str">
        <x:v>H1</x:v>
      </x:c>
      <x:c r="F116" s="49" t="str">
        <x:v>P-STRAIGHT-POLE; P-MAT; P-CORD</x:v>
      </x:c>
      <x:c r="G116" s="49" t="str">
        <x:v>site / anchor / orient / test</x:v>
      </x:c>
      <x:c r="H116" s="49" t="str">
        <x:v>T-DIG</x:v>
      </x:c>
      <x:c r="I116" s="49" t="str">
        <x:v>world</x:v>
      </x:c>
      <x:c r="J116" s="49" t="str">
        <x:v>construction / weather</x:v>
      </x:c>
      <x:c r="K116" s="49" t="str">
        <x:v>moderate</x:v>
      </x:c>
      <x:c r="L116" s="71" t="n">
        <x:v>90</x:v>
      </x:c>
      <x:c r="M116" s="71" t="n">
        <x:v>0</x:v>
      </x:c>
      <x:c r="N116" s="49" t="str">
        <x:v>occupied wind comparison</x:v>
      </x:c>
      <x:c r="O116" s="49" t="str">
        <x:v>collapse / wrong side</x:v>
      </x:c>
      <x:c r="P116" s="49" t="str"/>
      <x:c r="Q116" s="49" t="str">
        <x:v>No</x:v>
      </x:c>
      <x:c r="R116" s="71" t="n">
        <x:f>COUNTIF('Dependency Edges'!$B$5:$B$700,A116)</x:f>
        <x:v>4</x:v>
      </x:c>
      <x:c r="S116" s="71" t="n">
        <x:f>COUNTIF('Dependency Edges'!$A$5:$A$700,A116)</x:f>
        <x:v>1</x:v>
      </x:c>
      <x:c r="T116" s="49" t="str">
        <x:f>IF(AND(D116&lt;&gt;"Source",R116=0),"MISSING INPUT",IF(AND(Q116&lt;&gt;"Yes",S116=0),"NO DOWNSTREAM","OK"))</x:f>
        <x:v>OK</x:v>
      </x:c>
    </x:row>
    <x:row r="117">
      <x:c r="A117" s="49" t="str">
        <x:v>A-ROOF</x:v>
      </x:c>
      <x:c r="B117" s="49" t="str">
        <x:v>Rain roof</x:v>
      </x:c>
      <x:c r="C117" s="49" t="str">
        <x:v>Shelter</x:v>
      </x:c>
      <x:c r="D117" s="49" t="str">
        <x:v>Assembly</x:v>
      </x:c>
      <x:c r="E117" s="49" t="str">
        <x:v>H1</x:v>
      </x:c>
      <x:c r="F117" s="49" t="str">
        <x:v>P-STRAIGHT-POLE; P-MAT; P-CORD</x:v>
      </x:c>
      <x:c r="G117" s="49" t="str">
        <x:v>frame / pitch / cover / drain</x:v>
      </x:c>
      <x:c r="H117" s="49" t="str">
        <x:v>T-MEASURE</x:v>
      </x:c>
      <x:c r="I117" s="49" t="str">
        <x:v>world</x:v>
      </x:c>
      <x:c r="J117" s="49" t="str">
        <x:v>construction</x:v>
      </x:c>
      <x:c r="K117" s="49" t="str">
        <x:v>moderate</x:v>
      </x:c>
      <x:c r="L117" s="71" t="n">
        <x:v>150</x:v>
      </x:c>
      <x:c r="M117" s="71" t="n">
        <x:v>0</x:v>
      </x:c>
      <x:c r="N117" s="49" t="str">
        <x:v>occupied rain coverage</x:v>
      </x:c>
      <x:c r="O117" s="49" t="str">
        <x:v>leak / pond / collapse</x:v>
      </x:c>
      <x:c r="P117" s="49" t="str">
        <x:v>S-CANVAS</x:v>
      </x:c>
      <x:c r="Q117" s="49" t="str">
        <x:v>No</x:v>
      </x:c>
      <x:c r="R117" s="71" t="n">
        <x:f>COUNTIF('Dependency Edges'!$B$5:$B$700,A117)</x:f>
        <x:v>4</x:v>
      </x:c>
      <x:c r="S117" s="71" t="n">
        <x:f>COUNTIF('Dependency Edges'!$A$5:$A$700,A117)</x:f>
        <x:v>11</x:v>
      </x:c>
      <x:c r="T117" s="49" t="str">
        <x:f>IF(AND(D117&lt;&gt;"Source",R117=0),"MISSING INPUT",IF(AND(Q117&lt;&gt;"Yes",S117=0),"NO DOWNSTREAM","OK"))</x:f>
        <x:v>OK</x:v>
      </x:c>
    </x:row>
    <x:row r="118">
      <x:c r="A118" s="49" t="str">
        <x:v>A-RAISED-BED</x:v>
      </x:c>
      <x:c r="B118" s="49" t="str">
        <x:v>Raised insulated sleep</x:v>
      </x:c>
      <x:c r="C118" s="49" t="str">
        <x:v>Shelter</x:v>
      </x:c>
      <x:c r="D118" s="49" t="str">
        <x:v>Assembly</x:v>
      </x:c>
      <x:c r="E118" s="49" t="str">
        <x:v>H2</x:v>
      </x:c>
      <x:c r="F118" s="49" t="str">
        <x:v>P-STRAIGHT-POLE; P-MAT; P-CORD</x:v>
      </x:c>
      <x:c r="G118" s="49" t="str">
        <x:v>frame / raise / insulate / test</x:v>
      </x:c>
      <x:c r="H118" s="49" t="str">
        <x:v>T-MEASURE</x:v>
      </x:c>
      <x:c r="I118" s="49" t="str">
        <x:v>A-ROOF</x:v>
      </x:c>
      <x:c r="J118" s="49" t="str">
        <x:v>construction / body care</x:v>
      </x:c>
      <x:c r="K118" s="49" t="str">
        <x:v>moderate</x:v>
      </x:c>
      <x:c r="L118" s="71" t="n">
        <x:v>180</x:v>
      </x:c>
      <x:c r="M118" s="71" t="n">
        <x:v>0</x:v>
      </x:c>
      <x:c r="N118" s="49" t="str">
        <x:v>stability/ground-loss</x:v>
      </x:c>
      <x:c r="O118" s="49" t="str">
        <x:v>collapse / damp</x:v>
      </x:c>
      <x:c r="P118" s="49" t="str"/>
      <x:c r="Q118" s="49" t="str">
        <x:v>No</x:v>
      </x:c>
      <x:c r="R118" s="71" t="n">
        <x:f>COUNTIF('Dependency Edges'!$B$5:$B$700,A118)</x:f>
        <x:v>5</x:v>
      </x:c>
      <x:c r="S118" s="71" t="n">
        <x:f>COUNTIF('Dependency Edges'!$A$5:$A$700,A118)</x:f>
        <x:v>2</x:v>
      </x:c>
      <x:c r="T118" s="49" t="str">
        <x:f>IF(AND(D118&lt;&gt;"Source",R118=0),"MISSING INPUT",IF(AND(Q118&lt;&gt;"Yes",S118=0),"NO DOWNSTREAM","OK"))</x:f>
        <x:v>OK</x:v>
      </x:c>
    </x:row>
    <x:row r="119">
      <x:c r="A119" s="49" t="str">
        <x:v>A-REFUGE</x:v>
      </x:c>
      <x:c r="B119" s="49" t="str">
        <x:v>Truthful first refuge</x:v>
      </x:c>
      <x:c r="C119" s="49" t="str">
        <x:v>Shelter</x:v>
      </x:c>
      <x:c r="D119" s="49" t="str">
        <x:v>Assembly</x:v>
      </x:c>
      <x:c r="E119" s="49" t="str">
        <x:v>H2</x:v>
      </x:c>
      <x:c r="F119" s="49" t="str">
        <x:v>A-WINDBREAK; A-ROOF; A-RAISED-BED; W-HEARTH</x:v>
      </x:c>
      <x:c r="G119" s="49" t="str">
        <x:v>occupy / heat / smoke / egress test</x:v>
      </x:c>
      <x:c r="H119" s="49" t="str"/>
      <x:c r="I119" s="49" t="str">
        <x:v>world</x:v>
      </x:c>
      <x:c r="J119" s="49" t="str">
        <x:v>survival / construction</x:v>
      </x:c>
      <x:c r="K119" s="49" t="str">
        <x:v>moderate</x:v>
      </x:c>
      <x:c r="L119" s="71" t="n">
        <x:v>300</x:v>
      </x:c>
      <x:c r="M119" s="71" t="n">
        <x:v>0</x:v>
      </x:c>
      <x:c r="N119" s="49" t="str">
        <x:v>night exposure test</x:v>
      </x:c>
      <x:c r="O119" s="49" t="str">
        <x:v>smoke / leak / fire</x:v>
      </x:c>
      <x:c r="P119" s="49" t="str"/>
      <x:c r="Q119" s="49" t="str">
        <x:v>Yes</x:v>
      </x:c>
      <x:c r="R119" s="71" t="n">
        <x:f>COUNTIF('Dependency Edges'!$B$5:$B$700,A119)</x:f>
        <x:v>4</x:v>
      </x:c>
      <x:c r="S119" s="71" t="n">
        <x:f>COUNTIF('Dependency Edges'!$A$5:$A$700,A119)</x:f>
        <x:v>4</x:v>
      </x:c>
      <x:c r="T119" s="49" t="str">
        <x:f>IF(AND(D119&lt;&gt;"Source",R119=0),"MISSING INPUT",IF(AND(Q119&lt;&gt;"Yes",S119=0),"NO DOWNSTREAM","OK"))</x:f>
        <x:v>OK</x:v>
      </x:c>
    </x:row>
    <x:row r="120">
      <x:c r="A120" s="49" t="str">
        <x:v>A-COVERED-STORE</x:v>
      </x:c>
      <x:c r="B120" s="49" t="str">
        <x:v>Dry cache/chest</x:v>
      </x:c>
      <x:c r="C120" s="49" t="str">
        <x:v>Storage</x:v>
      </x:c>
      <x:c r="D120" s="49" t="str">
        <x:v>Assembly</x:v>
      </x:c>
      <x:c r="E120" s="49" t="str">
        <x:v>H2</x:v>
      </x:c>
      <x:c r="F120" s="49" t="str">
        <x:v>P-MAT; P-STRAIGHT-POLE; P-CORD; A-ROOF</x:v>
      </x:c>
      <x:c r="G120" s="49" t="str">
        <x:v>raise / enclose / close / inspect</x:v>
      </x:c>
      <x:c r="H120" s="49" t="str">
        <x:v>T-STONE-KNIFE</x:v>
      </x:c>
      <x:c r="I120" s="49" t="str">
        <x:v>A-REFUGE</x:v>
      </x:c>
      <x:c r="J120" s="49" t="str">
        <x:v>storage / construction</x:v>
      </x:c>
      <x:c r="K120" s="49" t="str">
        <x:v>moderate</x:v>
      </x:c>
      <x:c r="L120" s="71" t="n">
        <x:v>120</x:v>
      </x:c>
      <x:c r="M120" s="71" t="n">
        <x:v>0</x:v>
      </x:c>
      <x:c r="N120" s="49" t="str">
        <x:v>dry/pest test</x:v>
      </x:c>
      <x:c r="O120" s="49" t="str">
        <x:v>mold / pest / leak</x:v>
      </x:c>
      <x:c r="P120" s="49" t="str"/>
      <x:c r="Q120" s="49" t="str">
        <x:v>No</x:v>
      </x:c>
      <x:c r="R120" s="71" t="n">
        <x:f>COUNTIF('Dependency Edges'!$B$5:$B$700,A120)</x:f>
        <x:v>6</x:v>
      </x:c>
      <x:c r="S120" s="71" t="n">
        <x:f>COUNTIF('Dependency Edges'!$A$5:$A$700,A120)</x:f>
        <x:v>6</x:v>
      </x:c>
      <x:c r="T120" s="49" t="str">
        <x:f>IF(AND(D120&lt;&gt;"Source",R120=0),"MISSING INPUT",IF(AND(Q120&lt;&gt;"Yes",S120=0),"NO DOWNSTREAM","OK"))</x:f>
        <x:v>OK</x:v>
      </x:c>
    </x:row>
    <x:row r="121">
      <x:c r="A121" s="49" t="str">
        <x:v>A-LAMP</x:v>
      </x:c>
      <x:c r="B121" s="49" t="str">
        <x:v>Protected lamp/light</x:v>
      </x:c>
      <x:c r="C121" s="49" t="str">
        <x:v>Power</x:v>
      </x:c>
      <x:c r="D121" s="49" t="str">
        <x:v>Assembly</x:v>
      </x:c>
      <x:c r="E121" s="49" t="str">
        <x:v>H4</x:v>
      </x:c>
      <x:c r="F121" s="49" t="str">
        <x:v>S-BATTERY; S-WIRE; S-GLASS</x:v>
      </x:c>
      <x:c r="G121" s="49" t="str">
        <x:v>connect / protect / switch / test</x:v>
      </x:c>
      <x:c r="H121" s="49" t="str">
        <x:v>T-METER</x:v>
      </x:c>
      <x:c r="I121" s="49" t="str">
        <x:v>W-ELECTRICAL</x:v>
      </x:c>
      <x:c r="J121" s="49" t="str">
        <x:v>electrical</x:v>
      </x:c>
      <x:c r="K121" s="49" t="str">
        <x:v>dexterity</x:v>
      </x:c>
      <x:c r="L121" s="71" t="n">
        <x:v>120</x:v>
      </x:c>
      <x:c r="M121" s="71" t="n">
        <x:v>0</x:v>
      </x:c>
      <x:c r="N121" s="49" t="str">
        <x:v>light/load/short</x:v>
      </x:c>
      <x:c r="O121" s="49" t="str">
        <x:v>fire / drain</x:v>
      </x:c>
      <x:c r="P121" s="49" t="str">
        <x:v>W-HEARTH</x:v>
      </x:c>
      <x:c r="Q121" s="49" t="str">
        <x:v>No</x:v>
      </x:c>
      <x:c r="R121" s="71" t="n">
        <x:f>COUNTIF('Dependency Edges'!$B$5:$B$700,A121)</x:f>
        <x:v>5</x:v>
      </x:c>
      <x:c r="S121" s="71" t="n">
        <x:f>COUNTIF('Dependency Edges'!$A$5:$A$700,A121)</x:f>
        <x:v>4</x:v>
      </x:c>
      <x:c r="T121" s="49" t="str">
        <x:f>IF(AND(D121&lt;&gt;"Source",R121=0),"MISSING INPUT",IF(AND(Q121&lt;&gt;"Yes",S121=0),"NO DOWNSTREAM","OK"))</x:f>
        <x:v>OK</x:v>
      </x:c>
    </x:row>
    <x:row r="122">
      <x:c r="A122" s="49" t="str">
        <x:v>A-WORKING-HOME</x:v>
      </x:c>
      <x:c r="B122" s="49" t="str">
        <x:v>Working home</x:v>
      </x:c>
      <x:c r="C122" s="49" t="str">
        <x:v>Shelter</x:v>
      </x:c>
      <x:c r="D122" s="49" t="str">
        <x:v>Endpoint</x:v>
      </x:c>
      <x:c r="E122" s="49" t="str">
        <x:v>H5</x:v>
      </x:c>
      <x:c r="F122" s="49" t="str">
        <x:v>A-REFUGE; A-CISTERN; A-COVERED-STORE; W-BENCH; W-CLEAN</x:v>
      </x:c>
      <x:c r="G122" s="49" t="str">
        <x:v>integrate / maintain / audit</x:v>
      </x:c>
      <x:c r="H122" s="49" t="str"/>
      <x:c r="I122" s="49" t="str">
        <x:v>world</x:v>
      </x:c>
      <x:c r="J122" s="49" t="str">
        <x:v>systems / logistics</x:v>
      </x:c>
      <x:c r="K122" s="49" t="str">
        <x:v>mixed</x:v>
      </x:c>
      <x:c r="L122" s="71" t="n">
        <x:v>2400</x:v>
      </x:c>
      <x:c r="M122" s="71" t="n">
        <x:v>0</x:v>
      </x:c>
      <x:c r="N122" s="49" t="str">
        <x:v>daily-cycle proof</x:v>
      </x:c>
      <x:c r="O122" s="49" t="str">
        <x:v>maintenance cascade</x:v>
      </x:c>
      <x:c r="P122" s="49" t="str"/>
      <x:c r="Q122" s="49" t="str">
        <x:v>Yes</x:v>
      </x:c>
      <x:c r="R122" s="71" t="n">
        <x:f>COUNTIF('Dependency Edges'!$B$5:$B$700,A122)</x:f>
        <x:v>6</x:v>
      </x:c>
      <x:c r="S122" s="71" t="n">
        <x:f>COUNTIF('Dependency Edges'!$A$5:$A$700,A122)</x:f>
        <x:v>2</x:v>
      </x:c>
      <x:c r="T122" s="49" t="str">
        <x:f>IF(AND(D122&lt;&gt;"Source",R122=0),"MISSING INPUT",IF(AND(Q122&lt;&gt;"Yes",S122=0),"NO DOWNSTREAM","OK"))</x:f>
        <x:v>OK</x:v>
      </x:c>
    </x:row>
    <x:row r="123">
      <x:c r="A123" s="49" t="str">
        <x:v>A-LEGACY-HOME</x:v>
      </x:c>
      <x:c r="B123" s="49" t="str">
        <x:v>Legacy compound</x:v>
      </x:c>
      <x:c r="C123" s="49" t="str">
        <x:v>Legacy</x:v>
      </x:c>
      <x:c r="D123" s="49" t="str">
        <x:v>Endpoint</x:v>
      </x:c>
      <x:c r="E123" s="49" t="str">
        <x:v>H6</x:v>
      </x:c>
      <x:c r="F123" s="49" t="str">
        <x:v>A-WORKING-HOME; W-CLINIC; W-ARCHIVE; A-ARRIVAL</x:v>
      </x:c>
      <x:c r="G123" s="49" t="str">
        <x:v>harden / label / distribute / test</x:v>
      </x:c>
      <x:c r="H123" s="49" t="str"/>
      <x:c r="I123" s="49" t="str">
        <x:v>world</x:v>
      </x:c>
      <x:c r="J123" s="49" t="str">
        <x:v>systems / inheritance</x:v>
      </x:c>
      <x:c r="K123" s="49" t="str">
        <x:v>mixed</x:v>
      </x:c>
      <x:c r="L123" s="71" t="n">
        <x:v>6000</x:v>
      </x:c>
      <x:c r="M123" s="71" t="n">
        <x:v>0</x:v>
      </x:c>
      <x:c r="N123" s="49" t="str">
        <x:v>successor recovery drill</x:v>
      </x:c>
      <x:c r="O123" s="49" t="str">
        <x:v>unreadable / single point</x:v>
      </x:c>
      <x:c r="P123" s="49" t="str"/>
      <x:c r="Q123" s="49" t="str">
        <x:v>Yes</x:v>
      </x:c>
      <x:c r="R123" s="71" t="n">
        <x:f>COUNTIF('Dependency Edges'!$B$5:$B$700,A123)</x:f>
        <x:v>4</x:v>
      </x:c>
      <x:c r="S123" s="71" t="n">
        <x:f>COUNTIF('Dependency Edges'!$A$5:$A$700,A123)</x:f>
        <x:v>0</x:v>
      </x:c>
      <x:c r="T123" s="49" t="str">
        <x:f>IF(AND(D123&lt;&gt;"Source",R123=0),"MISSING INPUT",IF(AND(Q123&lt;&gt;"Yes",S123=0),"NO DOWNSTREAM","OK"))</x:f>
        <x:v>OK</x:v>
      </x:c>
    </x:row>
    <x:row r="124">
      <x:c r="A124" s="49" t="str">
        <x:v>A-HANDWASH</x:v>
      </x:c>
      <x:c r="B124" s="49" t="str">
        <x:v>Handwashing station</x:v>
      </x:c>
      <x:c r="C124" s="49" t="str">
        <x:v>Medicine</x:v>
      </x:c>
      <x:c r="D124" s="49" t="str">
        <x:v>Assembly</x:v>
      </x:c>
      <x:c r="E124" s="49" t="str">
        <x:v>H3</x:v>
      </x:c>
      <x:c r="F124" s="49" t="str">
        <x:v>P-CLEAN-WATER; C-COVERED-STORE; P-CORD</x:v>
      </x:c>
      <x:c r="G124" s="49" t="str">
        <x:v>mount / controlled pour / drain</x:v>
      </x:c>
      <x:c r="H124" s="49" t="str"/>
      <x:c r="I124" s="49" t="str">
        <x:v>W-CLEAN</x:v>
      </x:c>
      <x:c r="J124" s="49" t="str">
        <x:v>hygiene / water</x:v>
      </x:c>
      <x:c r="K124" s="49" t="str">
        <x:v>low</x:v>
      </x:c>
      <x:c r="L124" s="71" t="n">
        <x:v>60</x:v>
      </x:c>
      <x:c r="M124" s="71" t="n">
        <x:v>0</x:v>
      </x:c>
      <x:c r="N124" s="49" t="str">
        <x:v>clean draw and drainage</x:v>
      </x:c>
      <x:c r="O124" s="49" t="str">
        <x:v>recontamination</x:v>
      </x:c>
      <x:c r="P124" s="49" t="str"/>
      <x:c r="Q124" s="49" t="str">
        <x:v>No</x:v>
      </x:c>
      <x:c r="R124" s="71" t="n">
        <x:f>COUNTIF('Dependency Edges'!$B$5:$B$700,A124)</x:f>
        <x:v>4</x:v>
      </x:c>
      <x:c r="S124" s="71" t="n">
        <x:f>COUNTIF('Dependency Edges'!$A$5:$A$700,A124)</x:f>
        <x:v>1</x:v>
      </x:c>
      <x:c r="T124" s="49" t="str">
        <x:f>IF(AND(D124&lt;&gt;"Source",R124=0),"MISSING INPUT",IF(AND(Q124&lt;&gt;"Yes",S124=0),"NO DOWNSTREAM","OK"))</x:f>
        <x:v>OK</x:v>
      </x:c>
    </x:row>
    <x:row r="125">
      <x:c r="A125" s="49" t="str">
        <x:v>A-LATRINE</x:v>
      </x:c>
      <x:c r="B125" s="49" t="str">
        <x:v>Latrine/waste separation</x:v>
      </x:c>
      <x:c r="C125" s="49" t="str">
        <x:v>Medicine</x:v>
      </x:c>
      <x:c r="D125" s="49" t="str">
        <x:v>Assembly</x:v>
      </x:c>
      <x:c r="E125" s="49" t="str">
        <x:v>H2</x:v>
      </x:c>
      <x:c r="F125" s="49" t="str">
        <x:v>T-DIG; P-STRAIGHT-POLE; P-MAT</x:v>
      </x:c>
      <x:c r="G125" s="49" t="str">
        <x:v>site / dig / cover / mark</x:v>
      </x:c>
      <x:c r="H125" s="49" t="str">
        <x:v>T-DIG</x:v>
      </x:c>
      <x:c r="I125" s="49" t="str">
        <x:v>down-gradient safe site</x:v>
      </x:c>
      <x:c r="J125" s="49" t="str">
        <x:v>sanitation / ecology</x:v>
      </x:c>
      <x:c r="K125" s="49" t="str">
        <x:v>high</x:v>
      </x:c>
      <x:c r="L125" s="71" t="n">
        <x:v>180</x:v>
      </x:c>
      <x:c r="M125" s="71" t="n">
        <x:v>0</x:v>
      </x:c>
      <x:c r="N125" s="49" t="str">
        <x:v>distance/drainage/source audit</x:v>
      </x:c>
      <x:c r="O125" s="49" t="str">
        <x:v>source contamination</x:v>
      </x:c>
      <x:c r="P125" s="49" t="str"/>
      <x:c r="Q125" s="49" t="str">
        <x:v>Yes</x:v>
      </x:c>
      <x:c r="R125" s="71" t="n">
        <x:f>COUNTIF('Dependency Edges'!$B$5:$B$700,A125)</x:f>
        <x:v>3</x:v>
      </x:c>
      <x:c r="S125" s="71" t="n">
        <x:f>COUNTIF('Dependency Edges'!$A$5:$A$700,A125)</x:f>
        <x:v>1</x:v>
      </x:c>
      <x:c r="T125" s="49" t="str">
        <x:f>IF(AND(D125&lt;&gt;"Source",R125=0),"MISSING INPUT",IF(AND(Q125&lt;&gt;"Yes",S125=0),"NO DOWNSTREAM","OK"))</x:f>
        <x:v>OK</x:v>
      </x:c>
    </x:row>
    <x:row r="126">
      <x:c r="A126" s="49" t="str">
        <x:v>A-BANDAGE</x:v>
      </x:c>
      <x:c r="B126" s="49" t="str">
        <x:v>Applied clean dressing</x:v>
      </x:c>
      <x:c r="C126" s="49" t="str">
        <x:v>Medicine</x:v>
      </x:c>
      <x:c r="D126" s="49" t="str">
        <x:v>Capability</x:v>
      </x:c>
      <x:c r="E126" s="49" t="str">
        <x:v>H2</x:v>
      </x:c>
      <x:c r="F126" s="49" t="str">
        <x:v>P-DRESSING; P-CLEAN-WATER</x:v>
      </x:c>
      <x:c r="G126" s="49" t="str">
        <x:v>clean / pressure / secure / monitor</x:v>
      </x:c>
      <x:c r="H126" s="49" t="str"/>
      <x:c r="I126" s="49" t="str">
        <x:v>W-CLEAN</x:v>
      </x:c>
      <x:c r="J126" s="49" t="str">
        <x:v>medicine</x:v>
      </x:c>
      <x:c r="K126" s="49" t="str">
        <x:v>dexterity + composure</x:v>
      </x:c>
      <x:c r="L126" s="71" t="n">
        <x:v>20</x:v>
      </x:c>
      <x:c r="M126" s="71" t="n">
        <x:v>0</x:v>
      </x:c>
      <x:c r="N126" s="49" t="str">
        <x:v>bleeding/cleanliness/fit</x:v>
      </x:c>
      <x:c r="O126" s="49" t="str">
        <x:v>too tight / dirty</x:v>
      </x:c>
      <x:c r="P126" s="49" t="str"/>
      <x:c r="Q126" s="49" t="str">
        <x:v>No</x:v>
      </x:c>
      <x:c r="R126" s="71" t="n">
        <x:f>COUNTIF('Dependency Edges'!$B$5:$B$700,A126)</x:f>
        <x:v>3</x:v>
      </x:c>
      <x:c r="S126" s="71" t="n">
        <x:f>COUNTIF('Dependency Edges'!$A$5:$A$700,A126)</x:f>
        <x:v>1</x:v>
      </x:c>
      <x:c r="T126" s="49" t="str">
        <x:f>IF(AND(D126&lt;&gt;"Source",R126=0),"MISSING INPUT",IF(AND(Q126&lt;&gt;"Yes",S126=0),"NO DOWNSTREAM","OK"))</x:f>
        <x:v>OK</x:v>
      </x:c>
    </x:row>
    <x:row r="127">
      <x:c r="A127" s="49" t="str">
        <x:v>A-SPLINT</x:v>
      </x:c>
      <x:c r="B127" s="49" t="str">
        <x:v>Fitted splint</x:v>
      </x:c>
      <x:c r="C127" s="49" t="str">
        <x:v>Medicine</x:v>
      </x:c>
      <x:c r="D127" s="49" t="str">
        <x:v>Capability</x:v>
      </x:c>
      <x:c r="E127" s="49" t="str">
        <x:v>H2</x:v>
      </x:c>
      <x:c r="F127" s="49" t="str">
        <x:v>P-SPLINT-STOCK; P-CORD</x:v>
      </x:c>
      <x:c r="G127" s="49" t="str">
        <x:v>assess / align / pad / bind / monitor</x:v>
      </x:c>
      <x:c r="H127" s="49" t="str"/>
      <x:c r="I127" s="49" t="str">
        <x:v>W-CLEAN</x:v>
      </x:c>
      <x:c r="J127" s="49" t="str">
        <x:v>medicine / fit</x:v>
      </x:c>
      <x:c r="K127" s="49" t="str">
        <x:v>dexterity</x:v>
      </x:c>
      <x:c r="L127" s="71" t="n">
        <x:v>30</x:v>
      </x:c>
      <x:c r="M127" s="71" t="n">
        <x:v>0</x:v>
      </x:c>
      <x:c r="N127" s="49" t="str">
        <x:v>support/circulation</x:v>
      </x:c>
      <x:c r="O127" s="49" t="str">
        <x:v>pressure / misalign</x:v>
      </x:c>
      <x:c r="P127" s="49" t="str"/>
      <x:c r="Q127" s="49" t="str">
        <x:v>No</x:v>
      </x:c>
      <x:c r="R127" s="71" t="n">
        <x:f>COUNTIF('Dependency Edges'!$B$5:$B$700,A127)</x:f>
        <x:v>3</x:v>
      </x:c>
      <x:c r="S127" s="71" t="n">
        <x:f>COUNTIF('Dependency Edges'!$A$5:$A$700,A127)</x:f>
        <x:v>1</x:v>
      </x:c>
      <x:c r="T127" s="49" t="str">
        <x:f>IF(AND(D127&lt;&gt;"Source",R127=0),"MISSING INPUT",IF(AND(Q127&lt;&gt;"Yes",S127=0),"NO DOWNSTREAM","OK"))</x:f>
        <x:v>OK</x:v>
      </x:c>
    </x:row>
    <x:row r="128">
      <x:c r="A128" s="49" t="str">
        <x:v>A-CRUTCH</x:v>
      </x:c>
      <x:c r="B128" s="49" t="str">
        <x:v>Crutch/cane</x:v>
      </x:c>
      <x:c r="C128" s="49" t="str">
        <x:v>Medicine</x:v>
      </x:c>
      <x:c r="D128" s="49" t="str">
        <x:v>Tool</x:v>
      </x:c>
      <x:c r="E128" s="49" t="str">
        <x:v>H3</x:v>
      </x:c>
      <x:c r="F128" s="49" t="str">
        <x:v>P-STRAIGHT-POLE; P-MAT; P-CORD</x:v>
      </x:c>
      <x:c r="G128" s="49" t="str">
        <x:v>fit / pad / gait test</x:v>
      </x:c>
      <x:c r="H128" s="49" t="str">
        <x:v>T-STONE-KNIFE</x:v>
      </x:c>
      <x:c r="I128" s="49" t="str">
        <x:v>W-BENCH</x:v>
      </x:c>
      <x:c r="J128" s="49" t="str">
        <x:v>medicine / construction</x:v>
      </x:c>
      <x:c r="K128" s="49" t="str">
        <x:v>dexterity</x:v>
      </x:c>
      <x:c r="L128" s="71" t="n">
        <x:v>90</x:v>
      </x:c>
      <x:c r="M128" s="71" t="n">
        <x:v>0</x:v>
      </x:c>
      <x:c r="N128" s="49" t="str">
        <x:v>gait/load test</x:v>
      </x:c>
      <x:c r="O128" s="49" t="str">
        <x:v>slip / wrong height</x:v>
      </x:c>
      <x:c r="P128" s="49" t="str"/>
      <x:c r="Q128" s="49" t="str">
        <x:v>No</x:v>
      </x:c>
      <x:c r="R128" s="71" t="n">
        <x:f>COUNTIF('Dependency Edges'!$B$5:$B$700,A128)</x:f>
        <x:v>5</x:v>
      </x:c>
      <x:c r="S128" s="71" t="n">
        <x:f>COUNTIF('Dependency Edges'!$A$5:$A$700,A128)</x:f>
        <x:v>1</x:v>
      </x:c>
      <x:c r="T128" s="49" t="str">
        <x:f>IF(AND(D128&lt;&gt;"Source",R128=0),"MISSING INPUT",IF(AND(Q128&lt;&gt;"Yes",S128=0),"NO DOWNSTREAM","OK"))</x:f>
        <x:v>OK</x:v>
      </x:c>
    </x:row>
    <x:row r="129">
      <x:c r="A129" s="49" t="str">
        <x:v>A-STRETCHER</x:v>
      </x:c>
      <x:c r="B129" s="49" t="str">
        <x:v>Stretcher/litter</x:v>
      </x:c>
      <x:c r="C129" s="49" t="str">
        <x:v>Medicine</x:v>
      </x:c>
      <x:c r="D129" s="49" t="str">
        <x:v>Assembly</x:v>
      </x:c>
      <x:c r="E129" s="49" t="str">
        <x:v>H3</x:v>
      </x:c>
      <x:c r="F129" s="49" t="str">
        <x:v>P-STRAIGHT-POLE; P-MAT; P-ROPE</x:v>
      </x:c>
      <x:c r="G129" s="49" t="str">
        <x:v>frame / carry points / load test</x:v>
      </x:c>
      <x:c r="H129" s="49" t="str">
        <x:v>T-MEASURE</x:v>
      </x:c>
      <x:c r="I129" s="49" t="str">
        <x:v>W-BENCH</x:v>
      </x:c>
      <x:c r="J129" s="49" t="str">
        <x:v>medicine / logistics</x:v>
      </x:c>
      <x:c r="K129" s="49" t="str">
        <x:v>team</x:v>
      </x:c>
      <x:c r="L129" s="71" t="n">
        <x:v>180</x:v>
      </x:c>
      <x:c r="M129" s="71" t="n">
        <x:v>0</x:v>
      </x:c>
      <x:c r="N129" s="49" t="str">
        <x:v>proof load/carry drill</x:v>
      </x:c>
      <x:c r="O129" s="49" t="str">
        <x:v>drop / tear</x:v>
      </x:c>
      <x:c r="P129" s="49" t="str"/>
      <x:c r="Q129" s="49" t="str">
        <x:v>No</x:v>
      </x:c>
      <x:c r="R129" s="71" t="n">
        <x:f>COUNTIF('Dependency Edges'!$B$5:$B$700,A129)</x:f>
        <x:v>5</x:v>
      </x:c>
      <x:c r="S129" s="71" t="n">
        <x:f>COUNTIF('Dependency Edges'!$A$5:$A$700,A129)</x:f>
        <x:v>1</x:v>
      </x:c>
      <x:c r="T129" s="49" t="str">
        <x:f>IF(AND(D129&lt;&gt;"Source",R129=0),"MISSING INPUT",IF(AND(Q129&lt;&gt;"Yes",S129=0),"NO DOWNSTREAM","OK"))</x:f>
        <x:v>OK</x:v>
      </x:c>
    </x:row>
    <x:row r="130">
      <x:c r="A130" s="49" t="str">
        <x:v>A-COOKING</x:v>
      </x:c>
      <x:c r="B130" s="49" t="str">
        <x:v>Controlled cooking system</x:v>
      </x:c>
      <x:c r="C130" s="49" t="str">
        <x:v>Food</x:v>
      </x:c>
      <x:c r="D130" s="49" t="str">
        <x:v>Assembly</x:v>
      </x:c>
      <x:c r="E130" s="49" t="str">
        <x:v>H2</x:v>
      </x:c>
      <x:c r="F130" s="49" t="str">
        <x:v>W-HEARTH; C-FOUND-PAN; T-STONE-KNIFE; P-CLEAN-WATER</x:v>
      </x:c>
      <x:c r="G130" s="49" t="str">
        <x:v>clean / portion / heat / inspect</x:v>
      </x:c>
      <x:c r="H130" s="49" t="str"/>
      <x:c r="I130" s="49" t="str">
        <x:v>W-HEARTH</x:v>
      </x:c>
      <x:c r="J130" s="49" t="str">
        <x:v>food / hygiene</x:v>
      </x:c>
      <x:c r="K130" s="49" t="str">
        <x:v>moderate</x:v>
      </x:c>
      <x:c r="L130" s="71" t="n">
        <x:v>60</x:v>
      </x:c>
      <x:c r="M130" s="71" t="n">
        <x:v>0</x:v>
      </x:c>
      <x:c r="N130" s="49" t="str">
        <x:v>safe batch</x:v>
      </x:c>
      <x:c r="O130" s="49" t="str">
        <x:v>undercook / contaminate</x:v>
      </x:c>
      <x:c r="P130" s="49" t="str">
        <x:v>C-CLAY-POT</x:v>
      </x:c>
      <x:c r="Q130" s="49" t="str">
        <x:v>No</x:v>
      </x:c>
      <x:c r="R130" s="71" t="n">
        <x:f>COUNTIF('Dependency Edges'!$B$5:$B$700,A130)</x:f>
        <x:v>4</x:v>
      </x:c>
      <x:c r="S130" s="71" t="n">
        <x:f>COUNTIF('Dependency Edges'!$A$5:$A$700,A130)</x:f>
        <x:v>1</x:v>
      </x:c>
      <x:c r="T130" s="49" t="str">
        <x:f>IF(AND(D130&lt;&gt;"Source",R130=0),"MISSING INPUT",IF(AND(Q130&lt;&gt;"Yes",S130=0),"NO DOWNSTREAM","OK"))</x:f>
        <x:v>OK</x:v>
      </x:c>
    </x:row>
    <x:row r="131">
      <x:c r="A131" s="49" t="str">
        <x:v>A-FISH-LINE</x:v>
      </x:c>
      <x:c r="B131" s="49" t="str">
        <x:v>Fishing line/hook</x:v>
      </x:c>
      <x:c r="C131" s="49" t="str">
        <x:v>Food</x:v>
      </x:c>
      <x:c r="D131" s="49" t="str">
        <x:v>Tool</x:v>
      </x:c>
      <x:c r="E131" s="49" t="str">
        <x:v>H2</x:v>
      </x:c>
      <x:c r="F131" s="49" t="str">
        <x:v>P-CORD; S-BONE; P-SHARP-EDGE</x:v>
      </x:c>
      <x:c r="G131" s="49" t="str">
        <x:v>form / tie / bait / retrieve</x:v>
      </x:c>
      <x:c r="H131" s="49" t="str">
        <x:v>T-STONE-KNIFE</x:v>
      </x:c>
      <x:c r="I131" s="49" t="str">
        <x:v>shore</x:v>
      </x:c>
      <x:c r="J131" s="49" t="str">
        <x:v>fishing / ecology</x:v>
      </x:c>
      <x:c r="K131" s="49" t="str">
        <x:v>dexterity</x:v>
      </x:c>
      <x:c r="L131" s="71" t="n">
        <x:v>60</x:v>
      </x:c>
      <x:c r="M131" s="71" t="n">
        <x:v>0</x:v>
      </x:c>
      <x:c r="N131" s="49" t="str">
        <x:v>catch/retrieval test</x:v>
      </x:c>
      <x:c r="O131" s="49" t="str">
        <x:v>hook injury / lost gear</x:v>
      </x:c>
      <x:c r="P131" s="49" t="str"/>
      <x:c r="Q131" s="49" t="str">
        <x:v>No</x:v>
      </x:c>
      <x:c r="R131" s="71" t="n">
        <x:f>COUNTIF('Dependency Edges'!$B$5:$B$700,A131)</x:f>
        <x:v>4</x:v>
      </x:c>
      <x:c r="S131" s="71" t="n">
        <x:f>COUNTIF('Dependency Edges'!$A$5:$A$700,A131)</x:f>
        <x:v>1</x:v>
      </x:c>
      <x:c r="T131" s="49" t="str">
        <x:f>IF(AND(D131&lt;&gt;"Source",R131=0),"MISSING INPUT",IF(AND(Q131&lt;&gt;"Yes",S131=0),"NO DOWNSTREAM","OK"))</x:f>
        <x:v>OK</x:v>
      </x:c>
    </x:row>
    <x:row r="132">
      <x:c r="A132" s="49" t="str">
        <x:v>A-FISH-TRAP</x:v>
      </x:c>
      <x:c r="B132" s="49" t="str">
        <x:v>Selective fish/crab trap</x:v>
      </x:c>
      <x:c r="C132" s="49" t="str">
        <x:v>Food</x:v>
      </x:c>
      <x:c r="D132" s="49" t="str">
        <x:v>Assembly</x:v>
      </x:c>
      <x:c r="E132" s="49" t="str">
        <x:v>H3</x:v>
      </x:c>
      <x:c r="F132" s="49" t="str">
        <x:v>P-MAT; P-CORD; P-STRAIGHT-POLE</x:v>
      </x:c>
      <x:c r="G132" s="49" t="str">
        <x:v>frame / entrance / mark / retrieve</x:v>
      </x:c>
      <x:c r="H132" s="49" t="str">
        <x:v>T-STONE-KNIFE</x:v>
      </x:c>
      <x:c r="I132" s="49" t="str">
        <x:v>shore</x:v>
      </x:c>
      <x:c r="J132" s="49" t="str">
        <x:v>fishing / ecology</x:v>
      </x:c>
      <x:c r="K132" s="49" t="str">
        <x:v>moderate</x:v>
      </x:c>
      <x:c r="L132" s="71" t="n">
        <x:v>180</x:v>
      </x:c>
      <x:c r="M132" s="71" t="n">
        <x:v>0</x:v>
      </x:c>
      <x:c r="N132" s="49" t="str">
        <x:v>selectivity/check test</x:v>
      </x:c>
      <x:c r="O132" s="49" t="str">
        <x:v>bycatch / ghost gear</x:v>
      </x:c>
      <x:c r="P132" s="49" t="str"/>
      <x:c r="Q132" s="49" t="str">
        <x:v>No</x:v>
      </x:c>
      <x:c r="R132" s="71" t="n">
        <x:f>COUNTIF('Dependency Edges'!$B$5:$B$700,A132)</x:f>
        <x:v>4</x:v>
      </x:c>
      <x:c r="S132" s="71" t="n">
        <x:f>COUNTIF('Dependency Edges'!$A$5:$A$700,A132)</x:f>
        <x:v>1</x:v>
      </x:c>
      <x:c r="T132" s="49" t="str">
        <x:f>IF(AND(D132&lt;&gt;"Source",R132=0),"MISSING INPUT",IF(AND(Q132&lt;&gt;"Yes",S132=0),"NO DOWNSTREAM","OK"))</x:f>
        <x:v>OK</x:v>
      </x:c>
    </x:row>
    <x:row r="133">
      <x:c r="A133" s="49" t="str">
        <x:v>A-SPEAR</x:v>
      </x:c>
      <x:c r="B133" s="49" t="str">
        <x:v>Spear/harpoon</x:v>
      </x:c>
      <x:c r="C133" s="49" t="str">
        <x:v>Food</x:v>
      </x:c>
      <x:c r="D133" s="49" t="str">
        <x:v>Tool</x:v>
      </x:c>
      <x:c r="E133" s="49" t="str">
        <x:v>H2</x:v>
      </x:c>
      <x:c r="F133" s="49" t="str">
        <x:v>P-STRAIGHT-POLE; P-SHARP-EDGE; P-CORD</x:v>
      </x:c>
      <x:c r="G133" s="49" t="str">
        <x:v>fit / bind / balance / practice</x:v>
      </x:c>
      <x:c r="H133" s="49" t="str">
        <x:v>T-STONE-KNIFE</x:v>
      </x:c>
      <x:c r="I133" s="49" t="str">
        <x:v>safe range</x:v>
      </x:c>
      <x:c r="J133" s="49" t="str">
        <x:v>hunting / toolmaking</x:v>
      </x:c>
      <x:c r="K133" s="49" t="str">
        <x:v>strength + dexterity</x:v>
      </x:c>
      <x:c r="L133" s="71" t="n">
        <x:v>90</x:v>
      </x:c>
      <x:c r="M133" s="71" t="n">
        <x:v>0</x:v>
      </x:c>
      <x:c r="N133" s="49" t="str">
        <x:v>range/retention</x:v>
      </x:c>
      <x:c r="O133" s="49" t="str">
        <x:v>self injury / head loss</x:v>
      </x:c>
      <x:c r="P133" s="49" t="str"/>
      <x:c r="Q133" s="49" t="str">
        <x:v>No</x:v>
      </x:c>
      <x:c r="R133" s="71" t="n">
        <x:f>COUNTIF('Dependency Edges'!$B$5:$B$700,A133)</x:f>
        <x:v>4</x:v>
      </x:c>
      <x:c r="S133" s="71" t="n">
        <x:f>COUNTIF('Dependency Edges'!$A$5:$A$700,A133)</x:f>
        <x:v>1</x:v>
      </x:c>
      <x:c r="T133" s="49" t="str">
        <x:f>IF(AND(D133&lt;&gt;"Source",R133=0),"MISSING INPUT",IF(AND(Q133&lt;&gt;"Yes",S133=0),"NO DOWNSTREAM","OK"))</x:f>
        <x:v>OK</x:v>
      </x:c>
    </x:row>
    <x:row r="134">
      <x:c r="A134" s="49" t="str">
        <x:v>A-GARDEN</x:v>
      </x:c>
      <x:c r="B134" s="49" t="str">
        <x:v>Garden bed</x:v>
      </x:c>
      <x:c r="C134" s="49" t="str">
        <x:v>Food</x:v>
      </x:c>
      <x:c r="D134" s="49" t="str">
        <x:v>Assembly</x:v>
      </x:c>
      <x:c r="E134" s="49" t="str">
        <x:v>H3</x:v>
      </x:c>
      <x:c r="F134" s="49" t="str">
        <x:v>T-DIG; P-SEED-LOT; P-CLEAN-WATER; S-FOOD</x:v>
      </x:c>
      <x:c r="G134" s="49" t="str">
        <x:v>site / prepare / plant / water / observe</x:v>
      </x:c>
      <x:c r="H134" s="49" t="str">
        <x:v>T-DIG</x:v>
      </x:c>
      <x:c r="I134" s="49" t="str">
        <x:v>working home</x:v>
      </x:c>
      <x:c r="J134" s="49" t="str">
        <x:v>cultivation / ecology</x:v>
      </x:c>
      <x:c r="K134" s="49" t="str">
        <x:v>moderate</x:v>
      </x:c>
      <x:c r="L134" s="71" t="n">
        <x:v>360</x:v>
      </x:c>
      <x:c r="M134" s="71" t="n">
        <x:v>10080</x:v>
      </x:c>
      <x:c r="N134" s="49" t="str">
        <x:v>germination/yield/soil record</x:v>
      </x:c>
      <x:c r="O134" s="49" t="str">
        <x:v>pest / drought / disease</x:v>
      </x:c>
      <x:c r="P134" s="49" t="str"/>
      <x:c r="Q134" s="49" t="str">
        <x:v>Yes</x:v>
      </x:c>
      <x:c r="R134" s="71" t="n">
        <x:f>COUNTIF('Dependency Edges'!$B$5:$B$700,A134)</x:f>
        <x:v>5</x:v>
      </x:c>
      <x:c r="S134" s="71" t="n">
        <x:f>COUNTIF('Dependency Edges'!$A$5:$A$700,A134)</x:f>
        <x:v>1</x:v>
      </x:c>
      <x:c r="T134" s="49" t="str">
        <x:f>IF(AND(D134&lt;&gt;"Source",R134=0),"MISSING INPUT",IF(AND(Q134&lt;&gt;"Yes",S134=0),"NO DOWNSTREAM","OK"))</x:f>
        <x:v>OK</x:v>
      </x:c>
    </x:row>
    <x:row r="135">
      <x:c r="A135" s="49" t="str">
        <x:v>A-COMPOST</x:v>
      </x:c>
      <x:c r="B135" s="49" t="str">
        <x:v>Managed compost</x:v>
      </x:c>
      <x:c r="C135" s="49" t="str">
        <x:v>Food</x:v>
      </x:c>
      <x:c r="D135" s="49" t="str">
        <x:v>Assembly</x:v>
      </x:c>
      <x:c r="E135" s="49" t="str">
        <x:v>H3</x:v>
      </x:c>
      <x:c r="F135" s="49" t="str">
        <x:v>S-FOOD; P-MAT; P-CLEAN-WATER</x:v>
      </x:c>
      <x:c r="G135" s="49" t="str">
        <x:v>separate / layer / aerate / cure</x:v>
      </x:c>
      <x:c r="H135" s="49" t="str">
        <x:v>T-DIG</x:v>
      </x:c>
      <x:c r="I135" s="49" t="str">
        <x:v>garden edge</x:v>
      </x:c>
      <x:c r="J135" s="49" t="str">
        <x:v>soil / sanitation</x:v>
      </x:c>
      <x:c r="K135" s="49" t="str">
        <x:v>moderate</x:v>
      </x:c>
      <x:c r="L135" s="71" t="n">
        <x:v>120</x:v>
      </x:c>
      <x:c r="M135" s="71" t="n">
        <x:v>10080</x:v>
      </x:c>
      <x:c r="N135" s="49" t="str">
        <x:v>maturity/odor/heat</x:v>
      </x:c>
      <x:c r="O135" s="49" t="str">
        <x:v>pest / pathogen</x:v>
      </x:c>
      <x:c r="P135" s="49" t="str"/>
      <x:c r="Q135" s="49" t="str">
        <x:v>No</x:v>
      </x:c>
      <x:c r="R135" s="71" t="n">
        <x:f>COUNTIF('Dependency Edges'!$B$5:$B$700,A135)</x:f>
        <x:v>4</x:v>
      </x:c>
      <x:c r="S135" s="71" t="n">
        <x:f>COUNTIF('Dependency Edges'!$A$5:$A$700,A135)</x:f>
        <x:v>1</x:v>
      </x:c>
      <x:c r="T135" s="49" t="str">
        <x:f>IF(AND(D135&lt;&gt;"Source",R135=0),"MISSING INPUT",IF(AND(Q135&lt;&gt;"Yes",S135=0),"NO DOWNSTREAM","OK"))</x:f>
        <x:v>OK</x:v>
      </x:c>
    </x:row>
    <x:row r="136">
      <x:c r="A136" s="49" t="str">
        <x:v>A-FOOD-STORE</x:v>
      </x:c>
      <x:c r="B136" s="49" t="str">
        <x:v>Food continuity store</x:v>
      </x:c>
      <x:c r="C136" s="49" t="str">
        <x:v>Food</x:v>
      </x:c>
      <x:c r="D136" s="49" t="str">
        <x:v>Endpoint</x:v>
      </x:c>
      <x:c r="E136" s="49" t="str">
        <x:v>H4</x:v>
      </x:c>
      <x:c r="F136" s="49" t="str">
        <x:v>P-PRESERVED-FOOD; A-COVERED-STORE; A-GARDEN</x:v>
      </x:c>
      <x:c r="G136" s="49" t="str">
        <x:v>rotate / inspect / ration / record</x:v>
      </x:c>
      <x:c r="H136" s="49" t="str"/>
      <x:c r="I136" s="49" t="str">
        <x:v>working home</x:v>
      </x:c>
      <x:c r="J136" s="49" t="str">
        <x:v>food / storage</x:v>
      </x:c>
      <x:c r="K136" s="49" t="str">
        <x:v>low</x:v>
      </x:c>
      <x:c r="L136" s="71" t="n">
        <x:v>240</x:v>
      </x:c>
      <x:c r="M136" s="71" t="n">
        <x:v>0</x:v>
      </x:c>
      <x:c r="N136" s="49" t="str">
        <x:v>spoilage and reserve audit</x:v>
      </x:c>
      <x:c r="O136" s="49" t="str">
        <x:v>hidden spoilage</x:v>
      </x:c>
      <x:c r="P136" s="49" t="str"/>
      <x:c r="Q136" s="49" t="str">
        <x:v>Yes</x:v>
      </x:c>
      <x:c r="R136" s="71" t="n">
        <x:f>COUNTIF('Dependency Edges'!$B$5:$B$700,A136)</x:f>
        <x:v>4</x:v>
      </x:c>
      <x:c r="S136" s="71" t="n">
        <x:f>COUNTIF('Dependency Edges'!$A$5:$A$700,A136)</x:f>
        <x:v>2</x:v>
      </x:c>
      <x:c r="T136" s="49" t="str">
        <x:f>IF(AND(D136&lt;&gt;"Source",R136=0),"MISSING INPUT",IF(AND(Q136&lt;&gt;"Yes",S136=0),"NO DOWNSTREAM","OK"))</x:f>
        <x:v>OK</x:v>
      </x:c>
    </x:row>
    <x:row r="137">
      <x:c r="A137" s="49" t="str">
        <x:v>A-BASKET</x:v>
      </x:c>
      <x:c r="B137" s="49" t="str">
        <x:v>Carry basket</x:v>
      </x:c>
      <x:c r="C137" s="49" t="str">
        <x:v>Logistics</x:v>
      </x:c>
      <x:c r="D137" s="49" t="str">
        <x:v>Tool</x:v>
      </x:c>
      <x:c r="E137" s="49" t="str">
        <x:v>H1</x:v>
      </x:c>
      <x:c r="F137" s="49" t="str">
        <x:v>P-MAT; P-CORD</x:v>
      </x:c>
      <x:c r="G137" s="49" t="str">
        <x:v>weave / handle / load test</x:v>
      </x:c>
      <x:c r="H137" s="49" t="str">
        <x:v>T-STONE-KNIFE</x:v>
      </x:c>
      <x:c r="I137" s="49" t="str">
        <x:v>W-WORKMAT</x:v>
      </x:c>
      <x:c r="J137" s="49" t="str">
        <x:v>weaving / logistics</x:v>
      </x:c>
      <x:c r="K137" s="49" t="str">
        <x:v>dexterity</x:v>
      </x:c>
      <x:c r="L137" s="71" t="n">
        <x:v>120</x:v>
      </x:c>
      <x:c r="M137" s="71" t="n">
        <x:v>0</x:v>
      </x:c>
      <x:c r="N137" s="49" t="str">
        <x:v>load/carry</x:v>
      </x:c>
      <x:c r="O137" s="49" t="str">
        <x:v>tear / imbalance</x:v>
      </x:c>
      <x:c r="P137" s="49" t="str"/>
      <x:c r="Q137" s="49" t="str">
        <x:v>No</x:v>
      </x:c>
      <x:c r="R137" s="71" t="n">
        <x:f>COUNTIF('Dependency Edges'!$B$5:$B$700,A137)</x:f>
        <x:v>4</x:v>
      </x:c>
      <x:c r="S137" s="71" t="n">
        <x:f>COUNTIF('Dependency Edges'!$A$5:$A$700,A137)</x:f>
        <x:v>1</x:v>
      </x:c>
      <x:c r="T137" s="49" t="str">
        <x:f>IF(AND(D137&lt;&gt;"Source",R137=0),"MISSING INPUT",IF(AND(Q137&lt;&gt;"Yes",S137=0),"NO DOWNSTREAM","OK"))</x:f>
        <x:v>OK</x:v>
      </x:c>
    </x:row>
    <x:row r="138">
      <x:c r="A138" s="49" t="str">
        <x:v>A-PACK</x:v>
      </x:c>
      <x:c r="B138" s="49" t="str">
        <x:v>Pack frame/harness</x:v>
      </x:c>
      <x:c r="C138" s="49" t="str">
        <x:v>Logistics</x:v>
      </x:c>
      <x:c r="D138" s="49" t="str">
        <x:v>Tool</x:v>
      </x:c>
      <x:c r="E138" s="49" t="str">
        <x:v>H3</x:v>
      </x:c>
      <x:c r="F138" s="49" t="str">
        <x:v>P-STRAIGHT-POLE; P-MAT; P-CORD</x:v>
      </x:c>
      <x:c r="G138" s="49" t="str">
        <x:v>frame / pad / adjust / route test</x:v>
      </x:c>
      <x:c r="H138" s="49" t="str">
        <x:v>T-MEASURE</x:v>
      </x:c>
      <x:c r="I138" s="49" t="str">
        <x:v>W-BENCH</x:v>
      </x:c>
      <x:c r="J138" s="49" t="str">
        <x:v>construction / logistics</x:v>
      </x:c>
      <x:c r="K138" s="49" t="str">
        <x:v>dexterity</x:v>
      </x:c>
      <x:c r="L138" s="71" t="n">
        <x:v>240</x:v>
      </x:c>
      <x:c r="M138" s="71" t="n">
        <x:v>0</x:v>
      </x:c>
      <x:c r="N138" s="49" t="str">
        <x:v>fit/load/route</x:v>
      </x:c>
      <x:c r="O138" s="49" t="str">
        <x:v>hotspot / sway</x:v>
      </x:c>
      <x:c r="P138" s="49" t="str">
        <x:v>S-CANVAS</x:v>
      </x:c>
      <x:c r="Q138" s="49" t="str">
        <x:v>No</x:v>
      </x:c>
      <x:c r="R138" s="71" t="n">
        <x:f>COUNTIF('Dependency Edges'!$B$5:$B$700,A138)</x:f>
        <x:v>5</x:v>
      </x:c>
      <x:c r="S138" s="71" t="n">
        <x:f>COUNTIF('Dependency Edges'!$A$5:$A$700,A138)</x:f>
        <x:v>1</x:v>
      </x:c>
      <x:c r="T138" s="49" t="str">
        <x:f>IF(AND(D138&lt;&gt;"Source",R138=0),"MISSING INPUT",IF(AND(Q138&lt;&gt;"Yes",S138=0),"NO DOWNSTREAM","OK"))</x:f>
        <x:v>OK</x:v>
      </x:c>
    </x:row>
    <x:row r="139">
      <x:c r="A139" s="49" t="str">
        <x:v>A-SLED</x:v>
      </x:c>
      <x:c r="B139" s="49" t="str">
        <x:v>Drag sled/travois</x:v>
      </x:c>
      <x:c r="C139" s="49" t="str">
        <x:v>Logistics</x:v>
      </x:c>
      <x:c r="D139" s="49" t="str">
        <x:v>Assembly</x:v>
      </x:c>
      <x:c r="E139" s="49" t="str">
        <x:v>H2</x:v>
      </x:c>
      <x:c r="F139" s="49" t="str">
        <x:v>P-STRAIGHT-POLE; P-CORD; P-MAT</x:v>
      </x:c>
      <x:c r="G139" s="49" t="str">
        <x:v>frame / runner / tow / brake test</x:v>
      </x:c>
      <x:c r="H139" s="49" t="str">
        <x:v>T-AXE</x:v>
      </x:c>
      <x:c r="I139" s="49" t="str">
        <x:v>W-BENCH</x:v>
      </x:c>
      <x:c r="J139" s="49" t="str">
        <x:v>construction / logistics</x:v>
      </x:c>
      <x:c r="K139" s="49" t="str">
        <x:v>strength</x:v>
      </x:c>
      <x:c r="L139" s="71" t="n">
        <x:v>180</x:v>
      </x:c>
      <x:c r="M139" s="71" t="n">
        <x:v>0</x:v>
      </x:c>
      <x:c r="N139" s="49" t="str">
        <x:v>loaded route/stop</x:v>
      </x:c>
      <x:c r="O139" s="49" t="str">
        <x:v>runaway / break</x:v>
      </x:c>
      <x:c r="P139" s="49" t="str"/>
      <x:c r="Q139" s="49" t="str">
        <x:v>No</x:v>
      </x:c>
      <x:c r="R139" s="71" t="n">
        <x:f>COUNTIF('Dependency Edges'!$B$5:$B$700,A139)</x:f>
        <x:v>5</x:v>
      </x:c>
      <x:c r="S139" s="71" t="n">
        <x:f>COUNTIF('Dependency Edges'!$A$5:$A$700,A139)</x:f>
        <x:v>1</x:v>
      </x:c>
      <x:c r="T139" s="49" t="str">
        <x:f>IF(AND(D139&lt;&gt;"Source",R139=0),"MISSING INPUT",IF(AND(Q139&lt;&gt;"Yes",S139=0),"NO DOWNSTREAM","OK"))</x:f>
        <x:v>OK</x:v>
      </x:c>
    </x:row>
    <x:row r="140">
      <x:c r="A140" s="49" t="str">
        <x:v>A-CART</x:v>
      </x:c>
      <x:c r="B140" s="49" t="str">
        <x:v>Handcart</x:v>
      </x:c>
      <x:c r="C140" s="49" t="str">
        <x:v>Logistics</x:v>
      </x:c>
      <x:c r="D140" s="49" t="str">
        <x:v>Assembly</x:v>
      </x:c>
      <x:c r="E140" s="49" t="str">
        <x:v>H4</x:v>
      </x:c>
      <x:c r="F140" s="49" t="str">
        <x:v>P-PLANK; S-BEARING; S-FASTENER; T-DRILL</x:v>
      </x:c>
      <x:c r="G140" s="49" t="str">
        <x:v>frame / axle / wheel / brake / test</x:v>
      </x:c>
      <x:c r="H140" s="49" t="str">
        <x:v>T-MEASURE</x:v>
      </x:c>
      <x:c r="I140" s="49" t="str">
        <x:v>W-BENCH</x:v>
      </x:c>
      <x:c r="J140" s="49" t="str">
        <x:v>mechanics / logistics</x:v>
      </x:c>
      <x:c r="K140" s="49" t="str">
        <x:v>strength + dexterity</x:v>
      </x:c>
      <x:c r="L140" s="71" t="n">
        <x:v>720</x:v>
      </x:c>
      <x:c r="M140" s="71" t="n">
        <x:v>0</x:v>
      </x:c>
      <x:c r="N140" s="49" t="str">
        <x:v>load/turn/slope/stop</x:v>
      </x:c>
      <x:c r="O140" s="49" t="str">
        <x:v>tip / axle fail</x:v>
      </x:c>
      <x:c r="P140" s="49" t="str">
        <x:v>A-SLED</x:v>
      </x:c>
      <x:c r="Q140" s="49" t="str">
        <x:v>Yes</x:v>
      </x:c>
      <x:c r="R140" s="71" t="n">
        <x:f>COUNTIF('Dependency Edges'!$B$5:$B$700,A140)</x:f>
        <x:v>7</x:v>
      </x:c>
      <x:c r="S140" s="71" t="n">
        <x:f>COUNTIF('Dependency Edges'!$A$5:$A$700,A140)</x:f>
        <x:v>0</x:v>
      </x:c>
      <x:c r="T140" s="49" t="str">
        <x:f>IF(AND(D140&lt;&gt;"Source",R140=0),"MISSING INPUT",IF(AND(Q140&lt;&gt;"Yes",S140=0),"NO DOWNSTREAM","OK"))</x:f>
        <x:v>OK</x:v>
      </x:c>
    </x:row>
    <x:row r="141">
      <x:c r="A141" s="49" t="str">
        <x:v>A-TRIPOD</x:v>
      </x:c>
      <x:c r="B141" s="49" t="str">
        <x:v>Tripod/A-frame lift</x:v>
      </x:c>
      <x:c r="C141" s="49" t="str">
        <x:v>Logistics</x:v>
      </x:c>
      <x:c r="D141" s="49" t="str">
        <x:v>Assembly</x:v>
      </x:c>
      <x:c r="E141" s="49" t="str">
        <x:v>H3</x:v>
      </x:c>
      <x:c r="F141" s="49" t="str">
        <x:v>P-STRAIGHT-POLE; P-ROPE; T-MEASURE</x:v>
      </x:c>
      <x:c r="G141" s="49" t="str">
        <x:v>anchor / lash / erect / proof</x:v>
      </x:c>
      <x:c r="H141" s="49" t="str">
        <x:v>T-MEASURE</x:v>
      </x:c>
      <x:c r="I141" s="49" t="str">
        <x:v>lift yard</x:v>
      </x:c>
      <x:c r="J141" s="49" t="str">
        <x:v>rigging</x:v>
      </x:c>
      <x:c r="K141" s="49" t="str">
        <x:v>team + strength</x:v>
      </x:c>
      <x:c r="L141" s="71" t="n">
        <x:v>240</x:v>
      </x:c>
      <x:c r="M141" s="71" t="n">
        <x:v>0</x:v>
      </x:c>
      <x:c r="N141" s="49" t="str">
        <x:v>proof load and exclusion</x:v>
      </x:c>
      <x:c r="O141" s="49" t="str">
        <x:v>collapse / crush</x:v>
      </x:c>
      <x:c r="P141" s="49" t="str"/>
      <x:c r="Q141" s="49" t="str">
        <x:v>No</x:v>
      </x:c>
      <x:c r="R141" s="71" t="n">
        <x:f>COUNTIF('Dependency Edges'!$B$5:$B$700,A141)</x:f>
        <x:v>3</x:v>
      </x:c>
      <x:c r="S141" s="71" t="n">
        <x:f>COUNTIF('Dependency Edges'!$A$5:$A$700,A141)</x:f>
        <x:v>4</x:v>
      </x:c>
      <x:c r="T141" s="49" t="str">
        <x:f>IF(AND(D141&lt;&gt;"Source",R141=0),"MISSING INPUT",IF(AND(Q141&lt;&gt;"Yes",S141=0),"NO DOWNSTREAM","OK"))</x:f>
        <x:v>OK</x:v>
      </x:c>
    </x:row>
    <x:row r="142">
      <x:c r="A142" s="49" t="str">
        <x:v>A-PULLEY</x:v>
      </x:c>
      <x:c r="B142" s="49" t="str">
        <x:v>Pulley/tackle</x:v>
      </x:c>
      <x:c r="C142" s="49" t="str">
        <x:v>Logistics</x:v>
      </x:c>
      <x:c r="D142" s="49" t="str">
        <x:v>Assembly</x:v>
      </x:c>
      <x:c r="E142" s="49" t="str">
        <x:v>H4</x:v>
      </x:c>
      <x:c r="F142" s="49" t="str">
        <x:v>S-BEARING; P-ROPE; A-TRIPOD</x:v>
      </x:c>
      <x:c r="G142" s="49" t="str">
        <x:v>recover / reeve / anchor / brake</x:v>
      </x:c>
      <x:c r="H142" s="49" t="str">
        <x:v>T-PRY</x:v>
      </x:c>
      <x:c r="I142" s="49" t="str">
        <x:v>lift yard</x:v>
      </x:c>
      <x:c r="J142" s="49" t="str">
        <x:v>rigging / mechanics</x:v>
      </x:c>
      <x:c r="K142" s="49" t="str">
        <x:v>strength + dexterity</x:v>
      </x:c>
      <x:c r="L142" s="71" t="n">
        <x:v>240</x:v>
      </x:c>
      <x:c r="M142" s="71" t="n">
        <x:v>0</x:v>
      </x:c>
      <x:c r="N142" s="49" t="str">
        <x:v>controlled raise/lower</x:v>
      </x:c>
      <x:c r="O142" s="49" t="str">
        <x:v>rope/sheave failure</x:v>
      </x:c>
      <x:c r="P142" s="49" t="str"/>
      <x:c r="Q142" s="49" t="str">
        <x:v>No</x:v>
      </x:c>
      <x:c r="R142" s="71" t="n">
        <x:f>COUNTIF('Dependency Edges'!$B$5:$B$700,A142)</x:f>
        <x:v>4</x:v>
      </x:c>
      <x:c r="S142" s="71" t="n">
        <x:f>COUNTIF('Dependency Edges'!$A$5:$A$700,A142)</x:f>
        <x:v>1</x:v>
      </x:c>
      <x:c r="T142" s="49" t="str">
        <x:f>IF(AND(D142&lt;&gt;"Source",R142=0),"MISSING INPUT",IF(AND(Q142&lt;&gt;"Yes",S142=0),"NO DOWNSTREAM","OK"))</x:f>
        <x:v>OK</x:v>
      </x:c>
    </x:row>
    <x:row r="143">
      <x:c r="A143" s="49" t="str">
        <x:v>A-WINCH</x:v>
      </x:c>
      <x:c r="B143" s="49" t="str">
        <x:v>Braked winch/capstan</x:v>
      </x:c>
      <x:c r="C143" s="49" t="str">
        <x:v>Logistics</x:v>
      </x:c>
      <x:c r="D143" s="49" t="str">
        <x:v>Assembly</x:v>
      </x:c>
      <x:c r="E143" s="49" t="str">
        <x:v>H5</x:v>
      </x:c>
      <x:c r="F143" s="49" t="str">
        <x:v>S-BEARING; P-METAL-STOCK; P-ROPE; W-BENCH</x:v>
      </x:c>
      <x:c r="G143" s="49" t="str">
        <x:v>frame / drum / gear / brake / test</x:v>
      </x:c>
      <x:c r="H143" s="49" t="str">
        <x:v>T-HAMMER</x:v>
      </x:c>
      <x:c r="I143" s="49" t="str">
        <x:v>lift yard</x:v>
      </x:c>
      <x:c r="J143" s="49" t="str">
        <x:v>mechanics / rigging</x:v>
      </x:c>
      <x:c r="K143" s="49" t="str">
        <x:v>strength + dexterity</x:v>
      </x:c>
      <x:c r="L143" s="71" t="n">
        <x:v>900</x:v>
      </x:c>
      <x:c r="M143" s="71" t="n">
        <x:v>0</x:v>
      </x:c>
      <x:c r="N143" s="49" t="str">
        <x:v>proof load/brake</x:v>
      </x:c>
      <x:c r="O143" s="49" t="str">
        <x:v>runaway / crush</x:v>
      </x:c>
      <x:c r="P143" s="49" t="str">
        <x:v>A-PULLEY</x:v>
      </x:c>
      <x:c r="Q143" s="49" t="str">
        <x:v>Yes</x:v>
      </x:c>
      <x:c r="R143" s="71" t="n">
        <x:f>COUNTIF('Dependency Edges'!$B$5:$B$700,A143)</x:f>
        <x:v>5</x:v>
      </x:c>
      <x:c r="S143" s="71" t="n">
        <x:f>COUNTIF('Dependency Edges'!$A$5:$A$700,A143)</x:f>
        <x:v>1</x:v>
      </x:c>
      <x:c r="T143" s="49" t="str">
        <x:f>IF(AND(D143&lt;&gt;"Source",R143=0),"MISSING INPUT",IF(AND(Q143&lt;&gt;"Yes",S143=0),"NO DOWNSTREAM","OK"))</x:f>
        <x:v>OK</x:v>
      </x:c>
    </x:row>
    <x:row r="144">
      <x:c r="A144" s="49" t="str">
        <x:v>A-DOCK</x:v>
      </x:c>
      <x:c r="B144" s="49" t="str">
        <x:v>Dock/landing</x:v>
      </x:c>
      <x:c r="C144" s="49" t="str">
        <x:v>Maritime</x:v>
      </x:c>
      <x:c r="D144" s="49" t="str">
        <x:v>Assembly</x:v>
      </x:c>
      <x:c r="E144" s="49" t="str">
        <x:v>H4</x:v>
      </x:c>
      <x:c r="F144" s="49" t="str">
        <x:v>P-STRAIGHT-POLE; P-PLANK; P-ROPE; T-MEASURE</x:v>
      </x:c>
      <x:c r="G144" s="49" t="str">
        <x:v>site / anchor / deck / ladder / test</x:v>
      </x:c>
      <x:c r="H144" s="49" t="str">
        <x:v>T-AXE</x:v>
      </x:c>
      <x:c r="I144" s="49" t="str">
        <x:v>shore</x:v>
      </x:c>
      <x:c r="J144" s="49" t="str">
        <x:v>construction / maritime</x:v>
      </x:c>
      <x:c r="K144" s="49" t="str">
        <x:v>high</x:v>
      </x:c>
      <x:c r="L144" s="71" t="n">
        <x:v>1200</x:v>
      </x:c>
      <x:c r="M144" s="71" t="n">
        <x:v>0</x:v>
      </x:c>
      <x:c r="N144" s="49" t="str">
        <x:v>tide/load/reboard</x:v>
      </x:c>
      <x:c r="O144" s="49" t="str">
        <x:v>collapse / surge</x:v>
      </x:c>
      <x:c r="P144" s="49" t="str"/>
      <x:c r="Q144" s="49" t="str">
        <x:v>Yes</x:v>
      </x:c>
      <x:c r="R144" s="71" t="n">
        <x:f>COUNTIF('Dependency Edges'!$B$5:$B$700,A144)</x:f>
        <x:v>5</x:v>
      </x:c>
      <x:c r="S144" s="71" t="n">
        <x:f>COUNTIF('Dependency Edges'!$A$5:$A$700,A144)</x:f>
        <x:v>2</x:v>
      </x:c>
      <x:c r="T144" s="49" t="str">
        <x:f>IF(AND(D144&lt;&gt;"Source",R144=0),"MISSING INPUT",IF(AND(Q144&lt;&gt;"Yes",S144=0),"NO DOWNSTREAM","OK"))</x:f>
        <x:v>OK</x:v>
      </x:c>
    </x:row>
    <x:row r="145">
      <x:c r="A145" s="49" t="str">
        <x:v>A-FLOAT</x:v>
      </x:c>
      <x:c r="B145" s="49" t="str">
        <x:v>Flotation aid</x:v>
      </x:c>
      <x:c r="C145" s="49" t="str">
        <x:v>Maritime</x:v>
      </x:c>
      <x:c r="D145" s="49" t="str">
        <x:v>Tool</x:v>
      </x:c>
      <x:c r="E145" s="49" t="str">
        <x:v>H1</x:v>
      </x:c>
      <x:c r="F145" s="49" t="str">
        <x:v>S-TIMBER; P-CORD</x:v>
      </x:c>
      <x:c r="G145" s="49" t="str">
        <x:v>bind / grip / release / water test</x:v>
      </x:c>
      <x:c r="H145" s="49" t="str"/>
      <x:c r="I145" s="49" t="str">
        <x:v>shore</x:v>
      </x:c>
      <x:c r="J145" s="49" t="str">
        <x:v>water safety</x:v>
      </x:c>
      <x:c r="K145" s="49" t="str">
        <x:v>moderate</x:v>
      </x:c>
      <x:c r="L145" s="71" t="n">
        <x:v>45</x:v>
      </x:c>
      <x:c r="M145" s="71" t="n">
        <x:v>0</x:v>
      </x:c>
      <x:c r="N145" s="49" t="str">
        <x:v>person-support/release</x:v>
      </x:c>
      <x:c r="O145" s="49" t="str">
        <x:v>entangle / slip</x:v>
      </x:c>
      <x:c r="P145" s="49" t="str"/>
      <x:c r="Q145" s="49" t="str">
        <x:v>No</x:v>
      </x:c>
      <x:c r="R145" s="71" t="n">
        <x:f>COUNTIF('Dependency Edges'!$B$5:$B$700,A145)</x:f>
        <x:v>2</x:v>
      </x:c>
      <x:c r="S145" s="71" t="n">
        <x:f>COUNTIF('Dependency Edges'!$A$5:$A$700,A145)</x:f>
        <x:v>2</x:v>
      </x:c>
      <x:c r="T145" s="49" t="str">
        <x:f>IF(AND(D145&lt;&gt;"Source",R145=0),"MISSING INPUT",IF(AND(Q145&lt;&gt;"Yes",S145=0),"NO DOWNSTREAM","OK"))</x:f>
        <x:v>OK</x:v>
      </x:c>
    </x:row>
    <x:row r="146">
      <x:c r="A146" s="49" t="str">
        <x:v>A-RAFT</x:v>
      </x:c>
      <x:c r="B146" s="49" t="str">
        <x:v>Surface raft</x:v>
      </x:c>
      <x:c r="C146" s="49" t="str">
        <x:v>Maritime</x:v>
      </x:c>
      <x:c r="D146" s="49" t="str">
        <x:v>Assembly</x:v>
      </x:c>
      <x:c r="E146" s="49" t="str">
        <x:v>H3</x:v>
      </x:c>
      <x:c r="F146" s="49" t="str">
        <x:v>P-STRAIGHT-POLE; P-ROPE; P-MAT; A-FLOAT</x:v>
      </x:c>
      <x:c r="G146" s="49" t="str">
        <x:v>bind / deck / trim / paddle / test</x:v>
      </x:c>
      <x:c r="H146" s="49" t="str">
        <x:v>T-AXE</x:v>
      </x:c>
      <x:c r="I146" s="49" t="str">
        <x:v>shore</x:v>
      </x:c>
      <x:c r="J146" s="49" t="str">
        <x:v>boat / rigging</x:v>
      </x:c>
      <x:c r="K146" s="49" t="str">
        <x:v>high</x:v>
      </x:c>
      <x:c r="L146" s="71" t="n">
        <x:v>600</x:v>
      </x:c>
      <x:c r="M146" s="71" t="n">
        <x:v>0</x:v>
      </x:c>
      <x:c r="N146" s="49" t="str">
        <x:v>freeboard/steer/reboard/capsize</x:v>
      </x:c>
      <x:c r="O146" s="49" t="str">
        <x:v>break / drift</x:v>
      </x:c>
      <x:c r="P146" s="49" t="str"/>
      <x:c r="Q146" s="49" t="str">
        <x:v>Yes</x:v>
      </x:c>
      <x:c r="R146" s="71" t="n">
        <x:f>COUNTIF('Dependency Edges'!$B$5:$B$700,A146)</x:f>
        <x:v>5</x:v>
      </x:c>
      <x:c r="S146" s="71" t="n">
        <x:f>COUNTIF('Dependency Edges'!$A$5:$A$700,A146)</x:f>
        <x:v>0</x:v>
      </x:c>
      <x:c r="T146" s="49" t="str">
        <x:f>IF(AND(D146&lt;&gt;"Source",R146=0),"MISSING INPUT",IF(AND(Q146&lt;&gt;"Yes",S146=0),"NO DOWNSTREAM","OK"))</x:f>
        <x:v>OK</x:v>
      </x:c>
    </x:row>
    <x:row r="147">
      <x:c r="A147" s="49" t="str">
        <x:v>A-BOAT-B1</x:v>
      </x:c>
      <x:c r="B147" s="49" t="str">
        <x:v>Secured fishing-boat wreck</x:v>
      </x:c>
      <x:c r="C147" s="49" t="str">
        <x:v>Maritime</x:v>
      </x:c>
      <x:c r="D147" s="49" t="str">
        <x:v>Project</x:v>
      </x:c>
      <x:c r="E147" s="49" t="str">
        <x:v>H2</x:v>
      </x:c>
      <x:c r="F147" s="49" t="str">
        <x:v>S-ENGINE; S-TIMBER; P-ROPE</x:v>
      </x:c>
      <x:c r="G147" s="49" t="str">
        <x:v>secure / survey / drain</x:v>
      </x:c>
      <x:c r="H147" s="49" t="str">
        <x:v>T-PRY</x:v>
      </x:c>
      <x:c r="I147" s="49" t="str">
        <x:v>shore</x:v>
      </x:c>
      <x:c r="J147" s="49" t="str">
        <x:v>salvage / boat</x:v>
      </x:c>
      <x:c r="K147" s="49" t="str">
        <x:v>high</x:v>
      </x:c>
      <x:c r="L147" s="71" t="n">
        <x:v>480</x:v>
      </x:c>
      <x:c r="M147" s="71" t="n">
        <x:v>0</x:v>
      </x:c>
      <x:c r="N147" s="49" t="str">
        <x:v>stable access</x:v>
      </x:c>
      <x:c r="O147" s="49" t="str">
        <x:v>shift / flood</x:v>
      </x:c>
      <x:c r="P147" s="49" t="str"/>
      <x:c r="Q147" s="49" t="str">
        <x:v>No</x:v>
      </x:c>
      <x:c r="R147" s="71" t="n">
        <x:f>COUNTIF('Dependency Edges'!$B$5:$B$700,A147)</x:f>
        <x:v>4</x:v>
      </x:c>
      <x:c r="S147" s="71" t="n">
        <x:f>COUNTIF('Dependency Edges'!$A$5:$A$700,A147)</x:f>
        <x:v>1</x:v>
      </x:c>
      <x:c r="T147" s="49" t="str">
        <x:f>IF(AND(D147&lt;&gt;"Source",R147=0),"MISSING INPUT",IF(AND(Q147&lt;&gt;"Yes",S147=0),"NO DOWNSTREAM","OK"))</x:f>
        <x:v>OK</x:v>
      </x:c>
    </x:row>
    <x:row r="148">
      <x:c r="A148" s="49" t="str">
        <x:v>A-BOAT-B2</x:v>
      </x:c>
      <x:c r="B148" s="49" t="str">
        <x:v>Stabilized boat shell</x:v>
      </x:c>
      <x:c r="C148" s="49" t="str">
        <x:v>Maritime</x:v>
      </x:c>
      <x:c r="D148" s="49" t="str">
        <x:v>Project</x:v>
      </x:c>
      <x:c r="E148" s="49" t="str">
        <x:v>H3</x:v>
      </x:c>
      <x:c r="F148" s="49" t="str">
        <x:v>A-BOAT-B1; A-TRIPOD; P-PLANK</x:v>
      </x:c>
      <x:c r="G148" s="49" t="str">
        <x:v>brace / clean / support / map leaks</x:v>
      </x:c>
      <x:c r="H148" s="49" t="str">
        <x:v>T-MEASURE</x:v>
      </x:c>
      <x:c r="I148" s="49" t="str">
        <x:v>W-BOATYARD</x:v>
      </x:c>
      <x:c r="J148" s="49" t="str">
        <x:v>boat / construction</x:v>
      </x:c>
      <x:c r="K148" s="49" t="str">
        <x:v>high</x:v>
      </x:c>
      <x:c r="L148" s="71" t="n">
        <x:v>1200</x:v>
      </x:c>
      <x:c r="M148" s="71" t="n">
        <x:v>0</x:v>
      </x:c>
      <x:c r="N148" s="49" t="str">
        <x:v>support/leak map</x:v>
      </x:c>
      <x:c r="O148" s="49" t="str">
        <x:v>collapse / rot</x:v>
      </x:c>
      <x:c r="P148" s="49" t="str"/>
      <x:c r="Q148" s="49" t="str">
        <x:v>No</x:v>
      </x:c>
      <x:c r="R148" s="71" t="n">
        <x:f>COUNTIF('Dependency Edges'!$B$5:$B$700,A148)</x:f>
        <x:v>5</x:v>
      </x:c>
      <x:c r="S148" s="71" t="n">
        <x:f>COUNTIF('Dependency Edges'!$A$5:$A$700,A148)</x:f>
        <x:v>1</x:v>
      </x:c>
      <x:c r="T148" s="49" t="str">
        <x:f>IF(AND(D148&lt;&gt;"Source",R148=0),"MISSING INPUT",IF(AND(Q148&lt;&gt;"Yes",S148=0),"NO DOWNSTREAM","OK"))</x:f>
        <x:v>OK</x:v>
      </x:c>
    </x:row>
    <x:row r="149">
      <x:c r="A149" s="49" t="str">
        <x:v>A-BOAT-B3</x:v>
      </x:c>
      <x:c r="B149" s="49" t="str">
        <x:v>Floating/paddled workboat</x:v>
      </x:c>
      <x:c r="C149" s="49" t="str">
        <x:v>Maritime</x:v>
      </x:c>
      <x:c r="D149" s="49" t="str">
        <x:v>Endpoint</x:v>
      </x:c>
      <x:c r="E149" s="49" t="str">
        <x:v>H4</x:v>
      </x:c>
      <x:c r="F149" s="49" t="str">
        <x:v>A-BOAT-B2; P-PITCH; P-PLANK; A-DOCK</x:v>
      </x:c>
      <x:c r="G149" s="49" t="str">
        <x:v>patch / seal / launch / load / paddle</x:v>
      </x:c>
      <x:c r="H149" s="49" t="str">
        <x:v>T-ADZE</x:v>
      </x:c>
      <x:c r="I149" s="49" t="str">
        <x:v>W-BOATYARD</x:v>
      </x:c>
      <x:c r="J149" s="49" t="str">
        <x:v>boat / sealing</x:v>
      </x:c>
      <x:c r="K149" s="49" t="str">
        <x:v>high</x:v>
      </x:c>
      <x:c r="L149" s="71" t="n">
        <x:v>2400</x:v>
      </x:c>
      <x:c r="M149" s="71" t="n">
        <x:v>720</x:v>
      </x:c>
      <x:c r="N149" s="49" t="str">
        <x:v>loaded freeboard/steer/reboard</x:v>
      </x:c>
      <x:c r="O149" s="49" t="str">
        <x:v>leak / capsize</x:v>
      </x:c>
      <x:c r="P149" s="49" t="str">
        <x:v>A-RAFT</x:v>
      </x:c>
      <x:c r="Q149" s="49" t="str">
        <x:v>Yes</x:v>
      </x:c>
      <x:c r="R149" s="71" t="n">
        <x:f>COUNTIF('Dependency Edges'!$B$5:$B$700,A149)</x:f>
        <x:v>6</x:v>
      </x:c>
      <x:c r="S149" s="71" t="n">
        <x:f>COUNTIF('Dependency Edges'!$A$5:$A$700,A149)</x:f>
        <x:v>4</x:v>
      </x:c>
      <x:c r="T149" s="49" t="str">
        <x:f>IF(AND(D149&lt;&gt;"Source",R149=0),"MISSING INPUT",IF(AND(Q149&lt;&gt;"Yes",S149=0),"NO DOWNSTREAM","OK"))</x:f>
        <x:v>OK</x:v>
      </x:c>
    </x:row>
    <x:row r="150">
      <x:c r="A150" s="49" t="str">
        <x:v>A-BOAT-SAIL</x:v>
      </x:c>
      <x:c r="B150" s="49" t="str">
        <x:v>Sail-assisted crossing craft</x:v>
      </x:c>
      <x:c r="C150" s="49" t="str">
        <x:v>Maritime</x:v>
      </x:c>
      <x:c r="D150" s="49" t="str">
        <x:v>Endpoint</x:v>
      </x:c>
      <x:c r="E150" s="49" t="str">
        <x:v>H5</x:v>
      </x:c>
      <x:c r="F150" s="49" t="str">
        <x:v>A-BOAT-B3; S-CANVAS; P-ROPE; P-STRAIGHT-POLE</x:v>
      </x:c>
      <x:c r="G150" s="49" t="str">
        <x:v>mast / rig / sail / reef / steer</x:v>
      </x:c>
      <x:c r="H150" s="49" t="str">
        <x:v>T-MEASURE</x:v>
      </x:c>
      <x:c r="I150" s="49" t="str">
        <x:v>W-BOATYARD</x:v>
      </x:c>
      <x:c r="J150" s="49" t="str">
        <x:v>sailing / rigging</x:v>
      </x:c>
      <x:c r="K150" s="49" t="str">
        <x:v>high</x:v>
      </x:c>
      <x:c r="L150" s="71" t="n">
        <x:v>1800</x:v>
      </x:c>
      <x:c r="M150" s="71" t="n">
        <x:v>0</x:v>
      </x:c>
      <x:c r="N150" s="49" t="str">
        <x:v>sheltered sea-state/abort</x:v>
      </x:c>
      <x:c r="O150" s="49" t="str">
        <x:v>rig fail / capsize</x:v>
      </x:c>
      <x:c r="P150" s="49" t="str">
        <x:v>A-RAFT</x:v>
      </x:c>
      <x:c r="Q150" s="49" t="str">
        <x:v>Yes</x:v>
      </x:c>
      <x:c r="R150" s="71" t="n">
        <x:f>COUNTIF('Dependency Edges'!$B$5:$B$700,A150)</x:f>
        <x:v>6</x:v>
      </x:c>
      <x:c r="S150" s="71" t="n">
        <x:f>COUNTIF('Dependency Edges'!$A$5:$A$700,A150)</x:f>
        <x:v>1</x:v>
      </x:c>
      <x:c r="T150" s="49" t="str">
        <x:f>IF(AND(D150&lt;&gt;"Source",R150=0),"MISSING INPUT",IF(AND(Q150&lt;&gt;"Yes",S150=0),"NO DOWNSTREAM","OK"))</x:f>
        <x:v>OK</x:v>
      </x:c>
    </x:row>
    <x:row r="151">
      <x:c r="A151" s="49" t="str">
        <x:v>A-BOAT-POWER</x:v>
      </x:c>
      <x:c r="B151" s="49" t="str">
        <x:v>Powered expedition boat</x:v>
      </x:c>
      <x:c r="C151" s="49" t="str">
        <x:v>Maritime</x:v>
      </x:c>
      <x:c r="D151" s="49" t="str">
        <x:v>Endpoint</x:v>
      </x:c>
      <x:c r="E151" s="49" t="str">
        <x:v>H5</x:v>
      </x:c>
      <x:c r="F151" s="49" t="str">
        <x:v>A-BOAT-B3; S-ENGINE; A-WINCH; A-PIPE; S-BATTERY</x:v>
      </x:c>
      <x:c r="G151" s="49" t="str">
        <x:v>mount / fuel / cool / wire / control / trial</x:v>
      </x:c>
      <x:c r="H151" s="49" t="str">
        <x:v>T-METER</x:v>
      </x:c>
      <x:c r="I151" s="49" t="str">
        <x:v>W-BOATYARD</x:v>
      </x:c>
      <x:c r="J151" s="49" t="str">
        <x:v>engine / boat / electrical</x:v>
      </x:c>
      <x:c r="K151" s="49" t="str">
        <x:v>high</x:v>
      </x:c>
      <x:c r="L151" s="71" t="n">
        <x:v>4800</x:v>
      </x:c>
      <x:c r="M151" s="71" t="n">
        <x:v>0</x:v>
      </x:c>
      <x:c r="N151" s="49" t="str">
        <x:v>safe start/stop/cooling/sea trial</x:v>
      </x:c>
      <x:c r="O151" s="49" t="str">
        <x:v>fire / seize / propulsion loss</x:v>
      </x:c>
      <x:c r="P151" s="49" t="str">
        <x:v>A-BOAT-SAIL</x:v>
      </x:c>
      <x:c r="Q151" s="49" t="str">
        <x:v>Yes</x:v>
      </x:c>
      <x:c r="R151" s="71" t="n">
        <x:f>COUNTIF('Dependency Edges'!$B$5:$B$700,A151)</x:f>
        <x:v>7</x:v>
      </x:c>
      <x:c r="S151" s="71" t="n">
        <x:f>COUNTIF('Dependency Edges'!$A$5:$A$700,A151)</x:f>
        <x:v>1</x:v>
      </x:c>
      <x:c r="T151" s="49" t="str">
        <x:f>IF(AND(D151&lt;&gt;"Source",R151=0),"MISSING INPUT",IF(AND(Q151&lt;&gt;"Yes",S151=0),"NO DOWNSTREAM","OK"))</x:f>
        <x:v>OK</x:v>
      </x:c>
    </x:row>
    <x:row r="152">
      <x:c r="A152" s="49" t="str">
        <x:v>A-DIVE</x:v>
      </x:c>
      <x:c r="B152" s="49" t="str">
        <x:v>Shore-dive station</x:v>
      </x:c>
      <x:c r="C152" s="49" t="str">
        <x:v>Maritime</x:v>
      </x:c>
      <x:c r="D152" s="49" t="str">
        <x:v>Assembly</x:v>
      </x:c>
      <x:c r="E152" s="49" t="str">
        <x:v>H5</x:v>
      </x:c>
      <x:c r="F152" s="49" t="str">
        <x:v>A-BOAT-B3; P-ROPE; S-RUBBER; A-STRETCHER; A-LAMP</x:v>
      </x:c>
      <x:c r="G152" s="49" t="str">
        <x:v>line / mark / protect / abort / recover</x:v>
      </x:c>
      <x:c r="H152" s="49" t="str">
        <x:v>T-STONE-KNIFE</x:v>
      </x:c>
      <x:c r="I152" s="49" t="str">
        <x:v>shore</x:v>
      </x:c>
      <x:c r="J152" s="49" t="str">
        <x:v>diving / medicine / rigging</x:v>
      </x:c>
      <x:c r="K152" s="49" t="str">
        <x:v>high</x:v>
      </x:c>
      <x:c r="L152" s="71" t="n">
        <x:v>1200</x:v>
      </x:c>
      <x:c r="M152" s="71" t="n">
        <x:v>0</x:v>
      </x:c>
      <x:c r="N152" s="49" t="str">
        <x:v>lost-line/entangle/reboard drill</x:v>
      </x:c>
      <x:c r="O152" s="49" t="str">
        <x:v>drowning / contamination</x:v>
      </x:c>
      <x:c r="P152" s="49" t="str"/>
      <x:c r="Q152" s="49" t="str">
        <x:v>Yes</x:v>
      </x:c>
      <x:c r="R152" s="71" t="n">
        <x:f>COUNTIF('Dependency Edges'!$B$5:$B$700,A152)</x:f>
        <x:v>6</x:v>
      </x:c>
      <x:c r="S152" s="71" t="n">
        <x:f>COUNTIF('Dependency Edges'!$A$5:$A$700,A152)</x:f>
        <x:v>2</x:v>
      </x:c>
      <x:c r="T152" s="49" t="str">
        <x:f>IF(AND(D152&lt;&gt;"Source",R152=0),"MISSING INPUT",IF(AND(Q152&lt;&gt;"Yes",S152=0),"NO DOWNSTREAM","OK"))</x:f>
        <x:v>OK</x:v>
      </x:c>
    </x:row>
    <x:row r="153">
      <x:c r="A153" s="49" t="str">
        <x:v>A-SUB-LIFT</x:v>
      </x:c>
      <x:c r="B153" s="49" t="str">
        <x:v>Submerged lift system</x:v>
      </x:c>
      <x:c r="C153" s="49" t="str">
        <x:v>Maritime</x:v>
      </x:c>
      <x:c r="D153" s="49" t="str">
        <x:v>Assembly</x:v>
      </x:c>
      <x:c r="E153" s="49" t="str">
        <x:v>H5</x:v>
      </x:c>
      <x:c r="F153" s="49" t="str">
        <x:v>A-DIVE; A-PULLEY; S-POLYMER; P-ROPE</x:v>
      </x:c>
      <x:c r="G153" s="49" t="str">
        <x:v>attach / inflate/float / control / recover</x:v>
      </x:c>
      <x:c r="H153" s="49" t="str">
        <x:v>T-MEASURE</x:v>
      </x:c>
      <x:c r="I153" s="49" t="str">
        <x:v>shore</x:v>
      </x:c>
      <x:c r="J153" s="49" t="str">
        <x:v>diving / rigging</x:v>
      </x:c>
      <x:c r="K153" s="49" t="str">
        <x:v>high</x:v>
      </x:c>
      <x:c r="L153" s="71" t="n">
        <x:v>900</x:v>
      </x:c>
      <x:c r="M153" s="71" t="n">
        <x:v>0</x:v>
      </x:c>
      <x:c r="N153" s="49" t="str">
        <x:v>test load/controlled ascent</x:v>
      </x:c>
      <x:c r="O153" s="49" t="str">
        <x:v>runaway / rupture</x:v>
      </x:c>
      <x:c r="P153" s="49" t="str"/>
      <x:c r="Q153" s="49" t="str">
        <x:v>Yes</x:v>
      </x:c>
      <x:c r="R153" s="71" t="n">
        <x:f>COUNTIF('Dependency Edges'!$B$5:$B$700,A153)</x:f>
        <x:v>5</x:v>
      </x:c>
      <x:c r="S153" s="71" t="n">
        <x:f>COUNTIF('Dependency Edges'!$A$5:$A$700,A153)</x:f>
        <x:v>0</x:v>
      </x:c>
      <x:c r="T153" s="49" t="str">
        <x:f>IF(AND(D153&lt;&gt;"Source",R153=0),"MISSING INPUT",IF(AND(Q153&lt;&gt;"Yes",S153=0),"NO DOWNSTREAM","OK"))</x:f>
        <x:v>OK</x:v>
      </x:c>
    </x:row>
    <x:row r="154">
      <x:c r="A154" s="49" t="str">
        <x:v>A-GENERATOR</x:v>
      </x:c>
      <x:c r="B154" s="49" t="str">
        <x:v>Small generator adaptation</x:v>
      </x:c>
      <x:c r="C154" s="49" t="str">
        <x:v>Power</x:v>
      </x:c>
      <x:c r="D154" s="49" t="str">
        <x:v>Assembly</x:v>
      </x:c>
      <x:c r="E154" s="49" t="str">
        <x:v>H5</x:v>
      </x:c>
      <x:c r="F154" s="49" t="str">
        <x:v>S-BEARING; S-WIRE; P-CONDUCTOR; T-METER</x:v>
      </x:c>
      <x:c r="G154" s="49" t="str">
        <x:v>mount / drive / rectify / protect / test</x:v>
      </x:c>
      <x:c r="H154" s="49" t="str">
        <x:v>T-METER</x:v>
      </x:c>
      <x:c r="I154" s="49" t="str">
        <x:v>W-ELECTRICAL</x:v>
      </x:c>
      <x:c r="J154" s="49" t="str">
        <x:v>mechanics / electrical</x:v>
      </x:c>
      <x:c r="K154" s="49" t="str">
        <x:v>moderate</x:v>
      </x:c>
      <x:c r="L154" s="71" t="n">
        <x:v>1200</x:v>
      </x:c>
      <x:c r="M154" s="71" t="n">
        <x:v>0</x:v>
      </x:c>
      <x:c r="N154" s="49" t="str">
        <x:v>output/load/heat</x:v>
      </x:c>
      <x:c r="O154" s="49" t="str">
        <x:v>short / overspeed</x:v>
      </x:c>
      <x:c r="P154" s="49" t="str"/>
      <x:c r="Q154" s="49" t="str">
        <x:v>No</x:v>
      </x:c>
      <x:c r="R154" s="71" t="n">
        <x:f>COUNTIF('Dependency Edges'!$B$5:$B$700,A154)</x:f>
        <x:v>5</x:v>
      </x:c>
      <x:c r="S154" s="71" t="n">
        <x:f>COUNTIF('Dependency Edges'!$A$5:$A$700,A154)</x:f>
        <x:v>2</x:v>
      </x:c>
      <x:c r="T154" s="49" t="str">
        <x:f>IF(AND(D154&lt;&gt;"Source",R154=0),"MISSING INPUT",IF(AND(Q154&lt;&gt;"Yes",S154=0),"NO DOWNSTREAM","OK"))</x:f>
        <x:v>OK</x:v>
      </x:c>
    </x:row>
    <x:row r="155">
      <x:c r="A155" s="49" t="str">
        <x:v>A-BANK</x:v>
      </x:c>
      <x:c r="B155" s="49" t="str">
        <x:v>Protected battery bank</x:v>
      </x:c>
      <x:c r="C155" s="49" t="str">
        <x:v>Power</x:v>
      </x:c>
      <x:c r="D155" s="49" t="str">
        <x:v>Assembly</x:v>
      </x:c>
      <x:c r="E155" s="49" t="str">
        <x:v>H5</x:v>
      </x:c>
      <x:c r="F155" s="49" t="str">
        <x:v>S-BATTERY; P-CONDUCTOR; S-WIRE; T-METER</x:v>
      </x:c>
      <x:c r="G155" s="49" t="str">
        <x:v>inspect / match / fuse / vent / test</x:v>
      </x:c>
      <x:c r="H155" s="49" t="str">
        <x:v>T-METER</x:v>
      </x:c>
      <x:c r="I155" s="49" t="str">
        <x:v>W-ELECTRICAL</x:v>
      </x:c>
      <x:c r="J155" s="49" t="str">
        <x:v>electrical</x:v>
      </x:c>
      <x:c r="K155" s="49" t="str">
        <x:v>dexterity</x:v>
      </x:c>
      <x:c r="L155" s="71" t="n">
        <x:v>900</x:v>
      </x:c>
      <x:c r="M155" s="71" t="n">
        <x:v>0</x:v>
      </x:c>
      <x:c r="N155" s="49" t="str">
        <x:v>capacity/fault/thermal</x:v>
      </x:c>
      <x:c r="O155" s="49" t="str">
        <x:v>fire / mismatch</x:v>
      </x:c>
      <x:c r="P155" s="49" t="str"/>
      <x:c r="Q155" s="49" t="str">
        <x:v>No</x:v>
      </x:c>
      <x:c r="R155" s="71" t="n">
        <x:f>COUNTIF('Dependency Edges'!$B$5:$B$700,A155)</x:f>
        <x:v>5</x:v>
      </x:c>
      <x:c r="S155" s="71" t="n">
        <x:f>COUNTIF('Dependency Edges'!$A$5:$A$700,A155)</x:f>
        <x:v>1</x:v>
      </x:c>
      <x:c r="T155" s="49" t="str">
        <x:f>IF(AND(D155&lt;&gt;"Source",R155=0),"MISSING INPUT",IF(AND(Q155&lt;&gt;"Yes",S155=0),"NO DOWNSTREAM","OK"))</x:f>
        <x:v>OK</x:v>
      </x:c>
    </x:row>
    <x:row r="156">
      <x:c r="A156" s="49" t="str">
        <x:v>A-GRID</x:v>
      </x:c>
      <x:c r="B156" s="49" t="str">
        <x:v>Camp microgrid</x:v>
      </x:c>
      <x:c r="C156" s="49" t="str">
        <x:v>Power</x:v>
      </x:c>
      <x:c r="D156" s="49" t="str">
        <x:v>Endpoint</x:v>
      </x:c>
      <x:c r="E156" s="49" t="str">
        <x:v>H5</x:v>
      </x:c>
      <x:c r="F156" s="49" t="str">
        <x:v>A-GENERATOR; A-BANK; P-CONDUCTOR; A-LAMP</x:v>
      </x:c>
      <x:c r="G156" s="49" t="str">
        <x:v>route / protect / isolate / load test</x:v>
      </x:c>
      <x:c r="H156" s="49" t="str">
        <x:v>T-METER</x:v>
      </x:c>
      <x:c r="I156" s="49" t="str">
        <x:v>working home</x:v>
      </x:c>
      <x:c r="J156" s="49" t="str">
        <x:v>electrical / governance</x:v>
      </x:c>
      <x:c r="K156" s="49" t="str">
        <x:v>moderate</x:v>
      </x:c>
      <x:c r="L156" s="71" t="n">
        <x:v>1800</x:v>
      </x:c>
      <x:c r="M156" s="71" t="n">
        <x:v>0</x:v>
      </x:c>
      <x:c r="N156" s="49" t="str">
        <x:v>fault/load/wet weather</x:v>
      </x:c>
      <x:c r="O156" s="49" t="str">
        <x:v>fire / sabotage</x:v>
      </x:c>
      <x:c r="P156" s="49" t="str"/>
      <x:c r="Q156" s="49" t="str">
        <x:v>Yes</x:v>
      </x:c>
      <x:c r="R156" s="71" t="n">
        <x:f>COUNTIF('Dependency Edges'!$B$5:$B$700,A156)</x:f>
        <x:v>5</x:v>
      </x:c>
      <x:c r="S156" s="71" t="n">
        <x:f>COUNTIF('Dependency Edges'!$A$5:$A$700,A156)</x:f>
        <x:v>3</x:v>
      </x:c>
      <x:c r="T156" s="49" t="str">
        <x:f>IF(AND(D156&lt;&gt;"Source",R156=0),"MISSING INPUT",IF(AND(Q156&lt;&gt;"Yes",S156=0),"NO DOWNSTREAM","OK"))</x:f>
        <x:v>OK</x:v>
      </x:c>
    </x:row>
    <x:row r="157">
      <x:c r="A157" s="49" t="str">
        <x:v>A-RECEIVER</x:v>
      </x:c>
      <x:c r="B157" s="49" t="str">
        <x:v>Radio listening post</x:v>
      </x:c>
      <x:c r="C157" s="49" t="str">
        <x:v>Signal</x:v>
      </x:c>
      <x:c r="D157" s="49" t="str">
        <x:v>Assembly</x:v>
      </x:c>
      <x:c r="E157" s="49" t="str">
        <x:v>H4</x:v>
      </x:c>
      <x:c r="F157" s="49" t="str">
        <x:v>S-RADIO; S-BATTERY; S-WIRE; A-ROOF</x:v>
      </x:c>
      <x:c r="G157" s="49" t="str">
        <x:v>dry / power / tune / log</x:v>
      </x:c>
      <x:c r="H157" s="49" t="str">
        <x:v>T-METER</x:v>
      </x:c>
      <x:c r="I157" s="49" t="str">
        <x:v>working home</x:v>
      </x:c>
      <x:c r="J157" s="49" t="str">
        <x:v>radio / observation</x:v>
      </x:c>
      <x:c r="K157" s="49" t="str">
        <x:v>low</x:v>
      </x:c>
      <x:c r="L157" s="71" t="n">
        <x:v>240</x:v>
      </x:c>
      <x:c r="M157" s="71" t="n">
        <x:v>0</x:v>
      </x:c>
      <x:c r="N157" s="49" t="str">
        <x:v>repeatable reception</x:v>
      </x:c>
      <x:c r="O157" s="49" t="str">
        <x:v>drift / corrosion</x:v>
      </x:c>
      <x:c r="P157" s="49" t="str"/>
      <x:c r="Q157" s="49" t="str">
        <x:v>No</x:v>
      </x:c>
      <x:c r="R157" s="71" t="n">
        <x:f>COUNTIF('Dependency Edges'!$B$5:$B$700,A157)</x:f>
        <x:v>5</x:v>
      </x:c>
      <x:c r="S157" s="71" t="n">
        <x:f>COUNTIF('Dependency Edges'!$A$5:$A$700,A157)</x:f>
        <x:v>2</x:v>
      </x:c>
      <x:c r="T157" s="49" t="str">
        <x:f>IF(AND(D157&lt;&gt;"Source",R157=0),"MISSING INPUT",IF(AND(Q157&lt;&gt;"Yes",S157=0),"NO DOWNSTREAM","OK"))</x:f>
        <x:v>OK</x:v>
      </x:c>
    </x:row>
    <x:row r="158">
      <x:c r="A158" s="49" t="str">
        <x:v>A-ANTENNA</x:v>
      </x:c>
      <x:c r="B158" s="49" t="str">
        <x:v>Directional antenna</x:v>
      </x:c>
      <x:c r="C158" s="49" t="str">
        <x:v>Signal</x:v>
      </x:c>
      <x:c r="D158" s="49" t="str">
        <x:v>Assembly</x:v>
      </x:c>
      <x:c r="E158" s="49" t="str">
        <x:v>H5</x:v>
      </x:c>
      <x:c r="F158" s="49" t="str">
        <x:v>P-CONDUCTOR; P-STRAIGHT-POLE; S-GLASS; T-MEASURE</x:v>
      </x:c>
      <x:c r="G158" s="49" t="str">
        <x:v>layout / insulate / raise / compare</x:v>
      </x:c>
      <x:c r="H158" s="49" t="str">
        <x:v>T-MEASURE</x:v>
      </x:c>
      <x:c r="I158" s="49" t="str">
        <x:v>signal site</x:v>
      </x:c>
      <x:c r="J158" s="49" t="str">
        <x:v>radio / navigation</x:v>
      </x:c>
      <x:c r="K158" s="49" t="str">
        <x:v>high</x:v>
      </x:c>
      <x:c r="L158" s="71" t="n">
        <x:v>600</x:v>
      </x:c>
      <x:c r="M158" s="71" t="n">
        <x:v>0</x:v>
      </x:c>
      <x:c r="N158" s="49" t="str">
        <x:v>bearing/gain comparison</x:v>
      </x:c>
      <x:c r="O158" s="49" t="str">
        <x:v>collapse / mismatch</x:v>
      </x:c>
      <x:c r="P158" s="49" t="str"/>
      <x:c r="Q158" s="49" t="str">
        <x:v>No</x:v>
      </x:c>
      <x:c r="R158" s="71" t="n">
        <x:f>COUNTIF('Dependency Edges'!$B$5:$B$700,A158)</x:f>
        <x:v>4</x:v>
      </x:c>
      <x:c r="S158" s="71" t="n">
        <x:f>COUNTIF('Dependency Edges'!$A$5:$A$700,A158)</x:f>
        <x:v>1</x:v>
      </x:c>
      <x:c r="T158" s="49" t="str">
        <x:f>IF(AND(D158&lt;&gt;"Source",R158=0),"MISSING INPUT",IF(AND(Q158&lt;&gt;"Yes",S158=0),"NO DOWNSTREAM","OK"))</x:f>
        <x:v>OK</x:v>
      </x:c>
    </x:row>
    <x:row r="159">
      <x:c r="A159" s="49" t="str">
        <x:v>A-TRANSMITTER</x:v>
      </x:c>
      <x:c r="B159" s="49" t="str">
        <x:v>Authenticated transmitter</x:v>
      </x:c>
      <x:c r="C159" s="49" t="str">
        <x:v>Signal</x:v>
      </x:c>
      <x:c r="D159" s="49" t="str">
        <x:v>Endpoint</x:v>
      </x:c>
      <x:c r="E159" s="49" t="str">
        <x:v>H6</x:v>
      </x:c>
      <x:c r="F159" s="49" t="str">
        <x:v>A-RECEIVER; A-ANTENNA; A-GRID; W-ARCHIVE</x:v>
      </x:c>
      <x:c r="G159" s="49" t="str">
        <x:v>repair / match / schedule / authenticate / test</x:v>
      </x:c>
      <x:c r="H159" s="49" t="str">
        <x:v>T-METER</x:v>
      </x:c>
      <x:c r="I159" s="49" t="str">
        <x:v>signal site</x:v>
      </x:c>
      <x:c r="J159" s="49" t="str">
        <x:v>radio / evidence</x:v>
      </x:c>
      <x:c r="K159" s="49" t="str">
        <x:v>high</x:v>
      </x:c>
      <x:c r="L159" s="71" t="n">
        <x:v>2400</x:v>
      </x:c>
      <x:c r="M159" s="71" t="n">
        <x:v>0</x:v>
      </x:c>
      <x:c r="N159" s="49" t="str">
        <x:v>acknowledged contact</x:v>
      </x:c>
      <x:c r="O159" s="49" t="str">
        <x:v>overheat / false claim</x:v>
      </x:c>
      <x:c r="P159" s="49" t="str"/>
      <x:c r="Q159" s="49" t="str">
        <x:v>Yes</x:v>
      </x:c>
      <x:c r="R159" s="71" t="n">
        <x:f>COUNTIF('Dependency Edges'!$B$5:$B$700,A159)</x:f>
        <x:v>5</x:v>
      </x:c>
      <x:c r="S159" s="71" t="n">
        <x:f>COUNTIF('Dependency Edges'!$A$5:$A$700,A159)</x:f>
        <x:v>2</x:v>
      </x:c>
      <x:c r="T159" s="49" t="str">
        <x:f>IF(AND(D159&lt;&gt;"Source",R159=0),"MISSING INPUT",IF(AND(Q159&lt;&gt;"Yes",S159=0),"NO DOWNSTREAM","OK"))</x:f>
        <x:v>OK</x:v>
      </x:c>
    </x:row>
    <x:row r="160">
      <x:c r="A160" s="49" t="str">
        <x:v>A-BEACON</x:v>
      </x:c>
      <x:c r="B160" s="49" t="str">
        <x:v>Borrowed Signal rescue beacon</x:v>
      </x:c>
      <x:c r="C160" s="49" t="str">
        <x:v>Return</x:v>
      </x:c>
      <x:c r="D160" s="49" t="str">
        <x:v>Endpoint</x:v>
      </x:c>
      <x:c r="E160" s="49" t="str">
        <x:v>H7</x:v>
      </x:c>
      <x:c r="F160" s="49" t="str">
        <x:v>A-TRANSMITTER; A-BOAT-B3; W-ARCHIVE; A-LAMP</x:v>
      </x:c>
      <x:c r="G160" s="49" t="str">
        <x:v>deploy / power / transmit / verify / recover</x:v>
      </x:c>
      <x:c r="H160" s="49" t="str">
        <x:v>T-METER</x:v>
      </x:c>
      <x:c r="I160" s="49" t="str">
        <x:v>expedition site</x:v>
      </x:c>
      <x:c r="J160" s="49" t="str">
        <x:v>radio / navigation / story</x:v>
      </x:c>
      <x:c r="K160" s="49" t="str">
        <x:v>high</x:v>
      </x:c>
      <x:c r="L160" s="71" t="n">
        <x:v>1800</x:v>
      </x:c>
      <x:c r="M160" s="71" t="n">
        <x:v>0</x:v>
      </x:c>
      <x:c r="N160" s="49" t="str">
        <x:v>detection/acknowledgment/rendezvous</x:v>
      </x:c>
      <x:c r="O160" s="49" t="str">
        <x:v>missed window / power</x:v>
      </x:c>
      <x:c r="P160" s="49" t="str"/>
      <x:c r="Q160" s="49" t="str">
        <x:v>Yes</x:v>
      </x:c>
      <x:c r="R160" s="71" t="n">
        <x:f>COUNTIF('Dependency Edges'!$B$5:$B$700,A160)</x:f>
        <x:v>5</x:v>
      </x:c>
      <x:c r="S160" s="71" t="n">
        <x:f>COUNTIF('Dependency Edges'!$A$5:$A$700,A160)</x:f>
        <x:v>0</x:v>
      </x:c>
      <x:c r="T160" s="49" t="str">
        <x:f>IF(AND(D160&lt;&gt;"Source",R160=0),"MISSING INPUT",IF(AND(Q160&lt;&gt;"Yes",S160=0),"NO DOWNSTREAM","OK"))</x:f>
        <x:v>OK</x:v>
      </x:c>
    </x:row>
    <x:row r="161">
      <x:c r="A161" s="49" t="str">
        <x:v>A-RETURN-CRAFT</x:v>
      </x:c>
      <x:c r="B161" s="49" t="str">
        <x:v>Direct-return vessel</x:v>
      </x:c>
      <x:c r="C161" s="49" t="str">
        <x:v>Return</x:v>
      </x:c>
      <x:c r="D161" s="49" t="str">
        <x:v>Endpoint</x:v>
      </x:c>
      <x:c r="E161" s="49" t="str">
        <x:v>H7</x:v>
      </x:c>
      <x:c r="F161" s="49" t="str">
        <x:v>A-BOAT-SAIL; A-BOAT-POWER; A-FOOD-STORE; A-CISTERN; W-ARCHIVE</x:v>
      </x:c>
      <x:c r="G161" s="49" t="str">
        <x:v>provision / trial / navigate / repair / cross</x:v>
      </x:c>
      <x:c r="H161" s="49" t="str"/>
      <x:c r="I161" s="49" t="str">
        <x:v>W-BOATYARD</x:v>
      </x:c>
      <x:c r="J161" s="49" t="str">
        <x:v>maritime / navigation / logistics</x:v>
      </x:c>
      <x:c r="K161" s="49" t="str">
        <x:v>very high</x:v>
      </x:c>
      <x:c r="L161" s="71" t="n">
        <x:v>6000</x:v>
      </x:c>
      <x:c r="M161" s="71" t="n">
        <x:v>0</x:v>
      </x:c>
      <x:c r="N161" s="49" t="str">
        <x:v>range/sea-state/fallback</x:v>
      </x:c>
      <x:c r="O161" s="49" t="str">
        <x:v>loss at sea</x:v>
      </x:c>
      <x:c r="P161" s="49" t="str">
        <x:v>A-BEACON</x:v>
      </x:c>
      <x:c r="Q161" s="49" t="str">
        <x:v>Yes</x:v>
      </x:c>
      <x:c r="R161" s="71" t="n">
        <x:f>COUNTIF('Dependency Edges'!$B$5:$B$700,A161)</x:f>
        <x:v>6</x:v>
      </x:c>
      <x:c r="S161" s="71" t="n">
        <x:f>COUNTIF('Dependency Edges'!$A$5:$A$700,A161)</x:f>
        <x:v>0</x:v>
      </x:c>
      <x:c r="T161" s="49" t="str">
        <x:f>IF(AND(D161&lt;&gt;"Source",R161=0),"MISSING INPUT",IF(AND(Q161&lt;&gt;"Yes",S161=0),"NO DOWNSTREAM","OK"))</x:f>
        <x:v>OK</x:v>
      </x:c>
    </x:row>
    <x:row r="162">
      <x:c r="A162" s="49" t="str">
        <x:v>A-ARRIVAL</x:v>
      </x:c>
      <x:c r="B162" s="49" t="str">
        <x:v>Arrival Station</x:v>
      </x:c>
      <x:c r="C162" s="49" t="str">
        <x:v>Legacy</x:v>
      </x:c>
      <x:c r="D162" s="49" t="str">
        <x:v>Endpoint</x:v>
      </x:c>
      <x:c r="E162" s="49" t="str">
        <x:v>H6</x:v>
      </x:c>
      <x:c r="F162" s="49" t="str">
        <x:v>A-REFUGE; C-COVERED-STORE; A-FOOD-STORE; W-CLEAN; W-ARCHIVE</x:v>
      </x:c>
      <x:c r="G162" s="49" t="str">
        <x:v>stock / label / maintain / test</x:v>
      </x:c>
      <x:c r="H162" s="49" t="str"/>
      <x:c r="I162" s="49" t="str">
        <x:v>legacy home</x:v>
      </x:c>
      <x:c r="J162" s="49" t="str">
        <x:v>care / logistics / archive</x:v>
      </x:c>
      <x:c r="K162" s="49" t="str">
        <x:v>moderate</x:v>
      </x:c>
      <x:c r="L162" s="71" t="n">
        <x:v>1200</x:v>
      </x:c>
      <x:c r="M162" s="71" t="n">
        <x:v>0</x:v>
      </x:c>
      <x:c r="N162" s="49" t="str">
        <x:v>new-castaway stabilization drill</x:v>
      </x:c>
      <x:c r="O162" s="49" t="str">
        <x:v>stale / inaccessible</x:v>
      </x:c>
      <x:c r="P162" s="49" t="str"/>
      <x:c r="Q162" s="49" t="str">
        <x:v>Yes</x:v>
      </x:c>
      <x:c r="R162" s="71" t="n">
        <x:f>COUNTIF('Dependency Edges'!$B$5:$B$700,A162)</x:f>
        <x:v>6</x:v>
      </x:c>
      <x:c r="S162" s="71" t="n">
        <x:f>COUNTIF('Dependency Edges'!$A$5:$A$700,A162)</x:f>
        <x:v>1</x:v>
      </x:c>
      <x:c r="T162" s="49" t="str">
        <x:f>IF(AND(D162&lt;&gt;"Source",R162=0),"MISSING INPUT",IF(AND(Q162&lt;&gt;"Yes",S162=0),"NO DOWNSTREAM","OK"))</x:f>
        <x:v>OK</x:v>
      </x:c>
    </x:row>
    <x:row r="163">
      <x:c r="A163" s="50" t="str">
        <x:v>A-TRIANGLE</x:v>
      </x:c>
      <x:c r="B163" s="50" t="str">
        <x:v>Triangle investigation apparatus</x:v>
      </x:c>
      <x:c r="C163" s="50" t="str">
        <x:v>Anomaly</x:v>
      </x:c>
      <x:c r="D163" s="50" t="str">
        <x:v>Endpoint</x:v>
      </x:c>
      <x:c r="E163" s="50" t="str">
        <x:v>H7</x:v>
      </x:c>
      <x:c r="F163" s="50" t="str">
        <x:v>S-ANOMALY; A-GRID; A-TRANSMITTER; W-ARCHIVE</x:v>
      </x:c>
      <x:c r="G163" s="50" t="str">
        <x:v>compare / shield / remote test / record</x:v>
      </x:c>
      <x:c r="H163" s="50" t="str">
        <x:v>T-METER</x:v>
      </x:c>
      <x:c r="I163" s="50" t="str">
        <x:v>isolated test site</x:v>
      </x:c>
      <x:c r="J163" s="50" t="str">
        <x:v>normal systems + anomaly</x:v>
      </x:c>
      <x:c r="K163" s="50" t="str">
        <x:v>high</x:v>
      </x:c>
      <x:c r="L163" s="72" t="n">
        <x:v>3600</x:v>
      </x:c>
      <x:c r="M163" s="72" t="n">
        <x:v>0</x:v>
      </x:c>
      <x:c r="N163" s="50" t="str">
        <x:v>reversible truth-ledger test</x:v>
      </x:c>
      <x:c r="O163" s="50" t="str">
        <x:v>instability / false model</x:v>
      </x:c>
      <x:c r="P163" s="50" t="str"/>
      <x:c r="Q163" s="50" t="str">
        <x:v>Yes</x:v>
      </x:c>
      <x:c r="R163" s="72" t="n">
        <x:f>COUNTIF('Dependency Edges'!$B$5:$B$700,A163)</x:f>
        <x:v>5</x:v>
      </x:c>
      <x:c r="S163" s="72" t="n">
        <x:f>COUNTIF('Dependency Edges'!$A$5:$A$700,A163)</x:f>
        <x:v>0</x:v>
      </x:c>
      <x:c r="T163" s="50" t="str">
        <x:f>IF(AND(D163&lt;&gt;"Source",R163=0),"MISSING INPUT",IF(AND(Q163&lt;&gt;"Yes",S163=0),"NO DOWNSTREAM","OK"))</x:f>
        <x:v>OK</x:v>
      </x:c>
    </x:row>
    <x:row r="164">
      <x:c r="A164" s="83" t="str">
        <x:v>S-COIR</x:v>
      </x:c>
      <x:c r="B164" s="83" t="str">
        <x:v>Coir/coconut husk fiber</x:v>
      </x:c>
      <x:c r="C164" s="83" t="str">
        <x:v>Fiber</x:v>
      </x:c>
      <x:c r="D164" s="83" t="str">
        <x:v>Source</x:v>
      </x:c>
      <x:c r="E164" s="83" t="str">
        <x:v>H0</x:v>
      </x:c>
      <x:c r="F164" s="83"/>
      <x:c r="G164" s="83" t="str">
        <x:v>identify / harvest / recover</x:v>
      </x:c>
      <x:c r="H164" s="83" t="str">
        <x:v>cutter</x:v>
      </x:c>
      <x:c r="I164" s="83" t="str">
        <x:v>world</x:v>
      </x:c>
      <x:c r="J164" s="83" t="str">
        <x:v>plant and fiber identification</x:v>
      </x:c>
      <x:c r="K164" s="83" t="str">
        <x:v>light–moderate</x:v>
      </x:c>
      <x:c r="L164" s="83" t="n">
        <x:v>10</x:v>
      </x:c>
      <x:c r="M164" s="83" t="n">
        <x:v>0</x:v>
      </x:c>
      <x:c r="N164" s="83" t="str">
        <x:v>source and contamination evidence</x:v>
      </x:c>
      <x:c r="O164" s="83" t="str">
        <x:v>wrong source / contaminated</x:v>
      </x:c>
      <x:c r="P164" s="83" t="str">
        <x:v>salvaged rope</x:v>
      </x:c>
      <x:c r="Q164" s="83" t="str">
        <x:v>No</x:v>
      </x:c>
      <x:c r="R164" s="83" t="n">
        <x:f>COUNTIF('Dependency Edges'!$B$5:$B$700,A164)</x:f>
        <x:v>0</x:v>
      </x:c>
      <x:c r="S164" s="83" t="n">
        <x:f>COUNTIF('Dependency Edges'!$A$5:$A$700,A164)</x:f>
        <x:v>1</x:v>
      </x:c>
      <x:c r="T164" s="83" t="str">
        <x:f>IF(AND(D164&lt;&gt;"Source",R164=0),"MISSING INPUT",IF(AND(Q164&lt;&gt;"Yes",S164=0),"NO DOWNSTREAM","OK"))</x:f>
        <x:v>OK</x:v>
      </x:c>
    </x:row>
    <x:row r="165">
      <x:c r="A165" s="83" t="str">
        <x:v>S-LEAF-FIBER</x:v>
      </x:c>
      <x:c r="B165" s="83" t="str">
        <x:v>Leaf-fiber plant</x:v>
      </x:c>
      <x:c r="C165" s="83" t="str">
        <x:v>Fiber</x:v>
      </x:c>
      <x:c r="D165" s="83" t="str">
        <x:v>Source</x:v>
      </x:c>
      <x:c r="E165" s="83" t="str">
        <x:v>H0</x:v>
      </x:c>
      <x:c r="F165" s="83"/>
      <x:c r="G165" s="83" t="str">
        <x:v>identify / harvest</x:v>
      </x:c>
      <x:c r="H165" s="83" t="str">
        <x:v>cutter</x:v>
      </x:c>
      <x:c r="I165" s="83" t="str">
        <x:v>world</x:v>
      </x:c>
      <x:c r="J165" s="83" t="str">
        <x:v>plant identification</x:v>
      </x:c>
      <x:c r="K165" s="83" t="str">
        <x:v>moderate</x:v>
      </x:c>
      <x:c r="L165" s="83" t="n">
        <x:v>20</x:v>
      </x:c>
      <x:c r="M165" s="83" t="n">
        <x:v>0</x:v>
      </x:c>
      <x:c r="N165" s="83" t="str">
        <x:v>fiber extraction sample</x:v>
      </x:c>
      <x:c r="O165" s="83" t="str">
        <x:v>irritant / weak / overharvest</x:v>
      </x:c>
      <x:c r="P165" s="83" t="str">
        <x:v>coir</x:v>
      </x:c>
      <x:c r="Q165" s="83" t="str">
        <x:v>No</x:v>
      </x:c>
      <x:c r="R165" s="83" t="n">
        <x:f>COUNTIF('Dependency Edges'!$B$5:$B$700,A165)</x:f>
        <x:v>0</x:v>
      </x:c>
      <x:c r="S165" s="83" t="n">
        <x:f>COUNTIF('Dependency Edges'!$A$5:$A$700,A165)</x:f>
        <x:v>1</x:v>
      </x:c>
      <x:c r="T165" s="83" t="str">
        <x:f>IF(AND(D165&lt;&gt;"Source",R165=0),"MISSING INPUT",IF(AND(Q165&lt;&gt;"Yes",S165=0),"NO DOWNSTREAM","OK"))</x:f>
        <x:v>OK</x:v>
      </x:c>
    </x:row>
    <x:row r="166">
      <x:c r="A166" s="83" t="str">
        <x:v>S-BAST-FIBER</x:v>
      </x:c>
      <x:c r="B166" s="83" t="str">
        <x:v>Bast/stem-fiber plant</x:v>
      </x:c>
      <x:c r="C166" s="83" t="str">
        <x:v>Fiber</x:v>
      </x:c>
      <x:c r="D166" s="83" t="str">
        <x:v>Source</x:v>
      </x:c>
      <x:c r="E166" s="83" t="str">
        <x:v>H1</x:v>
      </x:c>
      <x:c r="F166" s="83"/>
      <x:c r="G166" s="83" t="str">
        <x:v>identify / strip / rett</x:v>
      </x:c>
      <x:c r="H166" s="83" t="str">
        <x:v>cutter / scraper</x:v>
      </x:c>
      <x:c r="I166" s="83" t="str">
        <x:v>water-separated processing</x:v>
      </x:c>
      <x:c r="J166" s="83" t="str">
        <x:v>plant + retting</x:v>
      </x:c>
      <x:c r="K166" s="83" t="str">
        <x:v>moderate</x:v>
      </x:c>
      <x:c r="L166" s="83" t="n">
        <x:v>30</x:v>
      </x:c>
      <x:c r="M166" s="83" t="n">
        <x:v>1440</x:v>
      </x:c>
      <x:c r="N166" s="83" t="str">
        <x:v>long clean fiber sample</x:v>
      </x:c>
      <x:c r="O166" s="83" t="str">
        <x:v>rot / water pollution</x:v>
      </x:c>
      <x:c r="P166" s="83" t="str">
        <x:v>leaf fiber</x:v>
      </x:c>
      <x:c r="Q166" s="83" t="str">
        <x:v>No</x:v>
      </x:c>
      <x:c r="R166" s="83" t="n">
        <x:f>COUNTIF('Dependency Edges'!$B$5:$B$700,A166)</x:f>
        <x:v>0</x:v>
      </x:c>
      <x:c r="S166" s="83" t="n">
        <x:f>COUNTIF('Dependency Edges'!$A$5:$A$700,A166)</x:f>
        <x:v>1</x:v>
      </x:c>
      <x:c r="T166" s="83" t="str">
        <x:f>IF(AND(D166&lt;&gt;"Source",R166=0),"MISSING INPUT",IF(AND(Q166&lt;&gt;"Yes",S166=0),"NO DOWNSTREAM","OK"))</x:f>
        <x:v>OK</x:v>
      </x:c>
    </x:row>
    <x:row r="167">
      <x:c r="A167" s="83" t="str">
        <x:v>S-SALV-TEXTILE</x:v>
      </x:c>
      <x:c r="B167" s="83" t="str">
        <x:v>Salvaged textile/webbing</x:v>
      </x:c>
      <x:c r="C167" s="83" t="str">
        <x:v>Salvage</x:v>
      </x:c>
      <x:c r="D167" s="83" t="str">
        <x:v>Source</x:v>
      </x:c>
      <x:c r="E167" s="83" t="str">
        <x:v>H0</x:v>
      </x:c>
      <x:c r="F167" s="83"/>
      <x:c r="G167" s="83" t="str">
        <x:v>recover / quarantine / clean</x:v>
      </x:c>
      <x:c r="H167" s="83" t="str">
        <x:v>cutter</x:v>
      </x:c>
      <x:c r="I167" s="83" t="str">
        <x:v>quarantine</x:v>
      </x:c>
      <x:c r="J167" s="83" t="str">
        <x:v>provenance and textile inspection</x:v>
      </x:c>
      <x:c r="K167" s="83" t="str">
        <x:v>variable</x:v>
      </x:c>
      <x:c r="L167" s="83" t="n">
        <x:v>15</x:v>
      </x:c>
      <x:c r="M167" s="83" t="n">
        <x:v>120</x:v>
      </x:c>
      <x:c r="N167" s="83" t="str">
        <x:v>odor / mold / wet-load inspection</x:v>
      </x:c>
      <x:c r="O167" s="83" t="str">
        <x:v>fuel / mold / UV damage</x:v>
      </x:c>
      <x:c r="P167" s="83" t="str">
        <x:v>natural fiber</x:v>
      </x:c>
      <x:c r="Q167" s="83" t="str">
        <x:v>No</x:v>
      </x:c>
      <x:c r="R167" s="83" t="n">
        <x:f>COUNTIF('Dependency Edges'!$B$5:$B$700,A167)</x:f>
        <x:v>0</x:v>
      </x:c>
      <x:c r="S167" s="83" t="n">
        <x:f>COUNTIF('Dependency Edges'!$A$5:$A$700,A167)</x:f>
        <x:v>1</x:v>
      </x:c>
      <x:c r="T167" s="83" t="str">
        <x:f>IF(AND(D167&lt;&gt;"Source",R167=0),"MISSING INPUT",IF(AND(Q167&lt;&gt;"Yes",S167=0),"NO DOWNSTREAM","OK"))</x:f>
        <x:v>OK</x:v>
      </x:c>
    </x:row>
    <x:row r="168">
      <x:c r="A168" s="83" t="str">
        <x:v>S-MIXED-SCRAP</x:v>
      </x:c>
      <x:c r="B168" s="83" t="str">
        <x:v>Mixed metal scrap</x:v>
      </x:c>
      <x:c r="C168" s="83" t="str">
        <x:v>Metal</x:v>
      </x:c>
      <x:c r="D168" s="83" t="str">
        <x:v>Source</x:v>
      </x:c>
      <x:c r="E168" s="83" t="str">
        <x:v>H1</x:v>
      </x:c>
      <x:c r="F168" s="83"/>
      <x:c r="G168" s="83" t="str">
        <x:v>recover / isolate / sort</x:v>
      </x:c>
      <x:c r="H168" s="83" t="str">
        <x:v>magnet / file / cutter</x:v>
      </x:c>
      <x:c r="I168" s="83" t="str">
        <x:v>salvage yard</x:v>
      </x:c>
      <x:c r="J168" s="83" t="str">
        <x:v>metal and contamination reading</x:v>
      </x:c>
      <x:c r="K168" s="83" t="str">
        <x:v>variable</x:v>
      </x:c>
      <x:c r="L168" s="83" t="n">
        <x:v>20</x:v>
      </x:c>
      <x:c r="M168" s="83" t="n">
        <x:v>0</x:v>
      </x:c>
      <x:c r="N168" s="83" t="str">
        <x:v>form / alloy evidence</x:v>
      </x:c>
      <x:c r="O168" s="83" t="str">
        <x:v>mixed alloy / coating / sharp</x:v>
      </x:c>
      <x:c r="P168" s="83" t="str">
        <x:v>known stock</x:v>
      </x:c>
      <x:c r="Q168" s="83" t="str">
        <x:v>No</x:v>
      </x:c>
      <x:c r="R168" s="83" t="n">
        <x:f>COUNTIF('Dependency Edges'!$B$5:$B$700,A168)</x:f>
        <x:v>0</x:v>
      </x:c>
      <x:c r="S168" s="83" t="n">
        <x:f>COUNTIF('Dependency Edges'!$A$5:$A$700,A168)</x:f>
        <x:v>1</x:v>
      </x:c>
      <x:c r="T168" s="83" t="str">
        <x:f>IF(AND(D168&lt;&gt;"Source",R168=0),"MISSING INPUT",IF(AND(Q168&lt;&gt;"Yes",S168=0),"NO DOWNSTREAM","OK"))</x:f>
        <x:v>OK</x:v>
      </x:c>
    </x:row>
    <x:row r="169">
      <x:c r="A169" s="83" t="str">
        <x:v>S-ORE</x:v>
      </x:c>
      <x:c r="B169" s="83" t="str">
        <x:v>Geological ore candidate</x:v>
      </x:c>
      <x:c r="C169" s="83" t="str">
        <x:v>Metal</x:v>
      </x:c>
      <x:c r="D169" s="83" t="str">
        <x:v>Source</x:v>
      </x:c>
      <x:c r="E169" s="83" t="str">
        <x:v>H3</x:v>
      </x:c>
      <x:c r="F169" s="83"/>
      <x:c r="G169" s="83" t="str">
        <x:v>prospect / sample / excavate</x:v>
      </x:c>
      <x:c r="H169" s="83" t="str">
        <x:v>hammer / shovel</x:v>
      </x:c>
      <x:c r="I169" s="83" t="str">
        <x:v>deposit</x:v>
      </x:c>
      <x:c r="J169" s="83" t="str">
        <x:v>geology and ore recognition</x:v>
      </x:c>
      <x:c r="K169" s="83" t="str">
        <x:v>high</x:v>
      </x:c>
      <x:c r="L169" s="83" t="n">
        <x:v>60</x:v>
      </x:c>
      <x:c r="M169" s="83" t="n">
        <x:v>0</x:v>
      </x:c>
      <x:c r="N169" s="83" t="str">
        <x:v>concentration and reduction sample</x:v>
      </x:c>
      <x:c r="O169" s="83" t="str">
        <x:v>waste rock / collapse / no deposit</x:v>
      </x:c>
      <x:c r="P169" s="83" t="str">
        <x:v>salvage metal</x:v>
      </x:c>
      <x:c r="Q169" s="83" t="str">
        <x:v>No</x:v>
      </x:c>
      <x:c r="R169" s="83" t="n">
        <x:f>COUNTIF('Dependency Edges'!$B$5:$B$700,A169)</x:f>
        <x:v>0</x:v>
      </x:c>
      <x:c r="S169" s="83" t="n">
        <x:f>COUNTIF('Dependency Edges'!$A$5:$A$700,A169)</x:f>
        <x:v>1</x:v>
      </x:c>
      <x:c r="T169" s="83" t="str">
        <x:f>IF(AND(D169&lt;&gt;"Source",R169=0),"MISSING INPUT",IF(AND(Q169&lt;&gt;"Yes",S169=0),"NO DOWNSTREAM","OK"))</x:f>
        <x:v>OK</x:v>
      </x:c>
    </x:row>
    <x:row r="170">
      <x:c r="A170" s="83" t="str">
        <x:v>S-FOG</x:v>
      </x:c>
      <x:c r="B170" s="83" t="str">
        <x:v>Harvestable fog event</x:v>
      </x:c>
      <x:c r="C170" s="83" t="str">
        <x:v>Water</x:v>
      </x:c>
      <x:c r="D170" s="83" t="str">
        <x:v>Source</x:v>
      </x:c>
      <x:c r="E170" s="83" t="str">
        <x:v>H2</x:v>
      </x:c>
      <x:c r="F170" s="83"/>
      <x:c r="G170" s="83" t="str">
        <x:v>observe / measure / capture</x:v>
      </x:c>
      <x:c r="H170" s="83" t="str">
        <x:v>mesh / gauge</x:v>
      </x:c>
      <x:c r="I170" s="83" t="str">
        <x:v>exposed ridge or coast</x:v>
      </x:c>
      <x:c r="J170" s="83" t="str">
        <x:v>weather and water hygiene</x:v>
      </x:c>
      <x:c r="K170" s="83" t="str">
        <x:v>light</x:v>
      </x:c>
      <x:c r="L170" s="83" t="n">
        <x:v>10</x:v>
      </x:c>
      <x:c r="M170" s="83" t="n">
        <x:v>240</x:v>
      </x:c>
      <x:c r="N170" s="83" t="str">
        <x:v>repeatable clean yield</x:v>
      </x:c>
      <x:c r="O170" s="83" t="str">
        <x:v>insufficient fog / contamination</x:v>
      </x:c>
      <x:c r="P170" s="83" t="str">
        <x:v>rain</x:v>
      </x:c>
      <x:c r="Q170" s="83" t="str">
        <x:v>No</x:v>
      </x:c>
      <x:c r="R170" s="83" t="n">
        <x:f>COUNTIF('Dependency Edges'!$B$5:$B$700,A170)</x:f>
        <x:v>0</x:v>
      </x:c>
      <x:c r="S170" s="83" t="n">
        <x:f>COUNTIF('Dependency Edges'!$A$5:$A$700,A170)</x:f>
        <x:v>1</x:v>
      </x:c>
      <x:c r="T170" s="83" t="str">
        <x:f>IF(AND(D170&lt;&gt;"Source",R170=0),"MISSING INPUT",IF(AND(Q170&lt;&gt;"Yes",S170=0),"NO DOWNSTREAM","OK"))</x:f>
        <x:v>OK</x:v>
      </x:c>
    </x:row>
    <x:row r="171">
      <x:c r="A171" s="83" t="str">
        <x:v>S-ANIMAL</x:v>
      </x:c>
      <x:c r="B171" s="83" t="str">
        <x:v>Manageable animal population</x:v>
      </x:c>
      <x:c r="C171" s="83" t="str">
        <x:v>Nature</x:v>
      </x:c>
      <x:c r="D171" s="83" t="str">
        <x:v>Source</x:v>
      </x:c>
      <x:c r="E171" s="83" t="str">
        <x:v>H2</x:v>
      </x:c>
      <x:c r="F171" s="83"/>
      <x:c r="G171" s="83" t="str">
        <x:v>observe / assess / capture</x:v>
      </x:c>
      <x:c r="H171" s="83" t="str">
        <x:v>enclosure / handling tools</x:v>
      </x:c>
      <x:c r="I171" s="83" t="str">
        <x:v>habitat/quarantine</x:v>
      </x:c>
      <x:c r="J171" s="83" t="str">
        <x:v>behavior / health / welfare</x:v>
      </x:c>
      <x:c r="K171" s="83" t="str">
        <x:v>variable</x:v>
      </x:c>
      <x:c r="L171" s="83" t="n">
        <x:v>30</x:v>
      </x:c>
      <x:c r="M171" s="83" t="n">
        <x:v>0</x:v>
      </x:c>
      <x:c r="N171" s="83" t="str">
        <x:v>species and individual suitability</x:v>
      </x:c>
      <x:c r="O171" s="83" t="str">
        <x:v>injury / stress / ecological harm</x:v>
      </x:c>
      <x:c r="P171" s="83" t="str">
        <x:v>wild harvest</x:v>
      </x:c>
      <x:c r="Q171" s="83" t="str">
        <x:v>No</x:v>
      </x:c>
      <x:c r="R171" s="83" t="n">
        <x:f>COUNTIF('Dependency Edges'!$B$5:$B$700,A171)</x:f>
        <x:v>0</x:v>
      </x:c>
      <x:c r="S171" s="83" t="n">
        <x:f>COUNTIF('Dependency Edges'!$A$5:$A$700,A171)</x:f>
        <x:v>1</x:v>
      </x:c>
      <x:c r="T171" s="83" t="str">
        <x:f>IF(AND(D171&lt;&gt;"Source",R171=0),"MISSING INPUT",IF(AND(Q171&lt;&gt;"Yes",S171=0),"NO DOWNSTREAM","OK"))</x:f>
        <x:v>OK</x:v>
      </x:c>
    </x:row>
    <x:row r="172">
      <x:c r="A172" s="83" t="str">
        <x:v>S-FODDER</x:v>
      </x:c>
      <x:c r="B172" s="83" t="str">
        <x:v>Renewable fodder/feed base</x:v>
      </x:c>
      <x:c r="C172" s="83" t="str">
        <x:v>Nature</x:v>
      </x:c>
      <x:c r="D172" s="83" t="str">
        <x:v>Source</x:v>
      </x:c>
      <x:c r="E172" s="83" t="str">
        <x:v>H2</x:v>
      </x:c>
      <x:c r="F172" s="83"/>
      <x:c r="G172" s="83" t="str">
        <x:v>grow / harvest / store</x:v>
      </x:c>
      <x:c r="H172" s="83" t="str">
        <x:v>hoe / basket</x:v>
      </x:c>
      <x:c r="I172" s="83" t="str">
        <x:v>plot/store</x:v>
      </x:c>
      <x:c r="J172" s="83" t="str">
        <x:v>nutrition and cultivation</x:v>
      </x:c>
      <x:c r="K172" s="83" t="str">
        <x:v>moderate</x:v>
      </x:c>
      <x:c r="L172" s="83" t="n">
        <x:v>30</x:v>
      </x:c>
      <x:c r="M172" s="83" t="n">
        <x:v>1440</x:v>
      </x:c>
      <x:c r="N172" s="83" t="str">
        <x:v>intake and health evidence</x:v>
      </x:c>
      <x:c r="O172" s="83" t="str">
        <x:v>deficiency / spoilage / competition</x:v>
      </x:c>
      <x:c r="P172" s="83" t="str">
        <x:v>forage</x:v>
      </x:c>
      <x:c r="Q172" s="83" t="str">
        <x:v>No</x:v>
      </x:c>
      <x:c r="R172" s="83" t="n">
        <x:f>COUNTIF('Dependency Edges'!$B$5:$B$700,A172)</x:f>
        <x:v>0</x:v>
      </x:c>
      <x:c r="S172" s="83" t="n">
        <x:f>COUNTIF('Dependency Edges'!$A$5:$A$700,A172)</x:f>
        <x:v>1</x:v>
      </x:c>
      <x:c r="T172" s="83" t="str">
        <x:f>IF(AND(D172&lt;&gt;"Source",R172=0),"MISSING INPUT",IF(AND(Q172&lt;&gt;"Yes",S172=0),"NO DOWNSTREAM","OK"))</x:f>
        <x:v>OK</x:v>
      </x:c>
    </x:row>
    <x:row r="173">
      <x:c r="A173" s="83" t="str">
        <x:v>P-GRADED-FIBER</x:v>
      </x:c>
      <x:c r="B173" s="83" t="str">
        <x:v>Clean graded fiber</x:v>
      </x:c>
      <x:c r="C173" s="83" t="str">
        <x:v>Fiber</x:v>
      </x:c>
      <x:c r="D173" s="83" t="str">
        <x:v>Process</x:v>
      </x:c>
      <x:c r="E173" s="83" t="str">
        <x:v>H1</x:v>
      </x:c>
      <x:c r="F173" s="83" t="str">
        <x:v>S-COIR; S-LEAF-FIBER; S-BAST-FIBER; S-SALV-TEXTILE</x:v>
      </x:c>
      <x:c r="G173" s="83" t="str">
        <x:v>extract / wash / dry / grade</x:v>
      </x:c>
      <x:c r="H173" s="83" t="str">
        <x:v>cutter / comb</x:v>
      </x:c>
      <x:c r="I173" s="83" t="str">
        <x:v>drying rack</x:v>
      </x:c>
      <x:c r="J173" s="83" t="str">
        <x:v>fiber preparation</x:v>
      </x:c>
      <x:c r="K173" s="83" t="str">
        <x:v>moderate</x:v>
      </x:c>
      <x:c r="L173" s="83" t="n">
        <x:v>45</x:v>
      </x:c>
      <x:c r="M173" s="83" t="n">
        <x:v>240</x:v>
      </x:c>
      <x:c r="N173" s="83" t="str">
        <x:v>length / cleanliness / wet response</x:v>
      </x:c>
      <x:c r="O173" s="83" t="str">
        <x:v>rot / contamination / short fiber</x:v>
      </x:c>
      <x:c r="P173" s="83" t="str">
        <x:v>salvaged textile</x:v>
      </x:c>
      <x:c r="Q173" s="83" t="str">
        <x:v>No</x:v>
      </x:c>
      <x:c r="R173" s="83" t="n">
        <x:f>COUNTIF('Dependency Edges'!$B$5:$B$700,A173)</x:f>
        <x:v>4</x:v>
      </x:c>
      <x:c r="S173" s="83" t="n">
        <x:f>COUNTIF('Dependency Edges'!$A$5:$A$700,A173)</x:f>
        <x:v>2</x:v>
      </x:c>
      <x:c r="T173" s="83" t="str">
        <x:f>IF(AND(D173&lt;&gt;"Source",R173=0),"MISSING INPUT",IF(AND(Q173&lt;&gt;"Yes",S173=0),"NO DOWNSTREAM","OK"))</x:f>
        <x:v>OK</x:v>
      </x:c>
    </x:row>
    <x:row r="174">
      <x:c r="A174" s="83" t="str">
        <x:v>T-SPINDLE</x:v>
      </x:c>
      <x:c r="B174" s="83" t="str">
        <x:v>Spindle/twisting tool</x:v>
      </x:c>
      <x:c r="C174" s="83" t="str">
        <x:v>Fiber</x:v>
      </x:c>
      <x:c r="D174" s="83" t="str">
        <x:v>Tool</x:v>
      </x:c>
      <x:c r="E174" s="83" t="str">
        <x:v>H1</x:v>
      </x:c>
      <x:c r="F174" s="83" t="str">
        <x:v>P-STRAIGHT-POLE; P-PEG</x:v>
      </x:c>
      <x:c r="G174" s="83" t="str">
        <x:v>shape / balance / fit</x:v>
      </x:c>
      <x:c r="H174" s="83" t="str">
        <x:v>knife / measure</x:v>
      </x:c>
      <x:c r="I174" s="83" t="str">
        <x:v>work mat</x:v>
      </x:c>
      <x:c r="J174" s="83" t="str">
        <x:v>rotation and fiber control</x:v>
      </x:c>
      <x:c r="K174" s="83" t="str">
        <x:v>light</x:v>
      </x:c>
      <x:c r="L174" s="83" t="n">
        <x:v>30</x:v>
      </x:c>
      <x:c r="M174" s="83" t="n">
        <x:v>0</x:v>
      </x:c>
      <x:c r="N174" s="83" t="str">
        <x:v>consistent twist</x:v>
      </x:c>
      <x:c r="O174" s="83" t="str">
        <x:v>wobble / break / snag</x:v>
      </x:c>
      <x:c r="P174" s="83" t="str">
        <x:v>hand twist</x:v>
      </x:c>
      <x:c r="Q174" s="83" t="str">
        <x:v>No</x:v>
      </x:c>
      <x:c r="R174" s="83" t="n">
        <x:f>COUNTIF('Dependency Edges'!$B$5:$B$700,A174)</x:f>
        <x:v>2</x:v>
      </x:c>
      <x:c r="S174" s="83" t="n">
        <x:f>COUNTIF('Dependency Edges'!$A$5:$A$700,A174)</x:f>
        <x:v>2</x:v>
      </x:c>
      <x:c r="T174" s="83" t="str">
        <x:f>IF(AND(D174&lt;&gt;"Source",R174=0),"MISSING INPUT",IF(AND(Q174&lt;&gt;"Yes",S174=0),"NO DOWNSTREAM","OK"))</x:f>
        <x:v>OK</x:v>
      </x:c>
    </x:row>
    <x:row r="175">
      <x:c r="A175" s="83" t="str">
        <x:v>P-YARN</x:v>
      </x:c>
      <x:c r="B175" s="83" t="str">
        <x:v>Consistent yarn/strand</x:v>
      </x:c>
      <x:c r="C175" s="83" t="str">
        <x:v>Fiber</x:v>
      </x:c>
      <x:c r="D175" s="83" t="str">
        <x:v>Process</x:v>
      </x:c>
      <x:c r="E175" s="83" t="str">
        <x:v>H1</x:v>
      </x:c>
      <x:c r="F175" s="83" t="str">
        <x:v>P-GRADED-FIBER; T-SPINDLE</x:v>
      </x:c>
      <x:c r="G175" s="83" t="str">
        <x:v>spin / splice / ply</x:v>
      </x:c>
      <x:c r="H175" s="83" t="str">
        <x:v>spindle</x:v>
      </x:c>
      <x:c r="I175" s="83" t="str">
        <x:v>fiber station</x:v>
      </x:c>
      <x:c r="J175" s="83" t="str">
        <x:v>fiber consistency</x:v>
      </x:c>
      <x:c r="K175" s="83" t="str">
        <x:v>light</x:v>
      </x:c>
      <x:c r="L175" s="83" t="n">
        <x:v>60</x:v>
      </x:c>
      <x:c r="M175" s="83" t="n">
        <x:v>0</x:v>
      </x:c>
      <x:c r="N175" s="83" t="str">
        <x:v>diameter and break comparison</x:v>
      </x:c>
      <x:c r="O175" s="83" t="str">
        <x:v>uneven / weak / overtwist</x:v>
      </x:c>
      <x:c r="P175" s="83" t="str">
        <x:v>found thread</x:v>
      </x:c>
      <x:c r="Q175" s="83" t="str">
        <x:v>No</x:v>
      </x:c>
      <x:c r="R175" s="83" t="n">
        <x:f>COUNTIF('Dependency Edges'!$B$5:$B$700,A175)</x:f>
        <x:v>2</x:v>
      </x:c>
      <x:c r="S175" s="83" t="n">
        <x:f>COUNTIF('Dependency Edges'!$A$5:$A$700,A175)</x:f>
        <x:v>1</x:v>
      </x:c>
      <x:c r="T175" s="83" t="str">
        <x:f>IF(AND(D175&lt;&gt;"Source",R175=0),"MISSING INPUT",IF(AND(Q175&lt;&gt;"Yes",S175=0),"NO DOWNSTREAM","OK"))</x:f>
        <x:v>OK</x:v>
      </x:c>
    </x:row>
    <x:row r="176">
      <x:c r="A176" s="83" t="str">
        <x:v>T-LOOM</x:v>
      </x:c>
      <x:c r="B176" s="83" t="str">
        <x:v>Frame loom/net gauge</x:v>
      </x:c>
      <x:c r="C176" s="83" t="str">
        <x:v>Fiber</x:v>
      </x:c>
      <x:c r="D176" s="83" t="str">
        <x:v>Tool</x:v>
      </x:c>
      <x:c r="E176" s="83" t="str">
        <x:v>H2</x:v>
      </x:c>
      <x:c r="F176" s="83" t="str">
        <x:v>P-STRAIGHT-POLE; T-MEASURE</x:v>
      </x:c>
      <x:c r="G176" s="83" t="str">
        <x:v>lay out / join / tension</x:v>
      </x:c>
      <x:c r="H176" s="83" t="str">
        <x:v>knife / measure</x:v>
      </x:c>
      <x:c r="I176" s="83" t="str">
        <x:v>bench</x:v>
      </x:c>
      <x:c r="J176" s="83" t="str">
        <x:v>geometry and tension</x:v>
      </x:c>
      <x:c r="K176" s="83" t="str">
        <x:v>moderate</x:v>
      </x:c>
      <x:c r="L176" s="83" t="n">
        <x:v>120</x:v>
      </x:c>
      <x:c r="M176" s="83" t="n">
        <x:v>0</x:v>
      </x:c>
      <x:c r="N176" s="83" t="str">
        <x:v>square stable frame</x:v>
      </x:c>
      <x:c r="O176" s="83" t="str">
        <x:v>rack / uneven tension</x:v>
      </x:c>
      <x:c r="P176" s="83" t="str">
        <x:v>hand weave</x:v>
      </x:c>
      <x:c r="Q176" s="83" t="str">
        <x:v>No</x:v>
      </x:c>
      <x:c r="R176" s="83" t="n">
        <x:f>COUNTIF('Dependency Edges'!$B$5:$B$700,A176)</x:f>
        <x:v>2</x:v>
      </x:c>
      <x:c r="S176" s="83" t="n">
        <x:f>COUNTIF('Dependency Edges'!$A$5:$A$700,A176)</x:f>
        <x:v>2</x:v>
      </x:c>
      <x:c r="T176" s="83" t="str">
        <x:f>IF(AND(D176&lt;&gt;"Source",R176=0),"MISSING INPUT",IF(AND(Q176&lt;&gt;"Yes",S176=0),"NO DOWNSTREAM","OK"))</x:f>
        <x:v>OK</x:v>
      </x:c>
    </x:row>
    <x:row r="177">
      <x:c r="A177" s="83" t="str">
        <x:v>P-CLOTH</x:v>
      </x:c>
      <x:c r="B177" s="83" t="str">
        <x:v>Woven textile panel</x:v>
      </x:c>
      <x:c r="C177" s="83" t="str">
        <x:v>Fiber</x:v>
      </x:c>
      <x:c r="D177" s="83" t="str">
        <x:v>Process</x:v>
      </x:c>
      <x:c r="E177" s="83" t="str">
        <x:v>H2</x:v>
      </x:c>
      <x:c r="F177" s="83" t="str">
        <x:v>P-YARN; T-LOOM</x:v>
      </x:c>
      <x:c r="G177" s="83" t="str">
        <x:v>warp / weave / finish</x:v>
      </x:c>
      <x:c r="H177" s="83" t="str">
        <x:v>loom / needle</x:v>
      </x:c>
      <x:c r="I177" s="83" t="str">
        <x:v>fiber cell</x:v>
      </x:c>
      <x:c r="J177" s="83" t="str">
        <x:v>weaving and finishing</x:v>
      </x:c>
      <x:c r="K177" s="83" t="str">
        <x:v>moderate</x:v>
      </x:c>
      <x:c r="L177" s="83" t="n">
        <x:v>240</x:v>
      </x:c>
      <x:c r="M177" s="83" t="n">
        <x:v>0</x:v>
      </x:c>
      <x:c r="N177" s="83" t="str">
        <x:v>seam / abrasion / wet test</x:v>
      </x:c>
      <x:c r="O177" s="83" t="str">
        <x:v>distortion / weak edge</x:v>
      </x:c>
      <x:c r="P177" s="83" t="str">
        <x:v>salvaged canvas</x:v>
      </x:c>
      <x:c r="Q177" s="83" t="str">
        <x:v>No</x:v>
      </x:c>
      <x:c r="R177" s="83" t="n">
        <x:f>COUNTIF('Dependency Edges'!$B$5:$B$700,A177)</x:f>
        <x:v>2</x:v>
      </x:c>
      <x:c r="S177" s="83" t="n">
        <x:f>COUNTIF('Dependency Edges'!$A$5:$A$700,A177)</x:f>
        <x:v>1</x:v>
      </x:c>
      <x:c r="T177" s="83" t="str">
        <x:f>IF(AND(D177&lt;&gt;"Source",R177=0),"MISSING INPUT",IF(AND(Q177&lt;&gt;"Yes",S177=0),"NO DOWNSTREAM","OK"))</x:f>
        <x:v>OK</x:v>
      </x:c>
    </x:row>
    <x:row r="178">
      <x:c r="A178" s="83" t="str">
        <x:v>A-FIBER-STATION</x:v>
      </x:c>
      <x:c r="B178" s="83" t="str">
        <x:v>Fiber preparation station</x:v>
      </x:c>
      <x:c r="C178" s="83" t="str">
        <x:v>Workshop</x:v>
      </x:c>
      <x:c r="D178" s="83" t="str">
        <x:v>Assembly</x:v>
      </x:c>
      <x:c r="E178" s="83" t="str">
        <x:v>H2</x:v>
      </x:c>
      <x:c r="F178" s="83" t="str">
        <x:v>W-BENCH; T-LOOM</x:v>
      </x:c>
      <x:c r="G178" s="83" t="str">
        <x:v>rack / comb / twist / gauge</x:v>
      </x:c>
      <x:c r="H178" s="83" t="str">
        <x:v>spindle / loom</x:v>
      </x:c>
      <x:c r="I178" s="83" t="str">
        <x:v>covered dry cell</x:v>
      </x:c>
      <x:c r="J178" s="83" t="str">
        <x:v>fiber workflow</x:v>
      </x:c>
      <x:c r="K178" s="83" t="str">
        <x:v>moderate</x:v>
      </x:c>
      <x:c r="L178" s="83" t="n">
        <x:v>180</x:v>
      </x:c>
      <x:c r="M178" s="83" t="n">
        <x:v>0</x:v>
      </x:c>
      <x:c r="N178" s="83" t="str">
        <x:v>clean dry repeat work</x:v>
      </x:c>
      <x:c r="O178" s="83" t="str">
        <x:v>mold / contamination / poor ergonomics</x:v>
      </x:c>
      <x:c r="P178" s="83" t="str">
        <x:v>work mat</x:v>
      </x:c>
      <x:c r="Q178" s="83" t="str">
        <x:v>No</x:v>
      </x:c>
      <x:c r="R178" s="83" t="n">
        <x:f>COUNTIF('Dependency Edges'!$B$5:$B$700,A178)</x:f>
        <x:v>2</x:v>
      </x:c>
      <x:c r="S178" s="83" t="n">
        <x:f>COUNTIF('Dependency Edges'!$A$5:$A$700,A178)</x:f>
        <x:v>2</x:v>
      </x:c>
      <x:c r="T178" s="83" t="str">
        <x:f>IF(AND(D178&lt;&gt;"Source",R178=0),"MISSING INPUT",IF(AND(Q178&lt;&gt;"Yes",S178=0),"NO DOWNSTREAM","OK"))</x:f>
        <x:v>OK</x:v>
      </x:c>
    </x:row>
    <x:row r="179">
      <x:c r="A179" s="83" t="str">
        <x:v>A-MEDICAL-TEXTILE</x:v>
      </x:c>
      <x:c r="B179" s="83" t="str">
        <x:v>Qualified clean medical textile</x:v>
      </x:c>
      <x:c r="C179" s="83" t="str">
        <x:v>Medicine</x:v>
      </x:c>
      <x:c r="D179" s="83" t="str">
        <x:v>Endpoint</x:v>
      </x:c>
      <x:c r="E179" s="83" t="str">
        <x:v>H2</x:v>
      </x:c>
      <x:c r="F179" s="83" t="str">
        <x:v>P-CLOTH; W-CLEAN</x:v>
      </x:c>
      <x:c r="G179" s="83" t="str">
        <x:v>clean / boil where suitable / dry / store</x:v>
      </x:c>
      <x:c r="H179" s="83" t="str">
        <x:v>needle / vessel</x:v>
      </x:c>
      <x:c r="I179" s="83" t="str">
        <x:v>clean surface</x:v>
      </x:c>
      <x:c r="J179" s="83" t="str">
        <x:v>hygiene and material suitability</x:v>
      </x:c>
      <x:c r="K179" s="83" t="str">
        <x:v>light</x:v>
      </x:c>
      <x:c r="L179" s="83" t="n">
        <x:v>30</x:v>
      </x:c>
      <x:c r="M179" s="83" t="n">
        <x:v>120</x:v>
      </x:c>
      <x:c r="N179" s="83" t="str">
        <x:v>clean dry protected lot</x:v>
      </x:c>
      <x:c r="O179" s="83" t="str">
        <x:v>lint / contamination / heat damage</x:v>
      </x:c>
      <x:c r="P179" s="83" t="str">
        <x:v>sealed dressing</x:v>
      </x:c>
      <x:c r="Q179" s="83" t="str">
        <x:v>Yes</x:v>
      </x:c>
      <x:c r="R179" s="83" t="n">
        <x:f>COUNTIF('Dependency Edges'!$B$5:$B$700,A179)</x:f>
        <x:v>2</x:v>
      </x:c>
      <x:c r="S179" s="83" t="n">
        <x:f>COUNTIF('Dependency Edges'!$A$5:$A$700,A179)</x:f>
        <x:v>0</x:v>
      </x:c>
      <x:c r="T179" s="83" t="str">
        <x:f>IF(AND(D179&lt;&gt;"Source",R179=0),"MISSING INPUT",IF(AND(Q179&lt;&gt;"Yes",S179=0),"NO DOWNSTREAM","OK"))</x:f>
        <x:v>OK</x:v>
      </x:c>
    </x:row>
    <x:row r="180">
      <x:c r="A180" s="83" t="str">
        <x:v>A-NET</x:v>
      </x:c>
      <x:c r="B180" s="83" t="str">
        <x:v>Load-tested net/mesh</x:v>
      </x:c>
      <x:c r="C180" s="83" t="str">
        <x:v>Fiber</x:v>
      </x:c>
      <x:c r="D180" s="83" t="str">
        <x:v>Assembly</x:v>
      </x:c>
      <x:c r="E180" s="83" t="str">
        <x:v>H2</x:v>
      </x:c>
      <x:c r="F180" s="83" t="str">
        <x:v>P-CORD; A-FIBER-STATION</x:v>
      </x:c>
      <x:c r="G180" s="83" t="str">
        <x:v>knot / gauge / edge / repair</x:v>
      </x:c>
      <x:c r="H180" s="83" t="str">
        <x:v>needle / gauge</x:v>
      </x:c>
      <x:c r="I180" s="83" t="str">
        <x:v>fiber station</x:v>
      </x:c>
      <x:c r="J180" s="83" t="str">
        <x:v>mesh geometry and load</x:v>
      </x:c>
      <x:c r="K180" s="83" t="str">
        <x:v>moderate</x:v>
      </x:c>
      <x:c r="L180" s="83" t="n">
        <x:v>180</x:v>
      </x:c>
      <x:c r="M180" s="83" t="n">
        <x:v>0</x:v>
      </x:c>
      <x:c r="N180" s="83" t="str">
        <x:v>mesh / edge / wet-load test</x:v>
      </x:c>
      <x:c r="O180" s="83" t="str">
        <x:v>weak knot / ghost gear</x:v>
      </x:c>
      <x:c r="P180" s="83" t="str">
        <x:v>found net</x:v>
      </x:c>
      <x:c r="Q180" s="83" t="str">
        <x:v>No</x:v>
      </x:c>
      <x:c r="R180" s="83" t="n">
        <x:f>COUNTIF('Dependency Edges'!$B$5:$B$700,A180)</x:f>
        <x:v>2</x:v>
      </x:c>
      <x:c r="S180" s="83" t="n">
        <x:f>COUNTIF('Dependency Edges'!$A$5:$A$700,A180)</x:f>
        <x:v>1</x:v>
      </x:c>
      <x:c r="T180" s="83" t="str">
        <x:f>IF(AND(D180&lt;&gt;"Source",R180=0),"MISSING INPUT",IF(AND(Q180&lt;&gt;"Yes",S180=0),"NO DOWNSTREAM","OK"))</x:f>
        <x:v>OK</x:v>
      </x:c>
    </x:row>
    <x:row r="181">
      <x:c r="A181" s="83" t="str">
        <x:v>A-BOWSTRING</x:v>
      </x:c>
      <x:c r="B181" s="83" t="str">
        <x:v>Qualified bowstring</x:v>
      </x:c>
      <x:c r="C181" s="83" t="str">
        <x:v>Weapons</x:v>
      </x:c>
      <x:c r="D181" s="83" t="str">
        <x:v>Assembly</x:v>
      </x:c>
      <x:c r="E181" s="83" t="str">
        <x:v>H2</x:v>
      </x:c>
      <x:c r="F181" s="83" t="str">
        <x:v>P-GRADED-FIBER; T-SPINDLE</x:v>
      </x:c>
      <x:c r="G181" s="83" t="str">
        <x:v>spin / ply / loop / proof</x:v>
      </x:c>
      <x:c r="H181" s="83" t="str">
        <x:v>spindle</x:v>
      </x:c>
      <x:c r="I181" s="83" t="str">
        <x:v>dry fiber cell</x:v>
      </x:c>
      <x:c r="J181" s="83" t="str">
        <x:v>fiber and stored energy</x:v>
      </x:c>
      <x:c r="K181" s="83" t="str">
        <x:v>light</x:v>
      </x:c>
      <x:c r="L181" s="83" t="n">
        <x:v>60</x:v>
      </x:c>
      <x:c r="M181" s="83" t="n">
        <x:v>0</x:v>
      </x:c>
      <x:c r="N181" s="83" t="str">
        <x:v>creep / break / abrasion test</x:v>
      </x:c>
      <x:c r="O181" s="83" t="str">
        <x:v>snap / limb damage</x:v>
      </x:c>
      <x:c r="P181" s="83" t="str">
        <x:v>salvaged cord</x:v>
      </x:c>
      <x:c r="Q181" s="83" t="str">
        <x:v>No</x:v>
      </x:c>
      <x:c r="R181" s="83" t="n">
        <x:f>COUNTIF('Dependency Edges'!$B$5:$B$700,A181)</x:f>
        <x:v>2</x:v>
      </x:c>
      <x:c r="S181" s="83" t="n">
        <x:f>COUNTIF('Dependency Edges'!$A$5:$A$700,A181)</x:f>
        <x:v>1</x:v>
      </x:c>
      <x:c r="T181" s="83" t="str">
        <x:f>IF(AND(D181&lt;&gt;"Source",R181=0),"MISSING INPUT",IF(AND(Q181&lt;&gt;"Yes",S181=0),"NO DOWNSTREAM","OK"))</x:f>
        <x:v>OK</x:v>
      </x:c>
    </x:row>
    <x:row r="182">
      <x:c r="A182" s="83" t="str">
        <x:v>P-ALLOY-SORT</x:v>
      </x:c>
      <x:c r="B182" s="83" t="str">
        <x:v>Sorted qualified metal stock</x:v>
      </x:c>
      <x:c r="C182" s="83" t="str">
        <x:v>Metal</x:v>
      </x:c>
      <x:c r="D182" s="83" t="str">
        <x:v>Process</x:v>
      </x:c>
      <x:c r="E182" s="83" t="str">
        <x:v>H2</x:v>
      </x:c>
      <x:c r="F182" s="83" t="str">
        <x:v>S-MIXED-SCRAP; T-FILE</x:v>
      </x:c>
      <x:c r="G182" s="83" t="str">
        <x:v>clean / identify / coupon test</x:v>
      </x:c>
      <x:c r="H182" s="83" t="str">
        <x:v>file / magnet / measure</x:v>
      </x:c>
      <x:c r="I182" s="83" t="str">
        <x:v>salvage yard</x:v>
      </x:c>
      <x:c r="J182" s="83" t="str">
        <x:v>alloy and contamination evidence</x:v>
      </x:c>
      <x:c r="K182" s="83" t="str">
        <x:v>moderate</x:v>
      </x:c>
      <x:c r="L182" s="83" t="n">
        <x:v>45</x:v>
      </x:c>
      <x:c r="M182" s="83" t="n">
        <x:v>0</x:v>
      </x:c>
      <x:c r="N182" s="83" t="str">
        <x:v>separated labeled stock</x:v>
      </x:c>
      <x:c r="O182" s="83" t="str">
        <x:v>mixed alloy / lost form</x:v>
      </x:c>
      <x:c r="P182" s="83" t="str">
        <x:v>known sheet</x:v>
      </x:c>
      <x:c r="Q182" s="83" t="str">
        <x:v>No</x:v>
      </x:c>
      <x:c r="R182" s="83" t="n">
        <x:f>COUNTIF('Dependency Edges'!$B$5:$B$700,A182)</x:f>
        <x:v>2</x:v>
      </x:c>
      <x:c r="S182" s="83" t="n">
        <x:f>COUNTIF('Dependency Edges'!$A$5:$A$700,A182)</x:f>
        <x:v>1</x:v>
      </x:c>
      <x:c r="T182" s="83" t="str">
        <x:f>IF(AND(D182&lt;&gt;"Source",R182=0),"MISSING INPUT",IF(AND(Q182&lt;&gt;"Yes",S182=0),"NO DOWNSTREAM","OK"))</x:f>
        <x:v>OK</x:v>
      </x:c>
    </x:row>
    <x:row r="183">
      <x:c r="A183" s="83" t="str">
        <x:v>P-ORE-CONC</x:v>
      </x:c>
      <x:c r="B183" s="83" t="str">
        <x:v>Ore concentrate/test batch</x:v>
      </x:c>
      <x:c r="C183" s="83" t="str">
        <x:v>Metal</x:v>
      </x:c>
      <x:c r="D183" s="83" t="str">
        <x:v>Process</x:v>
      </x:c>
      <x:c r="E183" s="83" t="str">
        <x:v>H4</x:v>
      </x:c>
      <x:c r="F183" s="83" t="str">
        <x:v>S-ORE; T-HAMMER</x:v>
      </x:c>
      <x:c r="G183" s="83" t="str">
        <x:v>crush / grade / concentrate</x:v>
      </x:c>
      <x:c r="H183" s="83" t="str">
        <x:v>hammer / sieve</x:v>
      </x:c>
      <x:c r="I183" s="83" t="str">
        <x:v>ore yard</x:v>
      </x:c>
      <x:c r="J183" s="83" t="str">
        <x:v>geology and beneficiation</x:v>
      </x:c>
      <x:c r="K183" s="83" t="str">
        <x:v>high</x:v>
      </x:c>
      <x:c r="L183" s="83" t="n">
        <x:v>180</x:v>
      </x:c>
      <x:c r="M183" s="83" t="n">
        <x:v>0</x:v>
      </x:c>
      <x:c r="N183" s="83" t="str">
        <x:v>reduction sample</x:v>
      </x:c>
      <x:c r="O183" s="83" t="str">
        <x:v>waste rock / contamination</x:v>
      </x:c>
      <x:c r="P183" s="83" t="str">
        <x:v>salvage metal</x:v>
      </x:c>
      <x:c r="Q183" s="83" t="str">
        <x:v>No</x:v>
      </x:c>
      <x:c r="R183" s="83" t="n">
        <x:f>COUNTIF('Dependency Edges'!$B$5:$B$700,A183)</x:f>
        <x:v>2</x:v>
      </x:c>
      <x:c r="S183" s="83" t="n">
        <x:f>COUNTIF('Dependency Edges'!$A$5:$A$700,A183)</x:f>
        <x:v>1</x:v>
      </x:c>
      <x:c r="T183" s="83" t="str">
        <x:f>IF(AND(D183&lt;&gt;"Source",R183=0),"MISSING INPUT",IF(AND(Q183&lt;&gt;"Yes",S183=0),"NO DOWNSTREAM","OK"))</x:f>
        <x:v>OK</x:v>
      </x:c>
    </x:row>
    <x:row r="184">
      <x:c r="A184" s="83" t="str">
        <x:v>P-BILLET</x:v>
      </x:c>
      <x:c r="B184" s="83" t="str">
        <x:v>Recycled metal billet</x:v>
      </x:c>
      <x:c r="C184" s="83" t="str">
        <x:v>Metal</x:v>
      </x:c>
      <x:c r="D184" s="83" t="str">
        <x:v>Endpoint</x:v>
      </x:c>
      <x:c r="E184" s="83" t="str">
        <x:v>H4</x:v>
      </x:c>
      <x:c r="F184" s="83" t="str">
        <x:v>P-ALLOY-SORT; W-FORGE</x:v>
      </x:c>
      <x:c r="G184" s="83" t="str">
        <x:v>melt / cast / cool / inspect</x:v>
      </x:c>
      <x:c r="H184" s="83" t="str">
        <x:v>crucible / tongs</x:v>
      </x:c>
      <x:c r="I184" s="83" t="str">
        <x:v>forge/casting cell</x:v>
      </x:c>
      <x:c r="J184" s="83" t="str">
        <x:v>alloy / mold / thermal control</x:v>
      </x:c>
      <x:c r="K184" s="83" t="str">
        <x:v>high heat</x:v>
      </x:c>
      <x:c r="L184" s="83" t="n">
        <x:v>120</x:v>
      </x:c>
      <x:c r="M184" s="83" t="n">
        <x:v>120</x:v>
      </x:c>
      <x:c r="N184" s="83" t="str">
        <x:v>sound coupon and work response</x:v>
      </x:c>
      <x:c r="O184" s="83" t="str">
        <x:v>porosity / brittle mix / burn</x:v>
      </x:c>
      <x:c r="P184" s="83" t="str">
        <x:v>preserved form</x:v>
      </x:c>
      <x:c r="Q184" s="83" t="str">
        <x:v>Yes</x:v>
      </x:c>
      <x:c r="R184" s="83" t="n">
        <x:f>COUNTIF('Dependency Edges'!$B$5:$B$700,A184)</x:f>
        <x:v>2</x:v>
      </x:c>
      <x:c r="S184" s="83" t="n">
        <x:f>COUNTIF('Dependency Edges'!$A$5:$A$700,A184)</x:f>
        <x:v>0</x:v>
      </x:c>
      <x:c r="T184" s="83" t="str">
        <x:f>IF(AND(D184&lt;&gt;"Source",R184=0),"MISSING INPUT",IF(AND(Q184&lt;&gt;"Yes",S184=0),"NO DOWNSTREAM","OK"))</x:f>
        <x:v>OK</x:v>
      </x:c>
    </x:row>
    <x:row r="185">
      <x:c r="A185" s="83" t="str">
        <x:v>P-SMELTED-METAL</x:v>
      </x:c>
      <x:c r="B185" s="83" t="str">
        <x:v>Smelted ore metal/bloom</x:v>
      </x:c>
      <x:c r="C185" s="83" t="str">
        <x:v>Metal</x:v>
      </x:c>
      <x:c r="D185" s="83" t="str">
        <x:v>Endpoint</x:v>
      </x:c>
      <x:c r="E185" s="83" t="str">
        <x:v>H5</x:v>
      </x:c>
      <x:c r="F185" s="83" t="str">
        <x:v>P-ORE-CONC; W-FORGE</x:v>
      </x:c>
      <x:c r="G185" s="83" t="str">
        <x:v>reduce / separate / consolidate</x:v>
      </x:c>
      <x:c r="H185" s="83" t="str">
        <x:v>forge tools</x:v>
      </x:c>
      <x:c r="I185" s="83" t="str">
        <x:v>smelter/forge</x:v>
      </x:c>
      <x:c r="J185" s="83" t="str">
        <x:v>ore / refractory / chemistry</x:v>
      </x:c>
      <x:c r="K185" s="83" t="str">
        <x:v>very high heat</x:v>
      </x:c>
      <x:c r="L185" s="83" t="n">
        <x:v>360</x:v>
      </x:c>
      <x:c r="M185" s="83" t="n">
        <x:v>240</x:v>
      </x:c>
      <x:c r="N185" s="83" t="str">
        <x:v>metal yield and defect evidence</x:v>
      </x:c>
      <x:c r="O185" s="83" t="str">
        <x:v>slag / no reduction / fire</x:v>
      </x:c>
      <x:c r="P185" s="83" t="str">
        <x:v>recycled billet</x:v>
      </x:c>
      <x:c r="Q185" s="83" t="str">
        <x:v>Yes</x:v>
      </x:c>
      <x:c r="R185" s="83" t="n">
        <x:f>COUNTIF('Dependency Edges'!$B$5:$B$700,A185)</x:f>
        <x:v>2</x:v>
      </x:c>
      <x:c r="S185" s="83" t="n">
        <x:f>COUNTIF('Dependency Edges'!$A$5:$A$700,A185)</x:f>
        <x:v>0</x:v>
      </x:c>
      <x:c r="T185" s="83" t="str">
        <x:f>IF(AND(D185&lt;&gt;"Source",R185=0),"MISSING INPUT",IF(AND(Q185&lt;&gt;"Yes",S185=0),"NO DOWNSTREAM","OK"))</x:f>
        <x:v>OK</x:v>
      </x:c>
    </x:row>
    <x:row r="186">
      <x:c r="A186" s="83" t="str">
        <x:v>W-PRECISION</x:v>
      </x:c>
      <x:c r="B186" s="83" t="str">
        <x:v>Held and measured precision bench</x:v>
      </x:c>
      <x:c r="C186" s="83" t="str">
        <x:v>Workshop</x:v>
      </x:c>
      <x:c r="D186" s="83" t="str">
        <x:v>Workspace</x:v>
      </x:c>
      <x:c r="E186" s="83" t="str">
        <x:v>H3</x:v>
      </x:c>
      <x:c r="F186" s="83" t="str">
        <x:v>W-BENCH; T-CLAMP</x:v>
      </x:c>
      <x:c r="G186" s="83" t="str">
        <x:v>clamp / align / measure / compare</x:v>
      </x:c>
      <x:c r="H186" s="83" t="str">
        <x:v>clamp / measure</x:v>
      </x:c>
      <x:c r="I186" s="83" t="str">
        <x:v>dry shop</x:v>
      </x:c>
      <x:c r="J186" s="83" t="str">
        <x:v>layout and workholding</x:v>
      </x:c>
      <x:c r="K186" s="83" t="str">
        <x:v>moderate</x:v>
      </x:c>
      <x:c r="L186" s="83" t="n">
        <x:v>180</x:v>
      </x:c>
      <x:c r="M186" s="83" t="n">
        <x:v>0</x:v>
      </x:c>
      <x:c r="N186" s="83" t="str">
        <x:v>repeatable fit sample</x:v>
      </x:c>
      <x:c r="O186" s="83" t="str">
        <x:v>misalignment / crushed part</x:v>
      </x:c>
      <x:c r="P186" s="83" t="str">
        <x:v>general bench</x:v>
      </x:c>
      <x:c r="Q186" s="83" t="str">
        <x:v>No</x:v>
      </x:c>
      <x:c r="R186" s="83" t="n">
        <x:f>COUNTIF('Dependency Edges'!$B$5:$B$700,A186)</x:f>
        <x:v>2</x:v>
      </x:c>
      <x:c r="S186" s="83" t="n">
        <x:f>COUNTIF('Dependency Edges'!$A$5:$A$700,A186)</x:f>
        <x:v>1</x:v>
      </x:c>
      <x:c r="T186" s="83" t="str">
        <x:f>IF(AND(D186&lt;&gt;"Source",R186=0),"MISSING INPUT",IF(AND(Q186&lt;&gt;"Yes",S186=0),"NO DOWNSTREAM","OK"))</x:f>
        <x:v>OK</x:v>
      </x:c>
    </x:row>
    <x:row r="187">
      <x:c r="A187" s="83" t="str">
        <x:v>A-PARTS-CATALOG</x:v>
      </x:c>
      <x:c r="B187" s="83" t="str">
        <x:v>Parts and compatibility catalog</x:v>
      </x:c>
      <x:c r="C187" s="83" t="str">
        <x:v>Salvage</x:v>
      </x:c>
      <x:c r="D187" s="83" t="str">
        <x:v>Endpoint</x:v>
      </x:c>
      <x:c r="E187" s="83" t="str">
        <x:v>H2</x:v>
      </x:c>
      <x:c r="F187" s="83" t="str">
        <x:v>W-ARCHIVE; S-MANUAL</x:v>
      </x:c>
      <x:c r="G187" s="83" t="str">
        <x:v>identify / label / cross-reference</x:v>
      </x:c>
      <x:c r="H187" s="83" t="str">
        <x:v>journal / measure</x:v>
      </x:c>
      <x:c r="I187" s="83" t="str">
        <x:v>archive</x:v>
      </x:c>
      <x:c r="J187" s="83" t="str">
        <x:v>systems and provenance</x:v>
      </x:c>
      <x:c r="K187" s="83" t="str">
        <x:v>light</x:v>
      </x:c>
      <x:c r="L187" s="83" t="n">
        <x:v>60</x:v>
      </x:c>
      <x:c r="M187" s="83" t="n">
        <x:v>0</x:v>
      </x:c>
      <x:c r="N187" s="83" t="str">
        <x:v>part retrieved and matched later</x:v>
      </x:c>
      <x:c r="O187" s="83" t="str">
        <x:v>mislabel / false compatibility</x:v>
      </x:c>
      <x:c r="P187" s="83" t="str">
        <x:v>memory only</x:v>
      </x:c>
      <x:c r="Q187" s="83" t="str">
        <x:v>Yes</x:v>
      </x:c>
      <x:c r="R187" s="83" t="n">
        <x:f>COUNTIF('Dependency Edges'!$B$5:$B$700,A187)</x:f>
        <x:v>2</x:v>
      </x:c>
      <x:c r="S187" s="83" t="n">
        <x:f>COUNTIF('Dependency Edges'!$A$5:$A$700,A187)</x:f>
        <x:v>0</x:v>
      </x:c>
      <x:c r="T187" s="83" t="str">
        <x:f>IF(AND(D187&lt;&gt;"Source",R187=0),"MISSING INPUT",IF(AND(Q187&lt;&gt;"Yes",S187=0),"NO DOWNSTREAM","OK"))</x:f>
        <x:v>OK</x:v>
      </x:c>
    </x:row>
    <x:row r="188">
      <x:c r="A188" s="83" t="str">
        <x:v>A-SALVAGE-YARD</x:v>
      </x:c>
      <x:c r="B188" s="83" t="str">
        <x:v>Covered salvage sorting yard</x:v>
      </x:c>
      <x:c r="C188" s="83" t="str">
        <x:v>Salvage</x:v>
      </x:c>
      <x:c r="D188" s="83" t="str">
        <x:v>Assembly</x:v>
      </x:c>
      <x:c r="E188" s="83" t="str">
        <x:v>H2</x:v>
      </x:c>
      <x:c r="F188" s="83" t="str">
        <x:v>A-COVERED-STORE; A-ROOF</x:v>
      </x:c>
      <x:c r="G188" s="83" t="str">
        <x:v>zone / drain / rack / label</x:v>
      </x:c>
      <x:c r="H188" s="83" t="str">
        <x:v>shelter tools</x:v>
      </x:c>
      <x:c r="I188" s="83" t="str">
        <x:v>home edge</x:v>
      </x:c>
      <x:c r="J188" s="83" t="str">
        <x:v>hazard separation and logistics</x:v>
      </x:c>
      <x:c r="K188" s="83" t="str">
        <x:v>high</x:v>
      </x:c>
      <x:c r="L188" s="83" t="n">
        <x:v>360</x:v>
      </x:c>
      <x:c r="M188" s="83" t="n">
        <x:v>0</x:v>
      </x:c>
      <x:c r="N188" s="83" t="str">
        <x:v>clean/hazard routes remain separated</x:v>
      </x:c>
      <x:c r="O188" s="83" t="str">
        <x:v>hoard / runoff / fire</x:v>
      </x:c>
      <x:c r="P188" s="83" t="str">
        <x:v>small caches</x:v>
      </x:c>
      <x:c r="Q188" s="83" t="str">
        <x:v>No</x:v>
      </x:c>
      <x:c r="R188" s="83" t="n">
        <x:f>COUNTIF('Dependency Edges'!$B$5:$B$700,A188)</x:f>
        <x:v>2</x:v>
      </x:c>
      <x:c r="S188" s="83" t="n">
        <x:f>COUNTIF('Dependency Edges'!$A$5:$A$700,A188)</x:f>
        <x:v>1</x:v>
      </x:c>
      <x:c r="T188" s="83" t="str">
        <x:f>IF(AND(D188&lt;&gt;"Source",R188=0),"MISSING INPUT",IF(AND(Q188&lt;&gt;"Yes",S188=0),"NO DOWNSTREAM","OK"))</x:f>
        <x:v>OK</x:v>
      </x:c>
    </x:row>
    <x:row r="189">
      <x:c r="A189" s="83" t="str">
        <x:v>A-QUARANTINE</x:v>
      </x:c>
      <x:c r="B189" s="83" t="str">
        <x:v>Salvage quarantine bay</x:v>
      </x:c>
      <x:c r="C189" s="83" t="str">
        <x:v>Salvage</x:v>
      </x:c>
      <x:c r="D189" s="83" t="str">
        <x:v>Endpoint</x:v>
      </x:c>
      <x:c r="E189" s="83" t="str">
        <x:v>H2</x:v>
      </x:c>
      <x:c r="F189" s="83" t="str">
        <x:v>A-ROOF; W-CLEAN</x:v>
      </x:c>
      <x:c r="G189" s="83" t="str">
        <x:v>isolate / clean / observe</x:v>
      </x:c>
      <x:c r="H189" s="83" t="str">
        <x:v>containers / gloves route</x:v>
      </x:c>
      <x:c r="I189" s="83" t="str">
        <x:v>drained covered bay</x:v>
      </x:c>
      <x:c r="J189" s="83" t="str">
        <x:v>contamination control</x:v>
      </x:c>
      <x:c r="K189" s="83" t="str">
        <x:v>moderate</x:v>
      </x:c>
      <x:c r="L189" s="83" t="n">
        <x:v>120</x:v>
      </x:c>
      <x:c r="M189" s="83" t="n">
        <x:v>240</x:v>
      </x:c>
      <x:c r="N189" s="83" t="str">
        <x:v>no cross-contamination</x:v>
      </x:c>
      <x:c r="O189" s="83" t="str">
        <x:v>home/source contamination</x:v>
      </x:c>
      <x:c r="P189" s="83" t="str">
        <x:v>defer recovery</x:v>
      </x:c>
      <x:c r="Q189" s="83" t="str">
        <x:v>Yes</x:v>
      </x:c>
      <x:c r="R189" s="83" t="n">
        <x:f>COUNTIF('Dependency Edges'!$B$5:$B$700,A189)</x:f>
        <x:v>2</x:v>
      </x:c>
      <x:c r="S189" s="83" t="n">
        <x:f>COUNTIF('Dependency Edges'!$A$5:$A$700,A189)</x:f>
        <x:v>0</x:v>
      </x:c>
      <x:c r="T189" s="83" t="str">
        <x:f>IF(AND(D189&lt;&gt;"Source",R189=0),"MISSING INPUT",IF(AND(Q189&lt;&gt;"Yes",S189=0),"NO DOWNSTREAM","OK"))</x:f>
        <x:v>OK</x:v>
      </x:c>
    </x:row>
    <x:row r="190">
      <x:c r="A190" s="83" t="str">
        <x:v>A-WASTE-CONTROL</x:v>
      </x:c>
      <x:c r="B190" s="83" t="str">
        <x:v>Waste routing and containment</x:v>
      </x:c>
      <x:c r="C190" s="83" t="str">
        <x:v>Salvage</x:v>
      </x:c>
      <x:c r="D190" s="83" t="str">
        <x:v>Endpoint</x:v>
      </x:c>
      <x:c r="E190" s="83" t="str">
        <x:v>H2</x:v>
      </x:c>
      <x:c r="F190" s="83" t="str">
        <x:v>A-SALVAGE-YARD; A-LATRINE</x:v>
      </x:c>
      <x:c r="G190" s="83" t="str">
        <x:v>reuse / recover / contain / dispose</x:v>
      </x:c>
      <x:c r="H190" s="83" t="str">
        <x:v>sorting/handling</x:v>
      </x:c>
      <x:c r="I190" s="83" t="str">
        <x:v>yard/latrine edge</x:v>
      </x:c>
      <x:c r="J190" s="83" t="str">
        <x:v>hazard and ecology</x:v>
      </x:c>
      <x:c r="K190" s="83" t="str">
        <x:v>moderate</x:v>
      </x:c>
      <x:c r="L190" s="83" t="n">
        <x:v>120</x:v>
      </x:c>
      <x:c r="M190" s="83" t="n">
        <x:v>0</x:v>
      </x:c>
      <x:c r="N190" s="83" t="str">
        <x:v>mass accounted and protected</x:v>
      </x:c>
      <x:c r="O190" s="83" t="str">
        <x:v>leak / fire / clutter</x:v>
      </x:c>
      <x:c r="P190" s="83" t="str">
        <x:v>leave marked</x:v>
      </x:c>
      <x:c r="Q190" s="83" t="str">
        <x:v>Yes</x:v>
      </x:c>
      <x:c r="R190" s="83" t="n">
        <x:f>COUNTIF('Dependency Edges'!$B$5:$B$700,A190)</x:f>
        <x:v>2</x:v>
      </x:c>
      <x:c r="S190" s="83" t="n">
        <x:f>COUNTIF('Dependency Edges'!$A$5:$A$700,A190)</x:f>
        <x:v>0</x:v>
      </x:c>
      <x:c r="T190" s="83" t="str">
        <x:f>IF(AND(D190&lt;&gt;"Source",R190=0),"MISSING INPUT",IF(AND(Q190&lt;&gt;"Yes",S190=0),"NO DOWNSTREAM","OK"))</x:f>
        <x:v>OK</x:v>
      </x:c>
    </x:row>
    <x:row r="191">
      <x:c r="A191" s="83" t="str">
        <x:v>A-BURIED-RECOVERY</x:v>
      </x:c>
      <x:c r="B191" s="83" t="str">
        <x:v>Buried salvage recovery operation</x:v>
      </x:c>
      <x:c r="C191" s="83" t="str">
        <x:v>Salvage</x:v>
      </x:c>
      <x:c r="D191" s="83" t="str">
        <x:v>Endpoint</x:v>
      </x:c>
      <x:c r="E191" s="83" t="str">
        <x:v>H2</x:v>
      </x:c>
      <x:c r="F191" s="83" t="str">
        <x:v>T-SHOVEL; T-PRY</x:v>
      </x:c>
      <x:c r="G191" s="83" t="str">
        <x:v>excavate / brace / lever / recover</x:v>
      </x:c>
      <x:c r="H191" s="83" t="str">
        <x:v>shovel / pry</x:v>
      </x:c>
      <x:c r="I191" s="83" t="str">
        <x:v>beach excavation</x:v>
      </x:c>
      <x:c r="J191" s="83" t="str">
        <x:v>earthwork and load control</x:v>
      </x:c>
      <x:c r="K191" s="83" t="str">
        <x:v>high</x:v>
      </x:c>
      <x:c r="L191" s="83" t="n">
        <x:v>120</x:v>
      </x:c>
      <x:c r="M191" s="83" t="n">
        <x:v>0</x:v>
      </x:c>
      <x:c r="N191" s="83" t="str">
        <x:v>recovered without collapse/damage</x:v>
      </x:c>
      <x:c r="O191" s="83" t="str">
        <x:v>collapse / crush / tide loss</x:v>
      </x:c>
      <x:c r="P191" s="83" t="str">
        <x:v>mark and defer</x:v>
      </x:c>
      <x:c r="Q191" s="83" t="str">
        <x:v>Yes</x:v>
      </x:c>
      <x:c r="R191" s="83" t="n">
        <x:f>COUNTIF('Dependency Edges'!$B$5:$B$700,A191)</x:f>
        <x:v>2</x:v>
      </x:c>
      <x:c r="S191" s="83" t="n">
        <x:f>COUNTIF('Dependency Edges'!$A$5:$A$700,A191)</x:f>
        <x:v>0</x:v>
      </x:c>
      <x:c r="T191" s="83" t="str">
        <x:f>IF(AND(D191&lt;&gt;"Source",R191=0),"MISSING INPUT",IF(AND(Q191&lt;&gt;"Yes",S191=0),"NO DOWNSTREAM","OK"))</x:f>
        <x:v>OK</x:v>
      </x:c>
    </x:row>
    <x:row r="192">
      <x:c r="A192" s="83" t="str">
        <x:v>A-STOVE</x:v>
      </x:c>
      <x:c r="B192" s="83" t="str">
        <x:v>Efficient enclosed stove</x:v>
      </x:c>
      <x:c r="C192" s="83" t="str">
        <x:v>Fire</x:v>
      </x:c>
      <x:c r="D192" s="83" t="str">
        <x:v>Assembly</x:v>
      </x:c>
      <x:c r="E192" s="83" t="str">
        <x:v>H3</x:v>
      </x:c>
      <x:c r="F192" s="83" t="str">
        <x:v>W-HEARTH; P-FIRED-CERAMIC</x:v>
      </x:c>
      <x:c r="G192" s="83" t="str">
        <x:v>build / draft / burn / clean</x:v>
      </x:c>
      <x:c r="H192" s="83" t="str">
        <x:v>masonry/ceramic tools</x:v>
      </x:c>
      <x:c r="I192" s="83" t="str">
        <x:v>fire-separated home edge</x:v>
      </x:c>
      <x:c r="J192" s="83" t="str">
        <x:v>combustion and smoke</x:v>
      </x:c>
      <x:c r="K192" s="83" t="str">
        <x:v>high</x:v>
      </x:c>
      <x:c r="L192" s="83" t="n">
        <x:v>300</x:v>
      </x:c>
      <x:c r="M192" s="83" t="n">
        <x:v>60</x:v>
      </x:c>
      <x:c r="N192" s="83" t="str">
        <x:v>controlled burn and safe exhaust</x:v>
      </x:c>
      <x:c r="O192" s="83" t="str">
        <x:v>CO/smoke / fire / poor draft</x:v>
      </x:c>
      <x:c r="P192" s="83" t="str">
        <x:v>open hearth</x:v>
      </x:c>
      <x:c r="Q192" s="83" t="str">
        <x:v>No</x:v>
      </x:c>
      <x:c r="R192" s="83" t="n">
        <x:f>COUNTIF('Dependency Edges'!$B$5:$B$700,A192)</x:f>
        <x:v>2</x:v>
      </x:c>
      <x:c r="S192" s="83" t="n">
        <x:f>COUNTIF('Dependency Edges'!$A$5:$A$700,A192)</x:f>
        <x:v>1</x:v>
      </x:c>
      <x:c r="T192" s="83" t="str">
        <x:f>IF(AND(D192&lt;&gt;"Source",R192=0),"MISSING INPUT",IF(AND(Q192&lt;&gt;"Yes",S192=0),"NO DOWNSTREAM","OK"))</x:f>
        <x:v>OK</x:v>
      </x:c>
    </x:row>
    <x:row r="193">
      <x:c r="A193" s="83" t="str">
        <x:v>A-OVEN</x:v>
      </x:c>
      <x:c r="B193" s="83" t="str">
        <x:v>Thermal-mass oven</x:v>
      </x:c>
      <x:c r="C193" s="83" t="str">
        <x:v>Fire</x:v>
      </x:c>
      <x:c r="D193" s="83" t="str">
        <x:v>Endpoint</x:v>
      </x:c>
      <x:c r="E193" s="83" t="str">
        <x:v>H3</x:v>
      </x:c>
      <x:c r="F193" s="83" t="str">
        <x:v>A-STOVE; P-FIRED-CERAMIC</x:v>
      </x:c>
      <x:c r="G193" s="83" t="str">
        <x:v>preheat / bake / cool / inspect</x:v>
      </x:c>
      <x:c r="H193" s="83" t="str">
        <x:v>stove tools</x:v>
      </x:c>
      <x:c r="I193" s="83" t="str">
        <x:v>fire cell</x:v>
      </x:c>
      <x:c r="J193" s="83" t="str">
        <x:v>residual heat and food</x:v>
      </x:c>
      <x:c r="K193" s="83" t="str">
        <x:v>moderate heat</x:v>
      </x:c>
      <x:c r="L193" s="83" t="n">
        <x:v>240</x:v>
      </x:c>
      <x:c r="M193" s="83" t="n">
        <x:v>120</x:v>
      </x:c>
      <x:c r="N193" s="83" t="str">
        <x:v>repeatable temperature curve</x:v>
      </x:c>
      <x:c r="O193" s="83" t="str">
        <x:v>crack / undercook / fire</x:v>
      </x:c>
      <x:c r="P193" s="83" t="str">
        <x:v>covered hearth</x:v>
      </x:c>
      <x:c r="Q193" s="83" t="str">
        <x:v>Yes</x:v>
      </x:c>
      <x:c r="R193" s="83" t="n">
        <x:f>COUNTIF('Dependency Edges'!$B$5:$B$700,A193)</x:f>
        <x:v>2</x:v>
      </x:c>
      <x:c r="S193" s="83" t="n">
        <x:f>COUNTIF('Dependency Edges'!$A$5:$A$700,A193)</x:f>
        <x:v>0</x:v>
      </x:c>
      <x:c r="T193" s="83" t="str">
        <x:f>IF(AND(D193&lt;&gt;"Source",R193=0),"MISSING INPUT",IF(AND(Q193&lt;&gt;"Yes",S193=0),"NO DOWNSTREAM","OK"))</x:f>
        <x:v>OK</x:v>
      </x:c>
    </x:row>
    <x:row r="194">
      <x:c r="A194" s="83" t="str">
        <x:v>A-OPEN-STEAM</x:v>
      </x:c>
      <x:c r="B194" s="83" t="str">
        <x:v>Open-steam process station</x:v>
      </x:c>
      <x:c r="C194" s="83" t="str">
        <x:v>Fire</x:v>
      </x:c>
      <x:c r="D194" s="83" t="str">
        <x:v>Endpoint</x:v>
      </x:c>
      <x:c r="E194" s="83" t="str">
        <x:v>H4</x:v>
      </x:c>
      <x:c r="F194" s="83" t="str">
        <x:v>C-FOUND-PAN; A-PIPE</x:v>
      </x:c>
      <x:c r="G194" s="83" t="str">
        <x:v>heat / vapor route / condense / drain</x:v>
      </x:c>
      <x:c r="H194" s="83" t="str">
        <x:v>vessel / pipe</x:v>
      </x:c>
      <x:c r="I194" s="83" t="str">
        <x:v>ventilated process cell</x:v>
      </x:c>
      <x:c r="J194" s="83" t="str">
        <x:v>steam/scald and materials</x:v>
      </x:c>
      <x:c r="K194" s="83" t="str">
        <x:v>high heat</x:v>
      </x:c>
      <x:c r="L194" s="83" t="n">
        <x:v>120</x:v>
      </x:c>
      <x:c r="M194" s="83" t="n">
        <x:v>60</x:v>
      </x:c>
      <x:c r="N194" s="83" t="str">
        <x:v>stable non-pressurized flow</x:v>
      </x:c>
      <x:c r="O194" s="83" t="str">
        <x:v>scald / leak / contamination</x:v>
      </x:c>
      <x:c r="P194" s="83" t="str">
        <x:v>direct heat</x:v>
      </x:c>
      <x:c r="Q194" s="83" t="str">
        <x:v>Yes</x:v>
      </x:c>
      <x:c r="R194" s="83" t="n">
        <x:f>COUNTIF('Dependency Edges'!$B$5:$B$700,A194)</x:f>
        <x:v>2</x:v>
      </x:c>
      <x:c r="S194" s="83" t="n">
        <x:f>COUNTIF('Dependency Edges'!$A$5:$A$700,A194)</x:f>
        <x:v>0</x:v>
      </x:c>
      <x:c r="T194" s="83" t="str">
        <x:f>IF(AND(D194&lt;&gt;"Source",R194=0),"MISSING INPUT",IF(AND(Q194&lt;&gt;"Yes",S194=0),"NO DOWNSTREAM","OK"))</x:f>
        <x:v>OK</x:v>
      </x:c>
    </x:row>
    <x:row r="195">
      <x:c r="A195" s="83" t="str">
        <x:v>A-PRESSURE-CONTROL</x:v>
      </x:c>
      <x:c r="B195" s="83" t="str">
        <x:v>Pressure relief and control set</x:v>
      </x:c>
      <x:c r="C195" s="83" t="str">
        <x:v>Power</x:v>
      </x:c>
      <x:c r="D195" s="83" t="str">
        <x:v>Assembly</x:v>
      </x:c>
      <x:c r="E195" s="83" t="str">
        <x:v>H5</x:v>
      </x:c>
      <x:c r="F195" s="83" t="str">
        <x:v>A-VALVE; T-METER</x:v>
      </x:c>
      <x:c r="G195" s="83" t="str">
        <x:v>install / calibrate / test / isolate</x:v>
      </x:c>
      <x:c r="H195" s="83" t="str">
        <x:v>meter / valve tools</x:v>
      </x:c>
      <x:c r="I195" s="83" t="str">
        <x:v>precision bench</x:v>
      </x:c>
      <x:c r="J195" s="83" t="str">
        <x:v>pressure systems</x:v>
      </x:c>
      <x:c r="K195" s="83" t="str">
        <x:v>moderate</x:v>
      </x:c>
      <x:c r="L195" s="83" t="n">
        <x:v>240</x:v>
      </x:c>
      <x:c r="M195" s="83" t="n">
        <x:v>0</x:v>
      </x:c>
      <x:c r="N195" s="83" t="str">
        <x:v>safe relief/control test</x:v>
      </x:c>
      <x:c r="O195" s="83" t="str">
        <x:v>overpressure / false gauge</x:v>
      </x:c>
      <x:c r="P195" s="83" t="str">
        <x:v>no pressure operation</x:v>
      </x:c>
      <x:c r="Q195" s="83" t="str">
        <x:v>No</x:v>
      </x:c>
      <x:c r="R195" s="83" t="n">
        <x:f>COUNTIF('Dependency Edges'!$B$5:$B$700,A195)</x:f>
        <x:v>2</x:v>
      </x:c>
      <x:c r="S195" s="83" t="n">
        <x:f>COUNTIF('Dependency Edges'!$A$5:$A$700,A195)</x:f>
        <x:v>1</x:v>
      </x:c>
      <x:c r="T195" s="83" t="str">
        <x:f>IF(AND(D195&lt;&gt;"Source",R195=0),"MISSING INPUT",IF(AND(Q195&lt;&gt;"Yes",S195=0),"NO DOWNSTREAM","OK"))</x:f>
        <x:v>OK</x:v>
      </x:c>
    </x:row>
    <x:row r="196">
      <x:c r="A196" s="83" t="str">
        <x:v>A-PRESSURE-BOILER</x:v>
      </x:c>
      <x:c r="B196" s="83" t="str">
        <x:v>Qualified pressure boiler</x:v>
      </x:c>
      <x:c r="C196" s="83" t="str">
        <x:v>Power</x:v>
      </x:c>
      <x:c r="D196" s="83" t="str">
        <x:v>Assembly</x:v>
      </x:c>
      <x:c r="E196" s="83" t="str">
        <x:v>H6</x:v>
      </x:c>
      <x:c r="F196" s="83" t="str">
        <x:v>P-METAL-STOCK; A-PRESSURE-CONTROL</x:v>
      </x:c>
      <x:c r="G196" s="83" t="str">
        <x:v>inspect / assemble / hydrotest / fire</x:v>
      </x:c>
      <x:c r="H196" s="83" t="str">
        <x:v>metal/pressure tools</x:v>
      </x:c>
      <x:c r="I196" s="83" t="str">
        <x:v>separate power house</x:v>
      </x:c>
      <x:c r="J196" s="83" t="str">
        <x:v>boiler integrity and feedwater</x:v>
      </x:c>
      <x:c r="K196" s="83" t="str">
        <x:v>high</x:v>
      </x:c>
      <x:c r="L196" s="83" t="n">
        <x:v>960</x:v>
      </x:c>
      <x:c r="M196" s="83" t="n">
        <x:v>480</x:v>
      </x:c>
      <x:c r="N196" s="83" t="str">
        <x:v>qualified boundary and shutdown</x:v>
      </x:c>
      <x:c r="O196" s="83" t="str">
        <x:v>rupture / leak / scale</x:v>
      </x:c>
      <x:c r="P196" s="83" t="str">
        <x:v>open steam</x:v>
      </x:c>
      <x:c r="Q196" s="83" t="str">
        <x:v>No</x:v>
      </x:c>
      <x:c r="R196" s="83" t="n">
        <x:f>COUNTIF('Dependency Edges'!$B$5:$B$700,A196)</x:f>
        <x:v>2</x:v>
      </x:c>
      <x:c r="S196" s="83" t="n">
        <x:f>COUNTIF('Dependency Edges'!$A$5:$A$700,A196)</x:f>
        <x:v>1</x:v>
      </x:c>
      <x:c r="T196" s="83" t="str">
        <x:f>IF(AND(D196&lt;&gt;"Source",R196=0),"MISSING INPUT",IF(AND(Q196&lt;&gt;"Yes",S196=0),"NO DOWNSTREAM","OK"))</x:f>
        <x:v>OK</x:v>
      </x:c>
    </x:row>
    <x:row r="197">
      <x:c r="A197" s="83" t="str">
        <x:v>A-STEAM-ENGINE</x:v>
      </x:c>
      <x:c r="B197" s="83" t="str">
        <x:v>Steam prime mover</x:v>
      </x:c>
      <x:c r="C197" s="83" t="str">
        <x:v>Power</x:v>
      </x:c>
      <x:c r="D197" s="83" t="str">
        <x:v>Assembly</x:v>
      </x:c>
      <x:c r="E197" s="83" t="str">
        <x:v>H6</x:v>
      </x:c>
      <x:c r="F197" s="83" t="str">
        <x:v>A-PRESSURE-BOILER; S-BEARING</x:v>
      </x:c>
      <x:c r="G197" s="83" t="str">
        <x:v>valve / expand / lubricate / govern</x:v>
      </x:c>
      <x:c r="H197" s="83" t="str">
        <x:v>precision tools</x:v>
      </x:c>
      <x:c r="I197" s="83" t="str">
        <x:v>power house</x:v>
      </x:c>
      <x:c r="J197" s="83" t="str">
        <x:v>mechanics and steam</x:v>
      </x:c>
      <x:c r="K197" s="83" t="str">
        <x:v>high</x:v>
      </x:c>
      <x:c r="L197" s="83" t="n">
        <x:v>1200</x:v>
      </x:c>
      <x:c r="M197" s="83" t="n">
        <x:v>240</x:v>
      </x:c>
      <x:c r="N197" s="83" t="str">
        <x:v>controlled no-load and load run</x:v>
      </x:c>
      <x:c r="O197" s="83" t="str">
        <x:v>overspeed / seizure / steam release</x:v>
      </x:c>
      <x:c r="P197" s="83" t="str">
        <x:v>motor/wind/water</x:v>
      </x:c>
      <x:c r="Q197" s="83" t="str">
        <x:v>No</x:v>
      </x:c>
      <x:c r="R197" s="83" t="n">
        <x:f>COUNTIF('Dependency Edges'!$B$5:$B$700,A197)</x:f>
        <x:v>2</x:v>
      </x:c>
      <x:c r="S197" s="83" t="n">
        <x:f>COUNTIF('Dependency Edges'!$A$5:$A$700,A197)</x:f>
        <x:v>2</x:v>
      </x:c>
      <x:c r="T197" s="83" t="str">
        <x:f>IF(AND(D197&lt;&gt;"Source",R197=0),"MISSING INPUT",IF(AND(Q197&lt;&gt;"Yes",S197=0),"NO DOWNSTREAM","OK"))</x:f>
        <x:v>OK</x:v>
      </x:c>
    </x:row>
    <x:row r="198">
      <x:c r="A198" s="83" t="str">
        <x:v>A-STEAM-PUMP</x:v>
      </x:c>
      <x:c r="B198" s="83" t="str">
        <x:v>Steam-driven water/mine pump</x:v>
      </x:c>
      <x:c r="C198" s="83" t="str">
        <x:v>Power</x:v>
      </x:c>
      <x:c r="D198" s="83" t="str">
        <x:v>Endpoint</x:v>
      </x:c>
      <x:c r="E198" s="83" t="str">
        <x:v>H6</x:v>
      </x:c>
      <x:c r="F198" s="83" t="str">
        <x:v>A-STEAM-ENGINE; A-PUMP</x:v>
      </x:c>
      <x:c r="G198" s="83" t="str">
        <x:v>couple / prime / pump / shut down</x:v>
      </x:c>
      <x:c r="H198" s="83" t="str">
        <x:v>engine/pump tools</x:v>
      </x:c>
      <x:c r="I198" s="83" t="str">
        <x:v>power/water system</x:v>
      </x:c>
      <x:c r="J198" s="83" t="str">
        <x:v>hydraulics and steam</x:v>
      </x:c>
      <x:c r="K198" s="83" t="str">
        <x:v>moderate</x:v>
      </x:c>
      <x:c r="L198" s="83" t="n">
        <x:v>240</x:v>
      </x:c>
      <x:c r="M198" s="83" t="n">
        <x:v>0</x:v>
      </x:c>
      <x:c r="N198" s="83" t="str">
        <x:v>flow and safe-stop test</x:v>
      </x:c>
      <x:c r="O198" s="83" t="str">
        <x:v>cavitation / flood / rupture</x:v>
      </x:c>
      <x:c r="P198" s="83" t="str">
        <x:v>hand pump</x:v>
      </x:c>
      <x:c r="Q198" s="83" t="str">
        <x:v>Yes</x:v>
      </x:c>
      <x:c r="R198" s="83" t="n">
        <x:f>COUNTIF('Dependency Edges'!$B$5:$B$700,A198)</x:f>
        <x:v>2</x:v>
      </x:c>
      <x:c r="S198" s="83" t="n">
        <x:f>COUNTIF('Dependency Edges'!$A$5:$A$700,A198)</x:f>
        <x:v>0</x:v>
      </x:c>
      <x:c r="T198" s="83" t="str">
        <x:f>IF(AND(D198&lt;&gt;"Source",R198=0),"MISSING INPUT",IF(AND(Q198&lt;&gt;"Yes",S198=0),"NO DOWNSTREAM","OK"))</x:f>
        <x:v>OK</x:v>
      </x:c>
    </x:row>
    <x:row r="199">
      <x:c r="A199" s="83" t="str">
        <x:v>A-STEAM-GEN</x:v>
      </x:c>
      <x:c r="B199" s="83" t="str">
        <x:v>Steam-electric generation set</x:v>
      </x:c>
      <x:c r="C199" s="83" t="str">
        <x:v>Power</x:v>
      </x:c>
      <x:c r="D199" s="83" t="str">
        <x:v>Endpoint</x:v>
      </x:c>
      <x:c r="E199" s="83" t="str">
        <x:v>H6</x:v>
      </x:c>
      <x:c r="F199" s="83" t="str">
        <x:v>A-STEAM-ENGINE; A-GENERATOR</x:v>
      </x:c>
      <x:c r="G199" s="83" t="str">
        <x:v>couple / govern / generate / protect</x:v>
      </x:c>
      <x:c r="H199" s="83" t="str">
        <x:v>meter / precision tools</x:v>
      </x:c>
      <x:c r="I199" s="83" t="str">
        <x:v>power house</x:v>
      </x:c>
      <x:c r="J199" s="83" t="str">
        <x:v>steam + electrical</x:v>
      </x:c>
      <x:c r="K199" s="83" t="str">
        <x:v>moderate</x:v>
      </x:c>
      <x:c r="L199" s="83" t="n">
        <x:v>360</x:v>
      </x:c>
      <x:c r="M199" s="83" t="n">
        <x:v>0</x:v>
      </x:c>
      <x:c r="N199" s="83" t="str">
        <x:v>stable protected output</x:v>
      </x:c>
      <x:c r="O199" s="83" t="str">
        <x:v>overspeed / shock / fire</x:v>
      </x:c>
      <x:c r="P199" s="83" t="str">
        <x:v>solar/motor generator</x:v>
      </x:c>
      <x:c r="Q199" s="83" t="str">
        <x:v>Yes</x:v>
      </x:c>
      <x:c r="R199" s="83" t="n">
        <x:f>COUNTIF('Dependency Edges'!$B$5:$B$700,A199)</x:f>
        <x:v>2</x:v>
      </x:c>
      <x:c r="S199" s="83" t="n">
        <x:f>COUNTIF('Dependency Edges'!$A$5:$A$700,A199)</x:f>
        <x:v>0</x:v>
      </x:c>
      <x:c r="T199" s="83" t="str">
        <x:f>IF(AND(D199&lt;&gt;"Source",R199=0),"MISSING INPUT",IF(AND(Q199&lt;&gt;"Yes",S199=0),"NO DOWNSTREAM","OK"))</x:f>
        <x:v>OK</x:v>
      </x:c>
    </x:row>
    <x:row r="200">
      <x:c r="A200" s="83" t="str">
        <x:v>W-FIBER-CELL</x:v>
      </x:c>
      <x:c r="B200" s="83" t="str">
        <x:v>Specialist fiber workshop cell</x:v>
      </x:c>
      <x:c r="C200" s="83" t="str">
        <x:v>Workshop</x:v>
      </x:c>
      <x:c r="D200" s="83" t="str">
        <x:v>Endpoint</x:v>
      </x:c>
      <x:c r="E200" s="83" t="str">
        <x:v>H3</x:v>
      </x:c>
      <x:c r="F200" s="83" t="str">
        <x:v>A-FIBER-STATION; W-BENCH</x:v>
      </x:c>
      <x:c r="G200" s="83" t="str">
        <x:v>grade / spin / weave / test</x:v>
      </x:c>
      <x:c r="H200" s="83" t="str">
        <x:v>fiber station</x:v>
      </x:c>
      <x:c r="I200" s="83" t="str">
        <x:v>dry separated shop</x:v>
      </x:c>
      <x:c r="J200" s="83" t="str">
        <x:v>fiber workflow</x:v>
      </x:c>
      <x:c r="K200" s="83" t="str">
        <x:v>moderate</x:v>
      </x:c>
      <x:c r="L200" s="83" t="n">
        <x:v>240</x:v>
      </x:c>
      <x:c r="M200" s="83" t="n">
        <x:v>0</x:v>
      </x:c>
      <x:c r="N200" s="83" t="str">
        <x:v>repeatable clean production</x:v>
      </x:c>
      <x:c r="O200" s="83" t="str">
        <x:v>mold / contamination</x:v>
      </x:c>
      <x:c r="P200" s="83" t="str">
        <x:v>general bench</x:v>
      </x:c>
      <x:c r="Q200" s="83" t="str">
        <x:v>Yes</x:v>
      </x:c>
      <x:c r="R200" s="83" t="n">
        <x:f>COUNTIF('Dependency Edges'!$B$5:$B$700,A200)</x:f>
        <x:v>2</x:v>
      </x:c>
      <x:c r="S200" s="83" t="n">
        <x:f>COUNTIF('Dependency Edges'!$A$5:$A$700,A200)</x:f>
        <x:v>0</x:v>
      </x:c>
      <x:c r="T200" s="83" t="str">
        <x:f>IF(AND(D200&lt;&gt;"Source",R200=0),"MISSING INPUT",IF(AND(Q200&lt;&gt;"Yes",S200=0),"NO DOWNSTREAM","OK"))</x:f>
        <x:v>OK</x:v>
      </x:c>
    </x:row>
    <x:row r="201">
      <x:c r="A201" s="83" t="str">
        <x:v>W-FOOD-CELL</x:v>
      </x:c>
      <x:c r="B201" s="83" t="str">
        <x:v>Clean food-processing cell</x:v>
      </x:c>
      <x:c r="C201" s="83" t="str">
        <x:v>Workshop</x:v>
      </x:c>
      <x:c r="D201" s="83" t="str">
        <x:v>Endpoint</x:v>
      </x:c>
      <x:c r="E201" s="83" t="str">
        <x:v>H3</x:v>
      </x:c>
      <x:c r="F201" s="83" t="str">
        <x:v>W-BENCH; W-CLEAN</x:v>
      </x:c>
      <x:c r="G201" s="83" t="str">
        <x:v>wash / cut / heat / store</x:v>
      </x:c>
      <x:c r="H201" s="83" t="str">
        <x:v>food vessels</x:v>
      </x:c>
      <x:c r="I201" s="83" t="str">
        <x:v>clean separated shop</x:v>
      </x:c>
      <x:c r="J201" s="83" t="str">
        <x:v>hygiene and preservation</x:v>
      </x:c>
      <x:c r="K201" s="83" t="str">
        <x:v>moderate</x:v>
      </x:c>
      <x:c r="L201" s="83" t="n">
        <x:v>240</x:v>
      </x:c>
      <x:c r="M201" s="83" t="n">
        <x:v>0</x:v>
      </x:c>
      <x:c r="N201" s="83" t="str">
        <x:v>clean workflow audit</x:v>
      </x:c>
      <x:c r="O201" s="83" t="str">
        <x:v>cross-contamination</x:v>
      </x:c>
      <x:c r="P201" s="83" t="str">
        <x:v>temporary clean surface</x:v>
      </x:c>
      <x:c r="Q201" s="83" t="str">
        <x:v>Yes</x:v>
      </x:c>
      <x:c r="R201" s="83" t="n">
        <x:f>COUNTIF('Dependency Edges'!$B$5:$B$700,A201)</x:f>
        <x:v>2</x:v>
      </x:c>
      <x:c r="S201" s="83" t="n">
        <x:f>COUNTIF('Dependency Edges'!$A$5:$A$700,A201)</x:f>
        <x:v>0</x:v>
      </x:c>
      <x:c r="T201" s="83" t="str">
        <x:f>IF(AND(D201&lt;&gt;"Source",R201=0),"MISSING INPUT",IF(AND(Q201&lt;&gt;"Yes",S201=0),"NO DOWNSTREAM","OK"))</x:f>
        <x:v>OK</x:v>
      </x:c>
    </x:row>
    <x:row r="202">
      <x:c r="A202" s="83" t="str">
        <x:v>W-ENGINE-CELL</x:v>
      </x:c>
      <x:c r="B202" s="83" t="str">
        <x:v>Engine/mechanical repair cell</x:v>
      </x:c>
      <x:c r="C202" s="83" t="str">
        <x:v>Workshop</x:v>
      </x:c>
      <x:c r="D202" s="83" t="str">
        <x:v>Endpoint</x:v>
      </x:c>
      <x:c r="E202" s="83" t="str">
        <x:v>H4</x:v>
      </x:c>
      <x:c r="F202" s="83" t="str">
        <x:v>W-PRECISION; A-TRIPOD</x:v>
      </x:c>
      <x:c r="G202" s="83" t="str">
        <x:v>isolate / hold / measure / test</x:v>
      </x:c>
      <x:c r="H202" s="83" t="str">
        <x:v>precision bench / hoist</x:v>
      </x:c>
      <x:c r="I202" s="83" t="str">
        <x:v>drained mechanical shop</x:v>
      </x:c>
      <x:c r="J202" s="83" t="str">
        <x:v>mechanics and contamination</x:v>
      </x:c>
      <x:c r="K202" s="83" t="str">
        <x:v>high</x:v>
      </x:c>
      <x:c r="L202" s="83" t="n">
        <x:v>480</x:v>
      </x:c>
      <x:c r="M202" s="83" t="n">
        <x:v>0</x:v>
      </x:c>
      <x:c r="N202" s="83" t="str">
        <x:v>subsystem bench test</x:v>
      </x:c>
      <x:c r="O202" s="83" t="str">
        <x:v>lost part / stored energy / spill</x:v>
      </x:c>
      <x:c r="P202" s="83" t="str">
        <x:v>boatyard bench</x:v>
      </x:c>
      <x:c r="Q202" s="83" t="str">
        <x:v>Yes</x:v>
      </x:c>
      <x:c r="R202" s="83" t="n">
        <x:f>COUNTIF('Dependency Edges'!$B$5:$B$700,A202)</x:f>
        <x:v>2</x:v>
      </x:c>
      <x:c r="S202" s="83" t="n">
        <x:f>COUNTIF('Dependency Edges'!$A$5:$A$700,A202)</x:f>
        <x:v>0</x:v>
      </x:c>
      <x:c r="T202" s="83" t="str">
        <x:f>IF(AND(D202&lt;&gt;"Source",R202=0),"MISSING INPUT",IF(AND(Q202&lt;&gt;"Yes",S202=0),"NO DOWNSTREAM","OK"))</x:f>
        <x:v>OK</x:v>
      </x:c>
    </x:row>
    <x:row r="203">
      <x:c r="A203" s="83" t="str">
        <x:v>A-DRAINAGE</x:v>
      </x:c>
      <x:c r="B203" s="83" t="str">
        <x:v>Shelter drainage network</x:v>
      </x:c>
      <x:c r="C203" s="83" t="str">
        <x:v>Shelter</x:v>
      </x:c>
      <x:c r="D203" s="83" t="str">
        <x:v>Assembly</x:v>
      </x:c>
      <x:c r="E203" s="83" t="str">
        <x:v>H2</x:v>
      </x:c>
      <x:c r="F203" s="83" t="str">
        <x:v>T-SHOVEL; T-MEASURE</x:v>
      </x:c>
      <x:c r="G203" s="83" t="str">
        <x:v>survey / dig / line / overflow test</x:v>
      </x:c>
      <x:c r="H203" s="83" t="str">
        <x:v>shovel / measure</x:v>
      </x:c>
      <x:c r="I203" s="83" t="str">
        <x:v>site</x:v>
      </x:c>
      <x:c r="J203" s="83" t="str">
        <x:v>hydrology and earthwork</x:v>
      </x:c>
      <x:c r="K203" s="83" t="str">
        <x:v>high</x:v>
      </x:c>
      <x:c r="L203" s="83" t="n">
        <x:v>360</x:v>
      </x:c>
      <x:c r="M203" s="83" t="n">
        <x:v>0</x:v>
      </x:c>
      <x:c r="N203" s="83" t="str">
        <x:v>design-rain flow test</x:v>
      </x:c>
      <x:c r="O203" s="83" t="str">
        <x:v>scour / foundation saturation</x:v>
      </x:c>
      <x:c r="P203" s="83" t="str">
        <x:v>site relocation</x:v>
      </x:c>
      <x:c r="Q203" s="83" t="str">
        <x:v>No</x:v>
      </x:c>
      <x:c r="R203" s="83" t="n">
        <x:f>COUNTIF('Dependency Edges'!$B$5:$B$700,A203)</x:f>
        <x:v>2</x:v>
      </x:c>
      <x:c r="S203" s="83" t="n">
        <x:f>COUNTIF('Dependency Edges'!$A$5:$A$700,A203)</x:f>
        <x:v>2</x:v>
      </x:c>
      <x:c r="T203" s="83" t="str">
        <x:f>IF(AND(D203&lt;&gt;"Source",R203=0),"MISSING INPUT",IF(AND(Q203&lt;&gt;"Yes",S203=0),"NO DOWNSTREAM","OK"))</x:f>
        <x:v>OK</x:v>
      </x:c>
    </x:row>
    <x:row r="204">
      <x:c r="A204" s="83" t="str">
        <x:v>A-SHUTTERS</x:v>
      </x:c>
      <x:c r="B204" s="83" t="str">
        <x:v>Storm shutters/opening protection</x:v>
      </x:c>
      <x:c r="C204" s="83" t="str">
        <x:v>Shelter</x:v>
      </x:c>
      <x:c r="D204" s="83" t="str">
        <x:v>Assembly</x:v>
      </x:c>
      <x:c r="E204" s="83" t="str">
        <x:v>H3</x:v>
      </x:c>
      <x:c r="F204" s="83" t="str">
        <x:v>P-PLANK; P-CORD</x:v>
      </x:c>
      <x:c r="G204" s="83" t="str">
        <x:v>frame / hinge / latch / load test</x:v>
      </x:c>
      <x:c r="H204" s="83" t="str">
        <x:v>wood tools</x:v>
      </x:c>
      <x:c r="I204" s="83" t="str">
        <x:v>shelter openings</x:v>
      </x:c>
      <x:c r="J204" s="83" t="str">
        <x:v>load path and egress</x:v>
      </x:c>
      <x:c r="K204" s="83" t="str">
        <x:v>high</x:v>
      </x:c>
      <x:c r="L204" s="83" t="n">
        <x:v>240</x:v>
      </x:c>
      <x:c r="M204" s="83" t="n">
        <x:v>0</x:v>
      </x:c>
      <x:c r="N204" s="83" t="str">
        <x:v>close/open/load/escape test</x:v>
      </x:c>
      <x:c r="O204" s="83" t="str">
        <x:v>trap / detach / block air</x:v>
      </x:c>
      <x:c r="P204" s="83" t="str">
        <x:v>sacrificial screen</x:v>
      </x:c>
      <x:c r="Q204" s="83" t="str">
        <x:v>No</x:v>
      </x:c>
      <x:c r="R204" s="83" t="n">
        <x:f>COUNTIF('Dependency Edges'!$B$5:$B$700,A204)</x:f>
        <x:v>2</x:v>
      </x:c>
      <x:c r="S204" s="83" t="n">
        <x:f>COUNTIF('Dependency Edges'!$A$5:$A$700,A204)</x:f>
        <x:v>1</x:v>
      </x:c>
      <x:c r="T204" s="83" t="str">
        <x:f>IF(AND(D204&lt;&gt;"Source",R204=0),"MISSING INPUT",IF(AND(Q204&lt;&gt;"Yes",S204=0),"NO DOWNSTREAM","OK"))</x:f>
        <x:v>OK</x:v>
      </x:c>
    </x:row>
    <x:row r="205">
      <x:c r="A205" s="83" t="str">
        <x:v>A-VENT</x:v>
      </x:c>
      <x:c r="B205" s="83" t="str">
        <x:v>Controlled ventilation/smoke path</x:v>
      </x:c>
      <x:c r="C205" s="83" t="str">
        <x:v>Shelter</x:v>
      </x:c>
      <x:c r="D205" s="83" t="str">
        <x:v>Endpoint</x:v>
      </x:c>
      <x:c r="E205" s="83" t="str">
        <x:v>H2</x:v>
      </x:c>
      <x:c r="F205" s="83" t="str">
        <x:v>A-ROOF; P-PLANK</x:v>
      </x:c>
      <x:c r="G205" s="83" t="str">
        <x:v>open / screen / draft / close</x:v>
      </x:c>
      <x:c r="H205" s="83" t="str">
        <x:v>cutting/joining</x:v>
      </x:c>
      <x:c r="I205" s="83" t="str">
        <x:v>shelter</x:v>
      </x:c>
      <x:c r="J205" s="83" t="str">
        <x:v>airflow / smoke / pests</x:v>
      </x:c>
      <x:c r="K205" s="83" t="str">
        <x:v>moderate</x:v>
      </x:c>
      <x:c r="L205" s="83" t="n">
        <x:v>180</x:v>
      </x:c>
      <x:c r="M205" s="83" t="n">
        <x:v>0</x:v>
      </x:c>
      <x:c r="N205" s="83" t="str">
        <x:v>occupied airflow and rain test</x:v>
      </x:c>
      <x:c r="O205" s="83" t="str">
        <x:v>smoke / rain / pest entry</x:v>
      </x:c>
      <x:c r="P205" s="83" t="str">
        <x:v>open shelter</x:v>
      </x:c>
      <x:c r="Q205" s="83" t="str">
        <x:v>Yes</x:v>
      </x:c>
      <x:c r="R205" s="83" t="n">
        <x:f>COUNTIF('Dependency Edges'!$B$5:$B$700,A205)</x:f>
        <x:v>2</x:v>
      </x:c>
      <x:c r="S205" s="83" t="n">
        <x:f>COUNTIF('Dependency Edges'!$A$5:$A$700,A205)</x:f>
        <x:v>0</x:v>
      </x:c>
      <x:c r="T205" s="83" t="str">
        <x:f>IF(AND(D205&lt;&gt;"Source",R205=0),"MISSING INPUT",IF(AND(Q205&lt;&gt;"Yes",S205=0),"NO DOWNSTREAM","OK"))</x:f>
        <x:v>OK</x:v>
      </x:c>
    </x:row>
    <x:row r="206">
      <x:c r="A206" s="83" t="str">
        <x:v>A-FIRE-SEPARATION</x:v>
      </x:c>
      <x:c r="B206" s="83" t="str">
        <x:v>Hot-work/fire separation</x:v>
      </x:c>
      <x:c r="C206" s="83" t="str">
        <x:v>Shelter</x:v>
      </x:c>
      <x:c r="D206" s="83" t="str">
        <x:v>Endpoint</x:v>
      </x:c>
      <x:c r="E206" s="83" t="str">
        <x:v>H3</x:v>
      </x:c>
      <x:c r="F206" s="83" t="str">
        <x:v>S-STONE; W-HEARTH</x:v>
      </x:c>
      <x:c r="G206" s="83" t="str">
        <x:v>space / barrier / drainage / egress</x:v>
      </x:c>
      <x:c r="H206" s="83" t="str">
        <x:v>masonry tools</x:v>
      </x:c>
      <x:c r="I206" s="83" t="str">
        <x:v>compound</x:v>
      </x:c>
      <x:c r="J206" s="83" t="str">
        <x:v>fire and fumes</x:v>
      </x:c>
      <x:c r="K206" s="83" t="str">
        <x:v>high</x:v>
      </x:c>
      <x:c r="L206" s="83" t="n">
        <x:v>360</x:v>
      </x:c>
      <x:c r="M206" s="83" t="n">
        <x:v>0</x:v>
      </x:c>
      <x:c r="N206" s="83" t="str">
        <x:v>ember/heat/escape inspection</x:v>
      </x:c>
      <x:c r="O206" s="83" t="str">
        <x:v>compound fire / fumes</x:v>
      </x:c>
      <x:c r="P206" s="83" t="str">
        <x:v>outdoor hot work</x:v>
      </x:c>
      <x:c r="Q206" s="83" t="str">
        <x:v>Yes</x:v>
      </x:c>
      <x:c r="R206" s="83" t="n">
        <x:f>COUNTIF('Dependency Edges'!$B$5:$B$700,A206)</x:f>
        <x:v>2</x:v>
      </x:c>
      <x:c r="S206" s="83" t="n">
        <x:f>COUNTIF('Dependency Edges'!$A$5:$A$700,A206)</x:f>
        <x:v>0</x:v>
      </x:c>
      <x:c r="T206" s="83" t="str">
        <x:f>IF(AND(D206&lt;&gt;"Source",R206=0),"MISSING INPUT",IF(AND(Q206&lt;&gt;"Yes",S206=0),"NO DOWNSTREAM","OK"))</x:f>
        <x:v>OK</x:v>
      </x:c>
    </x:row>
    <x:row r="207">
      <x:c r="A207" s="83" t="str">
        <x:v>A-SAFE-CELL</x:v>
      </x:c>
      <x:c r="B207" s="83" t="str">
        <x:v>Multi-hazard safe sleeping cell</x:v>
      </x:c>
      <x:c r="C207" s="83" t="str">
        <x:v>Shelter</x:v>
      </x:c>
      <x:c r="D207" s="83" t="str">
        <x:v>Assembly</x:v>
      </x:c>
      <x:c r="E207" s="83" t="str">
        <x:v>H4</x:v>
      </x:c>
      <x:c r="F207" s="83" t="str">
        <x:v>A-REFUGE; A-SHUTTERS; A-DRAINAGE</x:v>
      </x:c>
      <x:c r="G207" s="83" t="str">
        <x:v>brace / protect / ventilate / exit</x:v>
      </x:c>
      <x:c r="H207" s="83" t="str">
        <x:v>construction tools</x:v>
      </x:c>
      <x:c r="I207" s="83" t="str">
        <x:v>resilient house</x:v>
      </x:c>
      <x:c r="J207" s="83" t="str">
        <x:v>multi-hazard design</x:v>
      </x:c>
      <x:c r="K207" s="83" t="str">
        <x:v>very high</x:v>
      </x:c>
      <x:c r="L207" s="83" t="n">
        <x:v>960</x:v>
      </x:c>
      <x:c r="M207" s="83" t="n">
        <x:v>0</x:v>
      </x:c>
      <x:c r="N207" s="83" t="str">
        <x:v>rain/wind/egress drill</x:v>
      </x:c>
      <x:c r="O207" s="83" t="str">
        <x:v>false refuge / trapped hazard</x:v>
      </x:c>
      <x:c r="P207" s="83" t="str">
        <x:v>high-ground refuge</x:v>
      </x:c>
      <x:c r="Q207" s="83" t="str">
        <x:v>No</x:v>
      </x:c>
      <x:c r="R207" s="83" t="n">
        <x:f>COUNTIF('Dependency Edges'!$B$5:$B$700,A207)</x:f>
        <x:v>3</x:v>
      </x:c>
      <x:c r="S207" s="83" t="n">
        <x:f>COUNTIF('Dependency Edges'!$A$5:$A$700,A207)</x:f>
        <x:v>1</x:v>
      </x:c>
      <x:c r="T207" s="83" t="str">
        <x:f>IF(AND(D207&lt;&gt;"Source",R207=0),"MISSING INPUT",IF(AND(Q207&lt;&gt;"Yes",S207=0),"NO DOWNSTREAM","OK"))</x:f>
        <x:v>OK</x:v>
      </x:c>
    </x:row>
    <x:row r="208">
      <x:c r="A208" s="83" t="str">
        <x:v>A-STORM-STORE</x:v>
      </x:c>
      <x:c r="B208" s="83" t="str">
        <x:v>Protected storm reserve</x:v>
      </x:c>
      <x:c r="C208" s="83" t="str">
        <x:v>Shelter</x:v>
      </x:c>
      <x:c r="D208" s="83" t="str">
        <x:v>Endpoint</x:v>
      </x:c>
      <x:c r="E208" s="83" t="str">
        <x:v>H4</x:v>
      </x:c>
      <x:c r="F208" s="83" t="str">
        <x:v>A-COVERED-STORE; A-SAFE-CELL</x:v>
      </x:c>
      <x:c r="G208" s="83" t="str">
        <x:v>stock / isolate / rotate / access</x:v>
      </x:c>
      <x:c r="H208" s="83" t="str">
        <x:v>storage and labels</x:v>
      </x:c>
      <x:c r="I208" s="83" t="str">
        <x:v>safe cell/cache</x:v>
      </x:c>
      <x:c r="J208" s="83" t="str">
        <x:v>provisioning and redundancy</x:v>
      </x:c>
      <x:c r="K208" s="83" t="str">
        <x:v>moderate</x:v>
      </x:c>
      <x:c r="L208" s="83" t="n">
        <x:v>180</x:v>
      </x:c>
      <x:c r="M208" s="83" t="n">
        <x:v>0</x:v>
      </x:c>
      <x:c r="N208" s="83" t="str">
        <x:v>access after simulated service loss</x:v>
      </x:c>
      <x:c r="O208" s="83" t="str">
        <x:v>single-point loss / spoilage</x:v>
      </x:c>
      <x:c r="P208" s="83" t="str">
        <x:v>distributed caches</x:v>
      </x:c>
      <x:c r="Q208" s="83" t="str">
        <x:v>Yes</x:v>
      </x:c>
      <x:c r="R208" s="83" t="n">
        <x:f>COUNTIF('Dependency Edges'!$B$5:$B$700,A208)</x:f>
        <x:v>2</x:v>
      </x:c>
      <x:c r="S208" s="83" t="n">
        <x:f>COUNTIF('Dependency Edges'!$A$5:$A$700,A208)</x:f>
        <x:v>0</x:v>
      </x:c>
      <x:c r="T208" s="83" t="str">
        <x:f>IF(AND(D208&lt;&gt;"Source",R208=0),"MISSING INPUT",IF(AND(Q208&lt;&gt;"Yes",S208=0),"NO DOWNSTREAM","OK"))</x:f>
        <x:v>OK</x:v>
      </x:c>
    </x:row>
    <x:row r="209">
      <x:c r="A209" s="83" t="str">
        <x:v>A-FORAGE-MAP</x:v>
      </x:c>
      <x:c r="B209" s="83" t="str">
        <x:v>Seasonal forage and habitat map</x:v>
      </x:c>
      <x:c r="C209" s="83" t="str">
        <x:v>Nature</x:v>
      </x:c>
      <x:c r="D209" s="83" t="str">
        <x:v>Endpoint</x:v>
      </x:c>
      <x:c r="E209" s="83" t="str">
        <x:v>H1</x:v>
      </x:c>
      <x:c r="F209" s="83" t="str">
        <x:v>S-FOOD; W-ARCHIVE</x:v>
      </x:c>
      <x:c r="G209" s="83" t="str">
        <x:v>observe / identify / record / revisit</x:v>
      </x:c>
      <x:c r="H209" s="83" t="str">
        <x:v>journal</x:v>
      </x:c>
      <x:c r="I209" s="83" t="str">
        <x:v>field/archive</x:v>
      </x:c>
      <x:c r="J209" s="83" t="str">
        <x:v>plant/animal/weather evidence</x:v>
      </x:c>
      <x:c r="K209" s="83" t="str">
        <x:v>moderate</x:v>
      </x:c>
      <x:c r="L209" s="83" t="n">
        <x:v>120</x:v>
      </x:c>
      <x:c r="M209" s="83" t="n">
        <x:v>0</x:v>
      </x:c>
      <x:c r="N209" s="83" t="str">
        <x:v>prediction confirmed across visits</x:v>
      </x:c>
      <x:c r="O209" s="83" t="str">
        <x:v>misidentification / overharvest</x:v>
      </x:c>
      <x:c r="P209" s="83" t="str">
        <x:v>local memory</x:v>
      </x:c>
      <x:c r="Q209" s="83" t="str">
        <x:v>Yes</x:v>
      </x:c>
      <x:c r="R209" s="83" t="n">
        <x:f>COUNTIF('Dependency Edges'!$B$5:$B$700,A209)</x:f>
        <x:v>2</x:v>
      </x:c>
      <x:c r="S209" s="83" t="n">
        <x:f>COUNTIF('Dependency Edges'!$A$5:$A$700,A209)</x:f>
        <x:v>1</x:v>
      </x:c>
      <x:c r="T209" s="83" t="str">
        <x:f>IF(AND(D209&lt;&gt;"Source",R209=0),"MISSING INPUT",IF(AND(Q209&lt;&gt;"Yes",S209=0),"NO DOWNSTREAM","OK"))</x:f>
        <x:v>OK</x:v>
      </x:c>
    </x:row>
    <x:row r="210">
      <x:c r="A210" s="83" t="str">
        <x:v>T-HOE</x:v>
      </x:c>
      <x:c r="B210" s="83" t="str">
        <x:v>Hoe/cultivation tool</x:v>
      </x:c>
      <x:c r="C210" s="83" t="str">
        <x:v>Tools</x:v>
      </x:c>
      <x:c r="D210" s="83" t="str">
        <x:v>Tool</x:v>
      </x:c>
      <x:c r="E210" s="83" t="str">
        <x:v>H1</x:v>
      </x:c>
      <x:c r="F210" s="83" t="str">
        <x:v>T-DIG; P-STRAIGHT-POLE</x:v>
      </x:c>
      <x:c r="G210" s="83" t="str">
        <x:v>shape / haft / test</x:v>
      </x:c>
      <x:c r="H210" s="83" t="str">
        <x:v>cutter / mallet</x:v>
      </x:c>
      <x:c r="I210" s="83" t="str">
        <x:v>bench</x:v>
      </x:c>
      <x:c r="J210" s="83" t="str">
        <x:v>soil and tool geometry</x:v>
      </x:c>
      <x:c r="K210" s="83" t="str">
        <x:v>moderate</x:v>
      </x:c>
      <x:c r="L210" s="83" t="n">
        <x:v>90</x:v>
      </x:c>
      <x:c r="M210" s="83" t="n">
        <x:v>0</x:v>
      </x:c>
      <x:c r="N210" s="83" t="str">
        <x:v>soil work without head shift</x:v>
      </x:c>
      <x:c r="O210" s="83" t="str">
        <x:v>split / strain / soil damage</x:v>
      </x:c>
      <x:c r="P210" s="83" t="str">
        <x:v>digging stick</x:v>
      </x:c>
      <x:c r="Q210" s="83" t="str">
        <x:v>No</x:v>
      </x:c>
      <x:c r="R210" s="83" t="n">
        <x:f>COUNTIF('Dependency Edges'!$B$5:$B$700,A210)</x:f>
        <x:v>2</x:v>
      </x:c>
      <x:c r="S210" s="83" t="n">
        <x:f>COUNTIF('Dependency Edges'!$A$5:$A$700,A210)</x:f>
        <x:v>1</x:v>
      </x:c>
      <x:c r="T210" s="83" t="str">
        <x:f>IF(AND(D210&lt;&gt;"Source",R210=0),"MISSING INPUT",IF(AND(Q210&lt;&gt;"Yes",S210=0),"NO DOWNSTREAM","OK"))</x:f>
        <x:v>OK</x:v>
      </x:c>
    </x:row>
    <x:row r="211">
      <x:c r="A211" s="83" t="str">
        <x:v>A-NURSERY</x:v>
      </x:c>
      <x:c r="B211" s="83" t="str">
        <x:v>Protected nursery and seed trial</x:v>
      </x:c>
      <x:c r="C211" s="83" t="str">
        <x:v>Nature</x:v>
      </x:c>
      <x:c r="D211" s="83" t="str">
        <x:v>Endpoint</x:v>
      </x:c>
      <x:c r="E211" s="83" t="str">
        <x:v>H2</x:v>
      </x:c>
      <x:c r="F211" s="83" t="str">
        <x:v>P-SEED-LOT; T-HOE</x:v>
      </x:c>
      <x:c r="G211" s="83" t="str">
        <x:v>germinate / harden / record</x:v>
      </x:c>
      <x:c r="H211" s="83" t="str">
        <x:v>hoe / containers</x:v>
      </x:c>
      <x:c r="I211" s="83" t="str">
        <x:v>protected garden</x:v>
      </x:c>
      <x:c r="J211" s="83" t="str">
        <x:v>seed and plant care</x:v>
      </x:c>
      <x:c r="K211" s="83" t="str">
        <x:v>moderate</x:v>
      </x:c>
      <x:c r="L211" s="83" t="n">
        <x:v>120</x:v>
      </x:c>
      <x:c r="M211" s="83" t="n">
        <x:v>2880</x:v>
      </x:c>
      <x:c r="N211" s="83" t="str">
        <x:v>viable transplant/seed retention</x:v>
      </x:c>
      <x:c r="O211" s="83" t="str">
        <x:v>rot / dry / disease</x:v>
      </x:c>
      <x:c r="P211" s="83" t="str">
        <x:v>direct sow</x:v>
      </x:c>
      <x:c r="Q211" s="83" t="str">
        <x:v>Yes</x:v>
      </x:c>
      <x:c r="R211" s="83" t="n">
        <x:f>COUNTIF('Dependency Edges'!$B$5:$B$700,A211)</x:f>
        <x:v>2</x:v>
      </x:c>
      <x:c r="S211" s="83" t="n">
        <x:f>COUNTIF('Dependency Edges'!$A$5:$A$700,A211)</x:f>
        <x:v>0</x:v>
      </x:c>
      <x:c r="T211" s="83" t="str">
        <x:f>IF(AND(D211&lt;&gt;"Source",R211=0),"MISSING INPUT",IF(AND(Q211&lt;&gt;"Yes",S211=0),"NO DOWNSTREAM","OK"))</x:f>
        <x:v>OK</x:v>
      </x:c>
    </x:row>
    <x:row r="212">
      <x:c r="A212" s="83" t="str">
        <x:v>A-IRRIGATION</x:v>
      </x:c>
      <x:c r="B212" s="83" t="str">
        <x:v>Controlled irrigation network</x:v>
      </x:c>
      <x:c r="C212" s="83" t="str">
        <x:v>Water</x:v>
      </x:c>
      <x:c r="D212" s="83" t="str">
        <x:v>Endpoint</x:v>
      </x:c>
      <x:c r="E212" s="83" t="str">
        <x:v>H3</x:v>
      </x:c>
      <x:c r="F212" s="83" t="str">
        <x:v>A-CISTERN; A-PIPE</x:v>
      </x:c>
      <x:c r="G212" s="83" t="str">
        <x:v>store / distribute / shut off / drain</x:v>
      </x:c>
      <x:c r="H212" s="83" t="str">
        <x:v>pipe / valve</x:v>
      </x:c>
      <x:c r="I212" s="83" t="str">
        <x:v>garden</x:v>
      </x:c>
      <x:c r="J212" s="83" t="str">
        <x:v>water and soil</x:v>
      </x:c>
      <x:c r="K212" s="83" t="str">
        <x:v>moderate</x:v>
      </x:c>
      <x:c r="L212" s="83" t="n">
        <x:v>360</x:v>
      </x:c>
      <x:c r="M212" s="83" t="n">
        <x:v>0</x:v>
      </x:c>
      <x:c r="N212" s="83" t="str">
        <x:v>uniform flow and leak reserve</x:v>
      </x:c>
      <x:c r="O212" s="83" t="str">
        <x:v>empty cistern / waterlog / contaminate</x:v>
      </x:c>
      <x:c r="P212" s="83" t="str">
        <x:v>hand water</x:v>
      </x:c>
      <x:c r="Q212" s="83" t="str">
        <x:v>Yes</x:v>
      </x:c>
      <x:c r="R212" s="83" t="n">
        <x:f>COUNTIF('Dependency Edges'!$B$5:$B$700,A212)</x:f>
        <x:v>2</x:v>
      </x:c>
      <x:c r="S212" s="83" t="n">
        <x:f>COUNTIF('Dependency Edges'!$A$5:$A$700,A212)</x:f>
        <x:v>0</x:v>
      </x:c>
      <x:c r="T212" s="83" t="str">
        <x:f>IF(AND(D212&lt;&gt;"Source",R212=0),"MISSING INPUT",IF(AND(Q212&lt;&gt;"Yes",S212=0),"NO DOWNSTREAM","OK"))</x:f>
        <x:v>OK</x:v>
      </x:c>
    </x:row>
    <x:row r="213">
      <x:c r="A213" s="83" t="str">
        <x:v>A-ANIMAL-ENC</x:v>
      </x:c>
      <x:c r="B213" s="83" t="str">
        <x:v>Species-appropriate animal enclosure</x:v>
      </x:c>
      <x:c r="C213" s="83" t="str">
        <x:v>Nature</x:v>
      </x:c>
      <x:c r="D213" s="83" t="str">
        <x:v>Assembly</x:v>
      </x:c>
      <x:c r="E213" s="83" t="str">
        <x:v>H3</x:v>
      </x:c>
      <x:c r="F213" s="83" t="str">
        <x:v>P-STRAIGHT-POLE; P-CORD</x:v>
      </x:c>
      <x:c r="G213" s="83" t="str">
        <x:v>exclude / shelter / handle / clean</x:v>
      </x:c>
      <x:c r="H213" s="83" t="str">
        <x:v>construction/fiber tools</x:v>
      </x:c>
      <x:c r="I213" s="83" t="str">
        <x:v>homestead edge</x:v>
      </x:c>
      <x:c r="J213" s="83" t="str">
        <x:v>behavior and welfare</x:v>
      </x:c>
      <x:c r="K213" s="83" t="str">
        <x:v>high</x:v>
      </x:c>
      <x:c r="L213" s="83" t="n">
        <x:v>480</x:v>
      </x:c>
      <x:c r="M213" s="83" t="n">
        <x:v>0</x:v>
      </x:c>
      <x:c r="N213" s="83" t="str">
        <x:v>escape/predator/weather/cleaning test</x:v>
      </x:c>
      <x:c r="O213" s="83" t="str">
        <x:v>injury / escape / disease</x:v>
      </x:c>
      <x:c r="P213" s="83" t="str">
        <x:v>no captivity</x:v>
      </x:c>
      <x:c r="Q213" s="83" t="str">
        <x:v>No</x:v>
      </x:c>
      <x:c r="R213" s="83" t="n">
        <x:f>COUNTIF('Dependency Edges'!$B$5:$B$700,A213)</x:f>
        <x:v>2</x:v>
      </x:c>
      <x:c r="S213" s="83" t="n">
        <x:f>COUNTIF('Dependency Edges'!$A$5:$A$700,A213)</x:f>
        <x:v>1</x:v>
      </x:c>
      <x:c r="T213" s="83" t="str">
        <x:f>IF(AND(D213&lt;&gt;"Source",R213=0),"MISSING INPUT",IF(AND(Q213&lt;&gt;"Yes",S213=0),"NO DOWNSTREAM","OK"))</x:f>
        <x:v>OK</x:v>
      </x:c>
    </x:row>
    <x:row r="214">
      <x:c r="A214" s="83" t="str">
        <x:v>A-HUSBANDRY</x:v>
      </x:c>
      <x:c r="B214" s="83" t="str">
        <x:v>Sustainable husbandry system</x:v>
      </x:c>
      <x:c r="C214" s="83" t="str">
        <x:v>Nature</x:v>
      </x:c>
      <x:c r="D214" s="83" t="str">
        <x:v>Endpoint</x:v>
      </x:c>
      <x:c r="E214" s="83" t="str">
        <x:v>H4</x:v>
      </x:c>
      <x:c r="F214" s="83" t="str">
        <x:v>S-ANIMAL; S-FODDER; A-ANIMAL-ENC</x:v>
      </x:c>
      <x:c r="G214" s="83" t="str">
        <x:v>feed / water / health / breed / record</x:v>
      </x:c>
      <x:c r="H214" s="83" t="str">
        <x:v>handling and clean tools</x:v>
      </x:c>
      <x:c r="I214" s="83" t="str">
        <x:v>enclosure + feed store</x:v>
      </x:c>
      <x:c r="J214" s="83" t="str">
        <x:v>animal care and population</x:v>
      </x:c>
      <x:c r="K214" s="83" t="str">
        <x:v>moderate daily</x:v>
      </x:c>
      <x:c r="L214" s="83" t="n">
        <x:v>60</x:v>
      </x:c>
      <x:c r="M214" s="83" t="n">
        <x:v>1440</x:v>
      </x:c>
      <x:c r="N214" s="83" t="str">
        <x:v>health, welfare and feed continuity</x:v>
      </x:c>
      <x:c r="O214" s="83" t="str">
        <x:v>disease / starvation / ecological harm</x:v>
      </x:c>
      <x:c r="P214" s="83" t="str">
        <x:v>wild provisioning</x:v>
      </x:c>
      <x:c r="Q214" s="83" t="str">
        <x:v>Yes</x:v>
      </x:c>
      <x:c r="R214" s="83" t="n">
        <x:f>COUNTIF('Dependency Edges'!$B$5:$B$700,A214)</x:f>
        <x:v>3</x:v>
      </x:c>
      <x:c r="S214" s="83" t="n">
        <x:f>COUNTIF('Dependency Edges'!$A$5:$A$700,A214)</x:f>
        <x:v>0</x:v>
      </x:c>
      <x:c r="T214" s="83" t="str">
        <x:f>IF(AND(D214&lt;&gt;"Source",R214=0),"MISSING INPUT",IF(AND(Q214&lt;&gt;"Yes",S214=0),"NO DOWNSTREAM","OK"))</x:f>
        <x:v>OK</x:v>
      </x:c>
    </x:row>
    <x:row r="215">
      <x:c r="A215" s="83" t="str">
        <x:v>A-WELL</x:v>
      </x:c>
      <x:c r="B215" s="83" t="str">
        <x:v>Protected dug well and lift</x:v>
      </x:c>
      <x:c r="C215" s="83" t="str">
        <x:v>Water</x:v>
      </x:c>
      <x:c r="D215" s="83" t="str">
        <x:v>Endpoint</x:v>
      </x:c>
      <x:c r="E215" s="83" t="str">
        <x:v>H4</x:v>
      </x:c>
      <x:c r="F215" s="83" t="str">
        <x:v>T-SHOVEL; A-PUMP; A-DRAINAGE</x:v>
      </x:c>
      <x:c r="G215" s="83" t="str">
        <x:v>survey / excavate / line / protect / test</x:v>
      </x:c>
      <x:c r="H215" s="83" t="str">
        <x:v>shovel / pump</x:v>
      </x:c>
      <x:c r="I215" s="83" t="str">
        <x:v>safe groundwater site</x:v>
      </x:c>
      <x:c r="J215" s="83" t="str">
        <x:v>geology / sanitation / shoring</x:v>
      </x:c>
      <x:c r="K215" s="83" t="str">
        <x:v>very high</x:v>
      </x:c>
      <x:c r="L215" s="83" t="n">
        <x:v>1440</x:v>
      </x:c>
      <x:c r="M215" s="83" t="n">
        <x:v>0</x:v>
      </x:c>
      <x:c r="N215" s="83" t="str">
        <x:v>seasonal yield and repeated safety evidence</x:v>
      </x:c>
      <x:c r="O215" s="83" t="str">
        <x:v>collapse / salt / contamination</x:v>
      </x:c>
      <x:c r="P215" s="83" t="str">
        <x:v>rain/spring</x:v>
      </x:c>
      <x:c r="Q215" s="83" t="str">
        <x:v>Yes</x:v>
      </x:c>
      <x:c r="R215" s="83" t="n">
        <x:f>COUNTIF('Dependency Edges'!$B$5:$B$700,A215)</x:f>
        <x:v>3</x:v>
      </x:c>
      <x:c r="S215" s="83" t="n">
        <x:f>COUNTIF('Dependency Edges'!$A$5:$A$700,A215)</x:f>
        <x:v>0</x:v>
      </x:c>
      <x:c r="T215" s="83" t="str">
        <x:f>IF(AND(D215&lt;&gt;"Source",R215=0),"MISSING INPUT",IF(AND(Q215&lt;&gt;"Yes",S215=0),"NO DOWNSTREAM","OK"))</x:f>
        <x:v>OK</x:v>
      </x:c>
    </x:row>
    <x:row r="216">
      <x:c r="A216" s="83" t="str">
        <x:v>A-FOG-COLLECTOR</x:v>
      </x:c>
      <x:c r="B216" s="83" t="str">
        <x:v>Fog mesh and clean storage</x:v>
      </x:c>
      <x:c r="C216" s="83" t="str">
        <x:v>Water</x:v>
      </x:c>
      <x:c r="D216" s="83" t="str">
        <x:v>Endpoint</x:v>
      </x:c>
      <x:c r="E216" s="83" t="str">
        <x:v>H3</x:v>
      </x:c>
      <x:c r="F216" s="83" t="str">
        <x:v>S-FOG; A-NET; A-CISTERN</x:v>
      </x:c>
      <x:c r="G216" s="83" t="str">
        <x:v>site / tension / drain / store</x:v>
      </x:c>
      <x:c r="H216" s="83" t="str">
        <x:v>net / frame</x:v>
      </x:c>
      <x:c r="I216" s="83" t="str">
        <x:v>fog-exposed site</x:v>
      </x:c>
      <x:c r="J216" s="83" t="str">
        <x:v>weather and water hygiene</x:v>
      </x:c>
      <x:c r="K216" s="83" t="str">
        <x:v>high</x:v>
      </x:c>
      <x:c r="L216" s="83" t="n">
        <x:v>360</x:v>
      </x:c>
      <x:c r="M216" s="83" t="n">
        <x:v>480</x:v>
      </x:c>
      <x:c r="N216" s="83" t="str">
        <x:v>repeatable yield and clean lot</x:v>
      </x:c>
      <x:c r="O216" s="83" t="str">
        <x:v>no yield / dirty mesh / wind damage</x:v>
      </x:c>
      <x:c r="P216" s="83" t="str">
        <x:v>rain catch</x:v>
      </x:c>
      <x:c r="Q216" s="83" t="str">
        <x:v>Yes</x:v>
      </x:c>
      <x:c r="R216" s="83" t="n">
        <x:f>COUNTIF('Dependency Edges'!$B$5:$B$700,A216)</x:f>
        <x:v>3</x:v>
      </x:c>
      <x:c r="S216" s="83" t="n">
        <x:f>COUNTIF('Dependency Edges'!$A$5:$A$700,A216)</x:f>
        <x:v>0</x:v>
      </x:c>
      <x:c r="T216" s="83" t="str">
        <x:f>IF(AND(D216&lt;&gt;"Source",R216=0),"MISSING INPUT",IF(AND(Q216&lt;&gt;"Yes",S216=0),"NO DOWNSTREAM","OK"))</x:f>
        <x:v>OK</x:v>
      </x:c>
    </x:row>
    <x:row r="217">
      <x:c r="A217" s="83" t="str">
        <x:v>T-BOW</x:v>
      </x:c>
      <x:c r="B217" s="83" t="str">
        <x:v>Tillering-tested bow</x:v>
      </x:c>
      <x:c r="C217" s="83" t="str">
        <x:v>Weapons</x:v>
      </x:c>
      <x:c r="D217" s="83" t="str">
        <x:v>Endpoint</x:v>
      </x:c>
      <x:c r="E217" s="83" t="str">
        <x:v>H3</x:v>
      </x:c>
      <x:c r="F217" s="83" t="str">
        <x:v>P-STRAIGHT-POLE; A-BOWSTRING</x:v>
      </x:c>
      <x:c r="G217" s="83" t="str">
        <x:v>season / shape / tiller / proof</x:v>
      </x:c>
      <x:c r="H217" s="83" t="str">
        <x:v>knife / measure / string</x:v>
      </x:c>
      <x:c r="I217" s="83" t="str">
        <x:v>bench/range</x:v>
      </x:c>
      <x:c r="J217" s="83" t="str">
        <x:v>wood tension and archery</x:v>
      </x:c>
      <x:c r="K217" s="83" t="str">
        <x:v>moderate</x:v>
      </x:c>
      <x:c r="L217" s="83" t="n">
        <x:v>360</x:v>
      </x:c>
      <x:c r="M217" s="83" t="n">
        <x:v>1440</x:v>
      </x:c>
      <x:c r="N217" s="83" t="str">
        <x:v>progressive draw and grouping</x:v>
      </x:c>
      <x:c r="O217" s="83" t="str">
        <x:v>limb/string failure</x:v>
      </x:c>
      <x:c r="P217" s="83" t="str">
        <x:v>spear</x:v>
      </x:c>
      <x:c r="Q217" s="83" t="str">
        <x:v>Yes</x:v>
      </x:c>
      <x:c r="R217" s="83" t="n">
        <x:f>COUNTIF('Dependency Edges'!$B$5:$B$700,A217)</x:f>
        <x:v>2</x:v>
      </x:c>
      <x:c r="S217" s="83" t="n">
        <x:f>COUNTIF('Dependency Edges'!$A$5:$A$700,A217)</x:f>
        <x:v>0</x:v>
      </x:c>
      <x:c r="T217" s="83" t="str">
        <x:f>IF(AND(D217&lt;&gt;"Source",R217=0),"MISSING INPUT",IF(AND(Q217&lt;&gt;"Yes",S217=0),"NO DOWNSTREAM","OK"))</x:f>
        <x:v>OK</x:v>
      </x:c>
    </x:row>
    <x:row r="218">
      <x:c r="A218" s="83" t="str">
        <x:v>T-ARROW</x:v>
      </x:c>
      <x:c r="B218" s="83" t="str">
        <x:v>Matched arrow set</x:v>
      </x:c>
      <x:c r="C218" s="83" t="str">
        <x:v>Weapons</x:v>
      </x:c>
      <x:c r="D218" s="83" t="str">
        <x:v>Endpoint</x:v>
      </x:c>
      <x:c r="E218" s="83" t="str">
        <x:v>H3</x:v>
      </x:c>
      <x:c r="F218" s="83" t="str">
        <x:v>P-STRAIGHT-POLE; P-SHARP-EDGE</x:v>
      </x:c>
      <x:c r="G218" s="83" t="str">
        <x:v>straighten / point / fletch / match</x:v>
      </x:c>
      <x:c r="H218" s="83" t="str">
        <x:v>knife / measure</x:v>
      </x:c>
      <x:c r="I218" s="83" t="str">
        <x:v>bench</x:v>
      </x:c>
      <x:c r="J218" s="83" t="str">
        <x:v>shaft/point/aerodynamics</x:v>
      </x:c>
      <x:c r="K218" s="83" t="str">
        <x:v>light</x:v>
      </x:c>
      <x:c r="L218" s="83" t="n">
        <x:v>120</x:v>
      </x:c>
      <x:c r="M218" s="83" t="n">
        <x:v>0</x:v>
      </x:c>
      <x:c r="N218" s="83" t="str">
        <x:v>straightness / mass / flight grouping</x:v>
      </x:c>
      <x:c r="O218" s="83" t="str">
        <x:v>erratic flight / point loss</x:v>
      </x:c>
      <x:c r="P218" s="83" t="str">
        <x:v>throwing spear</x:v>
      </x:c>
      <x:c r="Q218" s="83" t="str">
        <x:v>Yes</x:v>
      </x:c>
      <x:c r="R218" s="83" t="n">
        <x:f>COUNTIF('Dependency Edges'!$B$5:$B$700,A218)</x:f>
        <x:v>2</x:v>
      </x:c>
      <x:c r="S218" s="83" t="n">
        <x:f>COUNTIF('Dependency Edges'!$A$5:$A$700,A218)</x:f>
        <x:v>0</x:v>
      </x:c>
      <x:c r="T218" s="83" t="str">
        <x:f>IF(AND(D218&lt;&gt;"Source",R218=0),"MISSING INPUT",IF(AND(Q218&lt;&gt;"Yes",S218=0),"NO DOWNSTREAM","OK"))</x:f>
        <x:v>OK</x:v>
      </x:c>
    </x:row>
    <x:row r="219">
      <x:c r="A219" s="83" t="str">
        <x:v>A-SNARE</x:v>
      </x:c>
      <x:c r="B219" s="83" t="str">
        <x:v>Selective checked snare/trap</x:v>
      </x:c>
      <x:c r="C219" s="83" t="str">
        <x:v>Hunting</x:v>
      </x:c>
      <x:c r="D219" s="83" t="str">
        <x:v>Endpoint</x:v>
      </x:c>
      <x:c r="E219" s="83" t="str">
        <x:v>H2</x:v>
      </x:c>
      <x:c r="F219" s="83" t="str">
        <x:v>P-CORD; P-PEG; A-FORAGE-MAP</x:v>
      </x:c>
      <x:c r="G219" s="83" t="str">
        <x:v>site / set / anchor / monitor</x:v>
      </x:c>
      <x:c r="H219" s="83" t="str">
        <x:v>cord / peg</x:v>
      </x:c>
      <x:c r="I219" s="83" t="str">
        <x:v>habitat</x:v>
      </x:c>
      <x:c r="J219" s="83" t="str">
        <x:v>species / trigger / welfare</x:v>
      </x:c>
      <x:c r="K219" s="83" t="str">
        <x:v>moderate</x:v>
      </x:c>
      <x:c r="L219" s="83" t="n">
        <x:v>45</x:v>
      </x:c>
      <x:c r="M219" s="83" t="n">
        <x:v>240</x:v>
      </x:c>
      <x:c r="N219" s="83" t="str">
        <x:v>target/anchor/check protocol</x:v>
      </x:c>
      <x:c r="O219" s="83" t="str">
        <x:v>non-target / ghost harm / escape</x:v>
      </x:c>
      <x:c r="P219" s="83" t="str">
        <x:v>active hunt</x:v>
      </x:c>
      <x:c r="Q219" s="83" t="str">
        <x:v>Yes</x:v>
      </x:c>
      <x:c r="R219" s="83" t="n">
        <x:f>COUNTIF('Dependency Edges'!$B$5:$B$700,A219)</x:f>
        <x:v>3</x:v>
      </x:c>
      <x:c r="S219" s="83" t="n">
        <x:f>COUNTIF('Dependency Edges'!$A$5:$A$700,A219)</x:f>
        <x:v>0</x:v>
      </x:c>
      <x:c r="T219" s="83" t="str">
        <x:f>IF(AND(D219&lt;&gt;"Source",R219=0),"MISSING INPUT",IF(AND(Q219&lt;&gt;"Yes",S219=0),"NO DOWNSTREAM","OK"))</x:f>
        <x:v>OK</x:v>
      </x:c>
    </x:row>
    <x:row r="220">
      <x:c r="A220" s="83" t="str">
        <x:v>T-SNORKEL-KIT</x:v>
      </x:c>
      <x:c r="B220" s="83" t="str">
        <x:v>Qualified mask/snorkel/fin kit</x:v>
      </x:c>
      <x:c r="C220" s="83" t="str">
        <x:v>Diving</x:v>
      </x:c>
      <x:c r="D220" s="83" t="str">
        <x:v>Tool</x:v>
      </x:c>
      <x:c r="E220" s="83" t="str">
        <x:v>H2</x:v>
      </x:c>
      <x:c r="F220" s="83" t="str">
        <x:v>S-GLASS; S-RUBBER</x:v>
      </x:c>
      <x:c r="G220" s="83" t="str">
        <x:v>inspect / repair / fit / test</x:v>
      </x:c>
      <x:c r="H220" s="83" t="str">
        <x:v>seals / straps</x:v>
      </x:c>
      <x:c r="I220" s="83" t="str">
        <x:v>clean marine bench</x:v>
      </x:c>
      <x:c r="J220" s="83" t="str">
        <x:v>equipment and fit</x:v>
      </x:c>
      <x:c r="K220" s="83" t="str">
        <x:v>light</x:v>
      </x:c>
      <x:c r="L220" s="83" t="n">
        <x:v>60</x:v>
      </x:c>
      <x:c r="M220" s="83" t="n">
        <x:v>0</x:v>
      </x:c>
      <x:c r="N220" s="83" t="str">
        <x:v>shallow leak/fit/clear test</x:v>
      </x:c>
      <x:c r="O220" s="83" t="str">
        <x:v>flood / strap / false confidence</x:v>
      </x:c>
      <x:c r="P220" s="83" t="str">
        <x:v>surface observation</x:v>
      </x:c>
      <x:c r="Q220" s="83" t="str">
        <x:v>No</x:v>
      </x:c>
      <x:c r="R220" s="83" t="n">
        <x:f>COUNTIF('Dependency Edges'!$B$5:$B$700,A220)</x:f>
        <x:v>2</x:v>
      </x:c>
      <x:c r="S220" s="83" t="n">
        <x:f>COUNTIF('Dependency Edges'!$A$5:$A$700,A220)</x:f>
        <x:v>1</x:v>
      </x:c>
      <x:c r="T220" s="83" t="str">
        <x:f>IF(AND(D220&lt;&gt;"Source",R220=0),"MISSING INPUT",IF(AND(Q220&lt;&gt;"Yes",S220=0),"NO DOWNSTREAM","OK"))</x:f>
        <x:v>OK</x:v>
      </x:c>
    </x:row>
    <x:row r="221">
      <x:c r="A221" s="83" t="str">
        <x:v>A-SNORKEL-SURVEY</x:v>
      </x:c>
      <x:c r="B221" s="83" t="str">
        <x:v>Snorkel survey capability</x:v>
      </x:c>
      <x:c r="C221" s="83" t="str">
        <x:v>Diving</x:v>
      </x:c>
      <x:c r="D221" s="83" t="str">
        <x:v>Endpoint</x:v>
      </x:c>
      <x:c r="E221" s="83" t="str">
        <x:v>H2</x:v>
      </x:c>
      <x:c r="F221" s="83" t="str">
        <x:v>T-SNORKEL-KIT; A-DIVE</x:v>
      </x:c>
      <x:c r="G221" s="83" t="str">
        <x:v>route / observe / mark / exit</x:v>
      </x:c>
      <x:c r="H221" s="83" t="str">
        <x:v>snorkel kit / float</x:v>
      </x:c>
      <x:c r="I221" s="83" t="str">
        <x:v>lagoon</x:v>
      </x:c>
      <x:c r="J221" s="83" t="str">
        <x:v>swim / marine observation</x:v>
      </x:c>
      <x:c r="K221" s="83" t="str">
        <x:v>high</x:v>
      </x:c>
      <x:c r="L221" s="83" t="n">
        <x:v>60</x:v>
      </x:c>
      <x:c r="M221" s="83" t="n">
        <x:v>0</x:v>
      </x:c>
      <x:c r="N221" s="83" t="str">
        <x:v>same-route reserve and map</x:v>
      </x:c>
      <x:c r="O221" s="83" t="str">
        <x:v>current / sun / fixation</x:v>
      </x:c>
      <x:c r="P221" s="83" t="str">
        <x:v>boat/pole survey</x:v>
      </x:c>
      <x:c r="Q221" s="83" t="str">
        <x:v>Yes</x:v>
      </x:c>
      <x:c r="R221" s="83" t="n">
        <x:f>COUNTIF('Dependency Edges'!$B$5:$B$700,A221)</x:f>
        <x:v>2</x:v>
      </x:c>
      <x:c r="S221" s="83" t="n">
        <x:f>COUNTIF('Dependency Edges'!$A$5:$A$700,A221)</x:f>
        <x:v>0</x:v>
      </x:c>
      <x:c r="T221" s="83" t="str">
        <x:f>IF(AND(D221&lt;&gt;"Source",R221=0),"MISSING INPUT",IF(AND(Q221&lt;&gt;"Yes",S221=0),"NO DOWNSTREAM","OK"))</x:f>
        <x:v>OK</x:v>
      </x:c>
    </x:row>
    <x:row r="222">
      <x:c r="A222" s="83" t="str">
        <x:v>A-DIVE-LINE</x:v>
      </x:c>
      <x:c r="B222" s="83" t="str">
        <x:v>Tended shallow-dive line system</x:v>
      </x:c>
      <x:c r="C222" s="83" t="str">
        <x:v>Diving</x:v>
      </x:c>
      <x:c r="D222" s="83" t="str">
        <x:v>Endpoint</x:v>
      </x:c>
      <x:c r="E222" s="83" t="str">
        <x:v>H3</x:v>
      </x:c>
      <x:c r="F222" s="83" t="str">
        <x:v>P-ROPE; A-FLOAT</x:v>
      </x:c>
      <x:c r="G222" s="83" t="str">
        <x:v>anchor / tend / signal / recover</x:v>
      </x:c>
      <x:c r="H222" s="83" t="str">
        <x:v>rated rope / float</x:v>
      </x:c>
      <x:c r="I222" s="83" t="str">
        <x:v>shore/boat</x:v>
      </x:c>
      <x:c r="J222" s="83" t="str">
        <x:v>line and rescue discipline</x:v>
      </x:c>
      <x:c r="K222" s="83" t="str">
        <x:v>high</x:v>
      </x:c>
      <x:c r="L222" s="83" t="n">
        <x:v>90</x:v>
      </x:c>
      <x:c r="M222" s="83" t="n">
        <x:v>0</x:v>
      </x:c>
      <x:c r="N222" s="83" t="str">
        <x:v>signal/recovery/entanglement drill</x:v>
      </x:c>
      <x:c r="O222" s="83" t="str">
        <x:v>snag / false security</x:v>
      </x:c>
      <x:c r="P222" s="83" t="str">
        <x:v>untended conservative dive</x:v>
      </x:c>
      <x:c r="Q222" s="83" t="str">
        <x:v>Yes</x:v>
      </x:c>
      <x:c r="R222" s="83" t="n">
        <x:f>COUNTIF('Dependency Edges'!$B$5:$B$700,A222)</x:f>
        <x:v>2</x:v>
      </x:c>
      <x:c r="S222" s="83" t="n">
        <x:f>COUNTIF('Dependency Edges'!$A$5:$A$700,A222)</x:f>
        <x:v>0</x:v>
      </x:c>
      <x:c r="T222" s="83" t="str">
        <x:f>IF(AND(D222&lt;&gt;"Source",R222=0),"MISSING INPUT",IF(AND(Q222&lt;&gt;"Yes",S222=0),"NO DOWNSTREAM","OK"))</x:f>
        <x:v>OK</x:v>
      </x:c>
    </x:row>
    <x:row r="223">
      <x:c r="A223" s="83" t="str">
        <x:v>A-PUMP-DRAIN</x:v>
      </x:c>
      <x:c r="B223" s="83" t="str">
        <x:v>Pump/drain/reposition marine operation</x:v>
      </x:c>
      <x:c r="C223" s="83" t="str">
        <x:v>Diving</x:v>
      </x:c>
      <x:c r="D223" s="83" t="str">
        <x:v>Endpoint</x:v>
      </x:c>
      <x:c r="E223" s="83" t="str">
        <x:v>H4</x:v>
      </x:c>
      <x:c r="F223" s="83" t="str">
        <x:v>A-PUMP; A-PIPE</x:v>
      </x:c>
      <x:c r="G223" s="83" t="str">
        <x:v>seal / pump / monitor / stabilize</x:v>
      </x:c>
      <x:c r="H223" s="83" t="str">
        <x:v>pump / pipe</x:v>
      </x:c>
      <x:c r="I223" s="83" t="str">
        <x:v>wreck/boatyard</x:v>
      </x:c>
      <x:c r="J223" s="83" t="str">
        <x:v>hydraulics and stability</x:v>
      </x:c>
      <x:c r="K223" s="83" t="str">
        <x:v>high</x:v>
      </x:c>
      <x:c r="L223" s="83" t="n">
        <x:v>240</x:v>
      </x:c>
      <x:c r="M223" s="83" t="n">
        <x:v>0</x:v>
      </x:c>
      <x:c r="N223" s="83" t="str">
        <x:v>stable water level and safe stop</x:v>
      </x:c>
      <x:c r="O223" s="83" t="str">
        <x:v>shift / flood / contamination</x:v>
      </x:c>
      <x:c r="P223" s="83" t="str">
        <x:v>dive access</x:v>
      </x:c>
      <x:c r="Q223" s="83" t="str">
        <x:v>Yes</x:v>
      </x:c>
      <x:c r="R223" s="83" t="n">
        <x:f>COUNTIF('Dependency Edges'!$B$5:$B$700,A223)</x:f>
        <x:v>2</x:v>
      </x:c>
      <x:c r="S223" s="83" t="n">
        <x:f>COUNTIF('Dependency Edges'!$A$5:$A$700,A223)</x:f>
        <x:v>0</x:v>
      </x:c>
      <x:c r="T223" s="83" t="str">
        <x:f>IF(AND(D223&lt;&gt;"Source",R223=0),"MISSING INPUT",IF(AND(Q223&lt;&gt;"Yes",S223=0),"NO DOWNSTREAM","OK"))</x:f>
        <x:v>OK</x:v>
      </x:c>
    </x:row>
    <x:row r="224">
      <x:c r="A224" s="83" t="str">
        <x:v>A-REMOTE-SURVEY</x:v>
      </x:c>
      <x:c r="B224" s="83" t="str">
        <x:v>Remote camera/sonar survey</x:v>
      </x:c>
      <x:c r="C224" s="83" t="str">
        <x:v>Diving</x:v>
      </x:c>
      <x:c r="D224" s="83" t="str">
        <x:v>Endpoint</x:v>
      </x:c>
      <x:c r="E224" s="83" t="str">
        <x:v>H5</x:v>
      </x:c>
      <x:c r="F224" s="83" t="str">
        <x:v>A-RECEIVER; A-GRID</x:v>
      </x:c>
      <x:c r="G224" s="83" t="str">
        <x:v>power / lower / navigate / interpret</x:v>
      </x:c>
      <x:c r="H224" s="83" t="str">
        <x:v>camera/receiver/grid</x:v>
      </x:c>
      <x:c r="I224" s="83" t="str">
        <x:v>boat/shore station</x:v>
      </x:c>
      <x:c r="J224" s="83" t="str">
        <x:v>electronics and marine survey</x:v>
      </x:c>
      <x:c r="K224" s="83" t="str">
        <x:v>moderate</x:v>
      </x:c>
      <x:c r="L224" s="83" t="n">
        <x:v>180</x:v>
      </x:c>
      <x:c r="M224" s="83" t="n">
        <x:v>0</x:v>
      </x:c>
      <x:c r="N224" s="83" t="str">
        <x:v>located target and recoverable record</x:v>
      </x:c>
      <x:c r="O224" s="83" t="str">
        <x:v>cable loss / false reading</x:v>
      </x:c>
      <x:c r="P224" s="83" t="str">
        <x:v>diver observation</x:v>
      </x:c>
      <x:c r="Q224" s="83" t="str">
        <x:v>Yes</x:v>
      </x:c>
      <x:c r="R224" s="83" t="n">
        <x:f>COUNTIF('Dependency Edges'!$B$5:$B$700,A224)</x:f>
        <x:v>2</x:v>
      </x:c>
      <x:c r="S224" s="83" t="n">
        <x:f>COUNTIF('Dependency Edges'!$A$5:$A$700,A224)</x:f>
        <x:v>0</x:v>
      </x:c>
      <x:c r="T224" s="83" t="str">
        <x:f>IF(AND(D224&lt;&gt;"Source",R224=0),"MISSING INPUT",IF(AND(Q224&lt;&gt;"Yes",S224=0),"NO DOWNSTREAM","OK"))</x:f>
        <x:v>OK</x:v>
      </x:c>
    </x:row>
    <x:row r="225">
      <x:c r="A225" s="83" t="str">
        <x:v>A-STEWARDSHIP</x:v>
      </x:c>
      <x:c r="B225" s="83" t="str">
        <x:v>Second-Life stewardship ledger</x:v>
      </x:c>
      <x:c r="C225" s="83" t="str">
        <x:v>Time</x:v>
      </x:c>
      <x:c r="D225" s="83" t="str">
        <x:v>Assembly</x:v>
      </x:c>
      <x:c r="E225" s="83" t="str">
        <x:v>H3</x:v>
      </x:c>
      <x:c r="F225" s="83" t="str">
        <x:v>W-ARCHIVE; A-WORKING-HOME</x:v>
      </x:c>
      <x:c r="G225" s="83" t="str">
        <x:v>commission / schedule / limit / report</x:v>
      </x:c>
      <x:c r="H225" s="83" t="str">
        <x:v>archive / labels</x:v>
      </x:c>
      <x:c r="I225" s="83" t="str">
        <x:v>working home</x:v>
      </x:c>
      <x:c r="J225" s="83" t="str">
        <x:v>planning and maintenance</x:v>
      </x:c>
      <x:c r="K225" s="83" t="str">
        <x:v>light</x:v>
      </x:c>
      <x:c r="L225" s="83" t="n">
        <x:v>120</x:v>
      </x:c>
      <x:c r="M225" s="83" t="n">
        <x:v>0</x:v>
      </x:c>
      <x:c r="N225" s="83" t="str">
        <x:v>return report matches physical state</x:v>
      </x:c>
      <x:c r="O225" s="83" t="str">
        <x:v>hidden debt / chore wall</x:v>
      </x:c>
      <x:c r="P225" s="83" t="str">
        <x:v>manual presence</x:v>
      </x:c>
      <x:c r="Q225" s="83" t="str">
        <x:v>No</x:v>
      </x:c>
      <x:c r="R225" s="83" t="n">
        <x:f>COUNTIF('Dependency Edges'!$B$5:$B$700,A225)</x:f>
        <x:v>2</x:v>
      </x:c>
      <x:c r="S225" s="83" t="n">
        <x:f>COUNTIF('Dependency Edges'!$A$5:$A$700,A225)</x:f>
        <x:v>1</x:v>
      </x:c>
      <x:c r="T225" s="83" t="str">
        <x:f>IF(AND(D225&lt;&gt;"Source",R225=0),"MISSING INPUT",IF(AND(Q225&lt;&gt;"Yes",S225=0),"NO DOWNSTREAM","OK"))</x:f>
        <x:v>OK</x:v>
      </x:c>
    </x:row>
    <x:row r="226">
      <x:c r="A226" s="84" t="str">
        <x:v>A-SAFE-ROUTINE</x:v>
      </x:c>
      <x:c r="B226" s="84" t="str">
        <x:v>Offline-safe proven routine</x:v>
      </x:c>
      <x:c r="C226" s="84" t="str">
        <x:v>Time</x:v>
      </x:c>
      <x:c r="D226" s="84" t="str">
        <x:v>Endpoint</x:v>
      </x:c>
      <x:c r="E226" s="84" t="str">
        <x:v>H4</x:v>
      </x:c>
      <x:c r="F226" s="84" t="str">
        <x:v>A-STEWARDSHIP; A-VALVE</x:v>
      </x:c>
      <x:c r="G226" s="84" t="str">
        <x:v>stage / run / stop / report</x:v>
      </x:c>
      <x:c r="H226" s="84" t="str">
        <x:v>controls / storage</x:v>
      </x:c>
      <x:c r="I226" s="84" t="str">
        <x:v>commissioned system</x:v>
      </x:c>
      <x:c r="J226" s="84" t="str">
        <x:v>automation and fault response</x:v>
      </x:c>
      <x:c r="K226" s="84" t="str">
        <x:v>none while offline</x:v>
      </x:c>
      <x:c r="L226" s="84" t="n">
        <x:v>60</x:v>
      </x:c>
      <x:c r="M226" s="84" t="n">
        <x:v>1440</x:v>
      </x:c>
      <x:c r="N226" s="84" t="str">
        <x:v>input limit and safe-stop drill</x:v>
      </x:c>
      <x:c r="O226" s="84" t="str">
        <x:v>overrun / hidden hazard</x:v>
      </x:c>
      <x:c r="P226" s="84" t="str">
        <x:v>manual operation</x:v>
      </x:c>
      <x:c r="Q226" s="84" t="str">
        <x:v>Yes</x:v>
      </x:c>
      <x:c r="R226" s="84" t="n">
        <x:f>COUNTIF('Dependency Edges'!$B$5:$B$700,A226)</x:f>
        <x:v>2</x:v>
      </x:c>
      <x:c r="S226" s="84" t="n">
        <x:f>COUNTIF('Dependency Edges'!$A$5:$A$700,A226)</x:f>
        <x:v>0</x:v>
      </x:c>
      <x:c r="T226" s="84" t="str">
        <x:f>IF(AND(D226&lt;&gt;"Source",R226=0),"MISSING INPUT",IF(AND(Q226&lt;&gt;"Yes",S226=0),"NO DOWNSTREAM","OK"))</x:f>
        <x:v>OK</x:v>
      </x:c>
    </x:row>
  </x:sheetData>
  <x:mergeCells>
    <x:mergeCell ref="A1:T1"/>
    <x:mergeCell ref="A2:T2"/>
  </x:mergeCells>
  <x:conditionalFormatting sqref="T5:T163">
    <x:cfRule type="containsText" dxfId="0" priority="1" operator="containsText" text="MISSING"/>
    <x:cfRule type="containsText" dxfId="1" priority="2" operator="containsText" text="NO DOWNSTREAM"/>
  </x:conditionalFormatting>
  <x:conditionalFormatting sqref="T5:T250">
    <x:cfRule type="containsText" dxfId="10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b2d7bf68aaab421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2" hidden="0" customWidth="1"/>
    <x:col min="5" max="5" width="20" hidden="0" customWidth="1"/>
    <x:col min="6" max="6" width="34" hidden="0" customWidth="1"/>
    <x:col min="7" max="7" width="12" hidden="0" customWidth="1"/>
    <x:col min="8" max="8" width="12" hidden="0" customWidth="1"/>
    <x:col min="9" max="9" width="16" hidden="0" customWidth="1"/>
  </x:cols>
  <x:sheetData>
    <x:row r="1" ht="30" customHeight="1">
      <x:c r="A1" s="3" t="str">
        <x:v>Machine-Testable Dependency Edges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Each row is one prerequisite relation. Formula checks ensure both endpoints exist in the canonical node register.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9" t="str">
        <x:v>From node</x:v>
      </x:c>
      <x:c r="B4" s="40" t="str">
        <x:v>To node</x:v>
      </x:c>
      <x:c r="C4" s="40" t="str">
        <x:v>Relation</x:v>
      </x:c>
      <x:c r="D4" s="40" t="str">
        <x:v>Required?</x:v>
      </x:c>
      <x:c r="E4" s="40" t="str">
        <x:v>Substitution group</x:v>
      </x:c>
      <x:c r="F4" s="40" t="str">
        <x:v>Note</x:v>
      </x:c>
      <x:c r="G4" s="40" t="str">
        <x:v>From exists</x:v>
      </x:c>
      <x:c r="H4" s="40" t="str">
        <x:v>To exists</x:v>
      </x:c>
      <x:c r="I4" s="41" t="str">
        <x:v>Edge audit</x:v>
      </x:c>
    </x:row>
    <x:row r="5">
      <x:c r="A5" s="48" t="str">
        <x:v>S-STONE</x:v>
      </x:c>
      <x:c r="B5" s="48" t="str">
        <x:v>P-SHARP-EDGE</x:v>
      </x:c>
      <x:c r="C5" s="48" t="str">
        <x:v>Prerequisite</x:v>
      </x:c>
      <x:c r="D5" s="48" t="str">
        <x:v>Yes</x:v>
      </x:c>
      <x:c r="E5" s="48" t="str"/>
      <x:c r="F5" s="48" t="str">
        <x:v>Required for canonical route</x:v>
      </x:c>
      <x:c r="G5" s="48" t="n">
        <x:f>COUNTIF('Craft Nodes'!$A$5:$A$250,A5)</x:f>
        <x:v>1</x:v>
      </x:c>
      <x:c r="H5" s="48" t="n">
        <x:f>COUNTIF('Craft Nodes'!$A$5:$A$250,B5)</x:f>
        <x:v>1</x:v>
      </x:c>
      <x:c r="I5" s="48" t="str">
        <x:f>IF(AND(G5=1,H5=1),"OK",IF(G5=0,"MISSING FROM","MISSING TO"))</x:f>
        <x:v>OK</x:v>
      </x:c>
    </x:row>
    <x:row r="6">
      <x:c r="A6" s="49" t="str">
        <x:v>T-HAMMERSTONE</x:v>
      </x:c>
      <x:c r="B6" s="49" t="str">
        <x:v>P-SHARP-EDGE</x:v>
      </x:c>
      <x:c r="C6" s="49" t="str">
        <x:v>Tool</x:v>
      </x:c>
      <x:c r="D6" s="49" t="str">
        <x:v>Yes</x:v>
      </x:c>
      <x:c r="E6" s="49" t="str"/>
      <x:c r="F6" s="49" t="str">
        <x:v>Declared embodied tool use</x:v>
      </x:c>
      <x:c r="G6" s="49" t="n">
        <x:f>COUNTIF('Craft Nodes'!$A$5:$A$250,A6)</x:f>
        <x:v>1</x:v>
      </x:c>
      <x:c r="H6" s="49" t="n">
        <x:f>COUNTIF('Craft Nodes'!$A$5:$A$250,B6)</x:f>
        <x:v>1</x:v>
      </x:c>
      <x:c r="I6" s="49" t="str">
        <x:f>IF(AND(G6=1,H6=1),"OK",IF(G6=0,"MISSING FROM","MISSING TO"))</x:f>
        <x:v>OK</x:v>
      </x:c>
    </x:row>
    <x:row r="7">
      <x:c r="A7" s="49" t="str">
        <x:v>S-STONE</x:v>
      </x:c>
      <x:c r="B7" s="49" t="str">
        <x:v>T-HAMMERSTONE</x:v>
      </x:c>
      <x:c r="C7" s="49" t="str">
        <x:v>Prerequisite</x:v>
      </x:c>
      <x:c r="D7" s="49" t="str">
        <x:v>Yes</x:v>
      </x:c>
      <x:c r="E7" s="49" t="str"/>
      <x:c r="F7" s="49" t="str">
        <x:v>Required for canonical route</x:v>
      </x:c>
      <x:c r="G7" s="49" t="n">
        <x:f>COUNTIF('Craft Nodes'!$A$5:$A$250,A7)</x:f>
        <x:v>1</x:v>
      </x:c>
      <x:c r="H7" s="49" t="n">
        <x:f>COUNTIF('Craft Nodes'!$A$5:$A$250,B7)</x:f>
        <x:v>1</x:v>
      </x:c>
      <x:c r="I7" s="49" t="str">
        <x:f>IF(AND(G7=1,H7=1),"OK",IF(G7=0,"MISSING FROM","MISSING TO"))</x:f>
        <x:v>OK</x:v>
      </x:c>
    </x:row>
    <x:row r="8">
      <x:c r="A8" s="49" t="str">
        <x:v>P-SHARP-EDGE</x:v>
      </x:c>
      <x:c r="B8" s="49" t="str">
        <x:v>T-STONE-KNIFE</x:v>
      </x:c>
      <x:c r="C8" s="49" t="str">
        <x:v>Prerequisite</x:v>
      </x:c>
      <x:c r="D8" s="49" t="str">
        <x:v>Yes</x:v>
      </x:c>
      <x:c r="E8" s="49" t="str"/>
      <x:c r="F8" s="49" t="str">
        <x:v>Required for canonical route</x:v>
      </x:c>
      <x:c r="G8" s="49" t="n">
        <x:f>COUNTIF('Craft Nodes'!$A$5:$A$250,A8)</x:f>
        <x:v>1</x:v>
      </x:c>
      <x:c r="H8" s="49" t="n">
        <x:f>COUNTIF('Craft Nodes'!$A$5:$A$250,B8)</x:f>
        <x:v>1</x:v>
      </x:c>
      <x:c r="I8" s="49" t="str">
        <x:f>IF(AND(G8=1,H8=1),"OK",IF(G8=0,"MISSING FROM","MISSING TO"))</x:f>
        <x:v>OK</x:v>
      </x:c>
    </x:row>
    <x:row r="9">
      <x:c r="A9" s="49" t="str">
        <x:v>S-FIBER</x:v>
      </x:c>
      <x:c r="B9" s="49" t="str">
        <x:v>T-STONE-KNIFE</x:v>
      </x:c>
      <x:c r="C9" s="49" t="str">
        <x:v>Prerequisite</x:v>
      </x:c>
      <x:c r="D9" s="49" t="str">
        <x:v>Yes</x:v>
      </x:c>
      <x:c r="E9" s="49" t="str"/>
      <x:c r="F9" s="49" t="str">
        <x:v>Required for canonical route</x:v>
      </x:c>
      <x:c r="G9" s="49" t="n">
        <x:f>COUNTIF('Craft Nodes'!$A$5:$A$250,A9)</x:f>
        <x:v>1</x:v>
      </x:c>
      <x:c r="H9" s="49" t="n">
        <x:f>COUNTIF('Craft Nodes'!$A$5:$A$250,B9)</x:f>
        <x:v>1</x:v>
      </x:c>
      <x:c r="I9" s="49" t="str">
        <x:f>IF(AND(G9=1,H9=1),"OK",IF(G9=0,"MISSING FROM","MISSING TO"))</x:f>
        <x:v>OK</x:v>
      </x:c>
    </x:row>
    <x:row r="10">
      <x:c r="A10" s="49" t="str">
        <x:v>T-HAMMERSTONE</x:v>
      </x:c>
      <x:c r="B10" s="49" t="str">
        <x:v>T-STONE-KNIFE</x:v>
      </x:c>
      <x:c r="C10" s="49" t="str">
        <x:v>Tool</x:v>
      </x:c>
      <x:c r="D10" s="49" t="str">
        <x:v>Yes</x:v>
      </x:c>
      <x:c r="E10" s="49" t="str"/>
      <x:c r="F10" s="49" t="str">
        <x:v>Declared embodied tool use</x:v>
      </x:c>
      <x:c r="G10" s="49" t="n">
        <x:f>COUNTIF('Craft Nodes'!$A$5:$A$250,A10)</x:f>
        <x:v>1</x:v>
      </x:c>
      <x:c r="H10" s="49" t="n">
        <x:f>COUNTIF('Craft Nodes'!$A$5:$A$250,B10)</x:f>
        <x:v>1</x:v>
      </x:c>
      <x:c r="I10" s="49" t="str">
        <x:f>IF(AND(G10=1,H10=1),"OK",IF(G10=0,"MISSING FROM","MISSING TO"))</x:f>
        <x:v>OK</x:v>
      </x:c>
    </x:row>
    <x:row r="11">
      <x:c r="A11" s="49" t="str">
        <x:v>W-WORKMAT</x:v>
      </x:c>
      <x:c r="B11" s="49" t="str">
        <x:v>T-STONE-KNIFE</x:v>
      </x:c>
      <x:c r="C11" s="49" t="str">
        <x:v>Workspace</x:v>
      </x:c>
      <x:c r="D11" s="49" t="str">
        <x:v>Yes</x:v>
      </x:c>
      <x:c r="E11" s="49" t="str"/>
      <x:c r="F11" s="49" t="str">
        <x:v>Declared worksite dependency</x:v>
      </x:c>
      <x:c r="G11" s="49" t="n">
        <x:f>COUNTIF('Craft Nodes'!$A$5:$A$250,A11)</x:f>
        <x:v>1</x:v>
      </x:c>
      <x:c r="H11" s="49" t="n">
        <x:f>COUNTIF('Craft Nodes'!$A$5:$A$250,B11)</x:f>
        <x:v>1</x:v>
      </x:c>
      <x:c r="I11" s="49" t="str">
        <x:f>IF(AND(G11=1,H11=1),"OK",IF(G11=0,"MISSING FROM","MISSING TO"))</x:f>
        <x:v>OK</x:v>
      </x:c>
    </x:row>
    <x:row r="12">
      <x:c r="A12" s="49" t="str">
        <x:v>S-FIBER</x:v>
      </x:c>
      <x:c r="B12" s="49" t="str">
        <x:v>P-CORD</x:v>
      </x:c>
      <x:c r="C12" s="49" t="str">
        <x:v>Prerequisite</x:v>
      </x:c>
      <x:c r="D12" s="49" t="str">
        <x:v>Yes</x:v>
      </x:c>
      <x:c r="E12" s="49" t="str"/>
      <x:c r="F12" s="49" t="str">
        <x:v>Required for canonical route</x:v>
      </x:c>
      <x:c r="G12" s="49" t="n">
        <x:f>COUNTIF('Craft Nodes'!$A$5:$A$250,A12)</x:f>
        <x:v>1</x:v>
      </x:c>
      <x:c r="H12" s="49" t="n">
        <x:f>COUNTIF('Craft Nodes'!$A$5:$A$250,B12)</x:f>
        <x:v>1</x:v>
      </x:c>
      <x:c r="I12" s="49" t="str">
        <x:f>IF(AND(G12=1,H12=1),"OK",IF(G12=0,"MISSING FROM","MISSING TO"))</x:f>
        <x:v>OK</x:v>
      </x:c>
    </x:row>
    <x:row r="13">
      <x:c r="A13" s="49" t="str">
        <x:v>T-STONE-KNIFE</x:v>
      </x:c>
      <x:c r="B13" s="49" t="str">
        <x:v>P-CORD</x:v>
      </x:c>
      <x:c r="C13" s="49" t="str">
        <x:v>Tool</x:v>
      </x:c>
      <x:c r="D13" s="49" t="str">
        <x:v>Yes</x:v>
      </x:c>
      <x:c r="E13" s="49" t="str"/>
      <x:c r="F13" s="49" t="str">
        <x:v>Declared embodied tool use</x:v>
      </x:c>
      <x:c r="G13" s="49" t="n">
        <x:f>COUNTIF('Craft Nodes'!$A$5:$A$250,A13)</x:f>
        <x:v>1</x:v>
      </x:c>
      <x:c r="H13" s="49" t="n">
        <x:f>COUNTIF('Craft Nodes'!$A$5:$A$250,B13)</x:f>
        <x:v>1</x:v>
      </x:c>
      <x:c r="I13" s="49" t="str">
        <x:f>IF(AND(G13=1,H13=1),"OK",IF(G13=0,"MISSING FROM","MISSING TO"))</x:f>
        <x:v>OK</x:v>
      </x:c>
    </x:row>
    <x:row r="14">
      <x:c r="A14" s="49" t="str">
        <x:v>W-WORKMAT</x:v>
      </x:c>
      <x:c r="B14" s="49" t="str">
        <x:v>P-CORD</x:v>
      </x:c>
      <x:c r="C14" s="49" t="str">
        <x:v>Workspace</x:v>
      </x:c>
      <x:c r="D14" s="49" t="str">
        <x:v>Yes</x:v>
      </x:c>
      <x:c r="E14" s="49" t="str"/>
      <x:c r="F14" s="49" t="str">
        <x:v>Declared worksite dependency</x:v>
      </x:c>
      <x:c r="G14" s="49" t="n">
        <x:f>COUNTIF('Craft Nodes'!$A$5:$A$250,A14)</x:f>
        <x:v>1</x:v>
      </x:c>
      <x:c r="H14" s="49" t="n">
        <x:f>COUNTIF('Craft Nodes'!$A$5:$A$250,B14)</x:f>
        <x:v>1</x:v>
      </x:c>
      <x:c r="I14" s="49" t="str">
        <x:f>IF(AND(G14=1,H14=1),"OK",IF(G14=0,"MISSING FROM","MISSING TO"))</x:f>
        <x:v>OK</x:v>
      </x:c>
    </x:row>
    <x:row r="15">
      <x:c r="A15" s="49" t="str">
        <x:v>P-CORD</x:v>
      </x:c>
      <x:c r="B15" s="49" t="str">
        <x:v>P-ROPE</x:v>
      </x:c>
      <x:c r="C15" s="49" t="str">
        <x:v>Prerequisite</x:v>
      </x:c>
      <x:c r="D15" s="49" t="str">
        <x:v>Yes</x:v>
      </x:c>
      <x:c r="E15" s="49" t="str"/>
      <x:c r="F15" s="49" t="str">
        <x:v>Required for canonical route</x:v>
      </x:c>
      <x:c r="G15" s="49" t="n">
        <x:f>COUNTIF('Craft Nodes'!$A$5:$A$250,A15)</x:f>
        <x:v>1</x:v>
      </x:c>
      <x:c r="H15" s="49" t="n">
        <x:f>COUNTIF('Craft Nodes'!$A$5:$A$250,B15)</x:f>
        <x:v>1</x:v>
      </x:c>
      <x:c r="I15" s="49" t="str">
        <x:f>IF(AND(G15=1,H15=1),"OK",IF(G15=0,"MISSING FROM","MISSING TO"))</x:f>
        <x:v>OK</x:v>
      </x:c>
    </x:row>
    <x:row r="16">
      <x:c r="A16" s="49" t="str">
        <x:v>T-MEASURE</x:v>
      </x:c>
      <x:c r="B16" s="49" t="str">
        <x:v>P-ROPE</x:v>
      </x:c>
      <x:c r="C16" s="49" t="str">
        <x:v>Tool</x:v>
      </x:c>
      <x:c r="D16" s="49" t="str">
        <x:v>Yes</x:v>
      </x:c>
      <x:c r="E16" s="49" t="str"/>
      <x:c r="F16" s="49" t="str">
        <x:v>Declared embodied tool use</x:v>
      </x:c>
      <x:c r="G16" s="49" t="n">
        <x:f>COUNTIF('Craft Nodes'!$A$5:$A$250,A16)</x:f>
        <x:v>1</x:v>
      </x:c>
      <x:c r="H16" s="49" t="n">
        <x:f>COUNTIF('Craft Nodes'!$A$5:$A$250,B16)</x:f>
        <x:v>1</x:v>
      </x:c>
      <x:c r="I16" s="49" t="str">
        <x:f>IF(AND(G16=1,H16=1),"OK",IF(G16=0,"MISSING FROM","MISSING TO"))</x:f>
        <x:v>OK</x:v>
      </x:c>
    </x:row>
    <x:row r="17">
      <x:c r="A17" s="49" t="str">
        <x:v>W-BENCH</x:v>
      </x:c>
      <x:c r="B17" s="49" t="str">
        <x:v>P-ROPE</x:v>
      </x:c>
      <x:c r="C17" s="49" t="str">
        <x:v>Workspace</x:v>
      </x:c>
      <x:c r="D17" s="49" t="str">
        <x:v>Yes</x:v>
      </x:c>
      <x:c r="E17" s="49" t="str"/>
      <x:c r="F17" s="49" t="str">
        <x:v>Declared worksite dependency</x:v>
      </x:c>
      <x:c r="G17" s="49" t="n">
        <x:f>COUNTIF('Craft Nodes'!$A$5:$A$250,A17)</x:f>
        <x:v>1</x:v>
      </x:c>
      <x:c r="H17" s="49" t="n">
        <x:f>COUNTIF('Craft Nodes'!$A$5:$A$250,B17)</x:f>
        <x:v>1</x:v>
      </x:c>
      <x:c r="I17" s="49" t="str">
        <x:f>IF(AND(G17=1,H17=1),"OK",IF(G17=0,"MISSING FROM","MISSING TO"))</x:f>
        <x:v>OK</x:v>
      </x:c>
    </x:row>
    <x:row r="18">
      <x:c r="A18" s="49" t="str">
        <x:v>S-FIBER</x:v>
      </x:c>
      <x:c r="B18" s="49" t="str">
        <x:v>P-MAT</x:v>
      </x:c>
      <x:c r="C18" s="49" t="str">
        <x:v>Prerequisite</x:v>
      </x:c>
      <x:c r="D18" s="49" t="str">
        <x:v>Yes</x:v>
      </x:c>
      <x:c r="E18" s="49" t="str"/>
      <x:c r="F18" s="49" t="str">
        <x:v>Required for canonical route</x:v>
      </x:c>
      <x:c r="G18" s="49" t="n">
        <x:f>COUNTIF('Craft Nodes'!$A$5:$A$250,A18)</x:f>
        <x:v>1</x:v>
      </x:c>
      <x:c r="H18" s="49" t="n">
        <x:f>COUNTIF('Craft Nodes'!$A$5:$A$250,B18)</x:f>
        <x:v>1</x:v>
      </x:c>
      <x:c r="I18" s="49" t="str">
        <x:f>IF(AND(G18=1,H18=1),"OK",IF(G18=0,"MISSING FROM","MISSING TO"))</x:f>
        <x:v>OK</x:v>
      </x:c>
    </x:row>
    <x:row r="19">
      <x:c r="A19" s="49" t="str">
        <x:v>P-CORD</x:v>
      </x:c>
      <x:c r="B19" s="49" t="str">
        <x:v>P-MAT</x:v>
      </x:c>
      <x:c r="C19" s="49" t="str">
        <x:v>Prerequisite</x:v>
      </x:c>
      <x:c r="D19" s="49" t="str">
        <x:v>Yes</x:v>
      </x:c>
      <x:c r="E19" s="49" t="str"/>
      <x:c r="F19" s="49" t="str">
        <x:v>Required for canonical route</x:v>
      </x:c>
      <x:c r="G19" s="49" t="n">
        <x:f>COUNTIF('Craft Nodes'!$A$5:$A$250,A19)</x:f>
        <x:v>1</x:v>
      </x:c>
      <x:c r="H19" s="49" t="n">
        <x:f>COUNTIF('Craft Nodes'!$A$5:$A$250,B19)</x:f>
        <x:v>1</x:v>
      </x:c>
      <x:c r="I19" s="49" t="str">
        <x:f>IF(AND(G19=1,H19=1),"OK",IF(G19=0,"MISSING FROM","MISSING TO"))</x:f>
        <x:v>OK</x:v>
      </x:c>
    </x:row>
    <x:row r="20">
      <x:c r="A20" s="49" t="str">
        <x:v>T-STONE-KNIFE</x:v>
      </x:c>
      <x:c r="B20" s="49" t="str">
        <x:v>P-MAT</x:v>
      </x:c>
      <x:c r="C20" s="49" t="str">
        <x:v>Tool</x:v>
      </x:c>
      <x:c r="D20" s="49" t="str">
        <x:v>Yes</x:v>
      </x:c>
      <x:c r="E20" s="49" t="str"/>
      <x:c r="F20" s="49" t="str">
        <x:v>Declared embodied tool use</x:v>
      </x:c>
      <x:c r="G20" s="49" t="n">
        <x:f>COUNTIF('Craft Nodes'!$A$5:$A$250,A20)</x:f>
        <x:v>1</x:v>
      </x:c>
      <x:c r="H20" s="49" t="n">
        <x:f>COUNTIF('Craft Nodes'!$A$5:$A$250,B20)</x:f>
        <x:v>1</x:v>
      </x:c>
      <x:c r="I20" s="49" t="str">
        <x:f>IF(AND(G20=1,H20=1),"OK",IF(G20=0,"MISSING FROM","MISSING TO"))</x:f>
        <x:v>OK</x:v>
      </x:c>
    </x:row>
    <x:row r="21">
      <x:c r="A21" s="49" t="str">
        <x:v>W-WORKMAT</x:v>
      </x:c>
      <x:c r="B21" s="49" t="str">
        <x:v>P-MAT</x:v>
      </x:c>
      <x:c r="C21" s="49" t="str">
        <x:v>Workspace</x:v>
      </x:c>
      <x:c r="D21" s="49" t="str">
        <x:v>Yes</x:v>
      </x:c>
      <x:c r="E21" s="49" t="str"/>
      <x:c r="F21" s="49" t="str">
        <x:v>Declared worksite dependency</x:v>
      </x:c>
      <x:c r="G21" s="49" t="n">
        <x:f>COUNTIF('Craft Nodes'!$A$5:$A$250,A21)</x:f>
        <x:v>1</x:v>
      </x:c>
      <x:c r="H21" s="49" t="n">
        <x:f>COUNTIF('Craft Nodes'!$A$5:$A$250,B21)</x:f>
        <x:v>1</x:v>
      </x:c>
      <x:c r="I21" s="49" t="str">
        <x:f>IF(AND(G21=1,H21=1),"OK",IF(G21=0,"MISSING FROM","MISSING TO"))</x:f>
        <x:v>OK</x:v>
      </x:c>
    </x:row>
    <x:row r="22">
      <x:c r="A22" s="49" t="str">
        <x:v>S-TIMBER</x:v>
      </x:c>
      <x:c r="B22" s="49" t="str">
        <x:v>P-STRAIGHT-POLE</x:v>
      </x:c>
      <x:c r="C22" s="49" t="str">
        <x:v>Prerequisite</x:v>
      </x:c>
      <x:c r="D22" s="49" t="str">
        <x:v>Yes</x:v>
      </x:c>
      <x:c r="E22" s="49" t="str"/>
      <x:c r="F22" s="49" t="str">
        <x:v>Required for canonical route</x:v>
      </x:c>
      <x:c r="G22" s="49" t="n">
        <x:f>COUNTIF('Craft Nodes'!$A$5:$A$250,A22)</x:f>
        <x:v>1</x:v>
      </x:c>
      <x:c r="H22" s="49" t="n">
        <x:f>COUNTIF('Craft Nodes'!$A$5:$A$250,B22)</x:f>
        <x:v>1</x:v>
      </x:c>
      <x:c r="I22" s="49" t="str">
        <x:f>IF(AND(G22=1,H22=1),"OK",IF(G22=0,"MISSING FROM","MISSING TO"))</x:f>
        <x:v>OK</x:v>
      </x:c>
    </x:row>
    <x:row r="23">
      <x:c r="A23" s="49" t="str">
        <x:v>T-STONE-KNIFE</x:v>
      </x:c>
      <x:c r="B23" s="49" t="str">
        <x:v>P-STRAIGHT-POLE</x:v>
      </x:c>
      <x:c r="C23" s="49" t="str">
        <x:v>Tool</x:v>
      </x:c>
      <x:c r="D23" s="49" t="str">
        <x:v>Yes</x:v>
      </x:c>
      <x:c r="E23" s="49" t="str"/>
      <x:c r="F23" s="49" t="str">
        <x:v>Required for canonical route</x:v>
      </x:c>
      <x:c r="G23" s="49" t="n">
        <x:f>COUNTIF('Craft Nodes'!$A$5:$A$250,A23)</x:f>
        <x:v>1</x:v>
      </x:c>
      <x:c r="H23" s="49" t="n">
        <x:f>COUNTIF('Craft Nodes'!$A$5:$A$250,B23)</x:f>
        <x:v>1</x:v>
      </x:c>
      <x:c r="I23" s="49" t="str">
        <x:f>IF(AND(G23=1,H23=1),"OK",IF(G23=0,"MISSING FROM","MISSING TO"))</x:f>
        <x:v>OK</x:v>
      </x:c>
    </x:row>
    <x:row r="24">
      <x:c r="A24" s="49" t="str">
        <x:v>S-TIMBER</x:v>
      </x:c>
      <x:c r="B24" s="49" t="str">
        <x:v>P-PLANK</x:v>
      </x:c>
      <x:c r="C24" s="49" t="str">
        <x:v>Prerequisite</x:v>
      </x:c>
      <x:c r="D24" s="49" t="str">
        <x:v>Yes</x:v>
      </x:c>
      <x:c r="E24" s="49" t="str"/>
      <x:c r="F24" s="49" t="str">
        <x:v>Required for canonical route</x:v>
      </x:c>
      <x:c r="G24" s="49" t="n">
        <x:f>COUNTIF('Craft Nodes'!$A$5:$A$250,A24)</x:f>
        <x:v>1</x:v>
      </x:c>
      <x:c r="H24" s="49" t="n">
        <x:f>COUNTIF('Craft Nodes'!$A$5:$A$250,B24)</x:f>
        <x:v>1</x:v>
      </x:c>
      <x:c r="I24" s="49" t="str">
        <x:f>IF(AND(G24=1,H24=1),"OK",IF(G24=0,"MISSING FROM","MISSING TO"))</x:f>
        <x:v>OK</x:v>
      </x:c>
    </x:row>
    <x:row r="25">
      <x:c r="A25" s="49" t="str">
        <x:v>T-AXE</x:v>
      </x:c>
      <x:c r="B25" s="49" t="str">
        <x:v>P-PLANK</x:v>
      </x:c>
      <x:c r="C25" s="49" t="str">
        <x:v>Tool</x:v>
      </x:c>
      <x:c r="D25" s="49" t="str">
        <x:v>Yes</x:v>
      </x:c>
      <x:c r="E25" s="49" t="str"/>
      <x:c r="F25" s="49" t="str">
        <x:v>Required for canonical route</x:v>
      </x:c>
      <x:c r="G25" s="49" t="n">
        <x:f>COUNTIF('Craft Nodes'!$A$5:$A$250,A25)</x:f>
        <x:v>1</x:v>
      </x:c>
      <x:c r="H25" s="49" t="n">
        <x:f>COUNTIF('Craft Nodes'!$A$5:$A$250,B25)</x:f>
        <x:v>1</x:v>
      </x:c>
      <x:c r="I25" s="49" t="str">
        <x:f>IF(AND(G25=1,H25=1),"OK",IF(G25=0,"MISSING FROM","MISSING TO"))</x:f>
        <x:v>OK</x:v>
      </x:c>
    </x:row>
    <x:row r="26">
      <x:c r="A26" s="49" t="str">
        <x:v>T-SAW</x:v>
      </x:c>
      <x:c r="B26" s="49" t="str">
        <x:v>P-PLANK</x:v>
      </x:c>
      <x:c r="C26" s="49" t="str">
        <x:v>Tool</x:v>
      </x:c>
      <x:c r="D26" s="49" t="str">
        <x:v>Yes</x:v>
      </x:c>
      <x:c r="E26" s="49" t="str"/>
      <x:c r="F26" s="49" t="str">
        <x:v>Required for canonical route</x:v>
      </x:c>
      <x:c r="G26" s="49" t="n">
        <x:f>COUNTIF('Craft Nodes'!$A$5:$A$250,A26)</x:f>
        <x:v>1</x:v>
      </x:c>
      <x:c r="H26" s="49" t="n">
        <x:f>COUNTIF('Craft Nodes'!$A$5:$A$250,B26)</x:f>
        <x:v>1</x:v>
      </x:c>
      <x:c r="I26" s="49" t="str">
        <x:f>IF(AND(G26=1,H26=1),"OK",IF(G26=0,"MISSING FROM","MISSING TO"))</x:f>
        <x:v>OK</x:v>
      </x:c>
    </x:row>
    <x:row r="27">
      <x:c r="A27" s="49" t="str">
        <x:v>W-BENCH</x:v>
      </x:c>
      <x:c r="B27" s="49" t="str">
        <x:v>P-PLANK</x:v>
      </x:c>
      <x:c r="C27" s="49" t="str">
        <x:v>Workspace</x:v>
      </x:c>
      <x:c r="D27" s="49" t="str">
        <x:v>Yes</x:v>
      </x:c>
      <x:c r="E27" s="49" t="str"/>
      <x:c r="F27" s="49" t="str">
        <x:v>Declared worksite dependency</x:v>
      </x:c>
      <x:c r="G27" s="49" t="n">
        <x:f>COUNTIF('Craft Nodes'!$A$5:$A$250,A27)</x:f>
        <x:v>1</x:v>
      </x:c>
      <x:c r="H27" s="49" t="n">
        <x:f>COUNTIF('Craft Nodes'!$A$5:$A$250,B27)</x:f>
        <x:v>1</x:v>
      </x:c>
      <x:c r="I27" s="49" t="str">
        <x:f>IF(AND(G27=1,H27=1),"OK",IF(G27=0,"MISSING FROM","MISSING TO"))</x:f>
        <x:v>OK</x:v>
      </x:c>
    </x:row>
    <x:row r="28">
      <x:c r="A28" s="49" t="str">
        <x:v>P-STRAIGHT-POLE</x:v>
      </x:c>
      <x:c r="B28" s="49" t="str">
        <x:v>P-PEG</x:v>
      </x:c>
      <x:c r="C28" s="49" t="str">
        <x:v>Prerequisite</x:v>
      </x:c>
      <x:c r="D28" s="49" t="str">
        <x:v>Yes</x:v>
      </x:c>
      <x:c r="E28" s="49" t="str"/>
      <x:c r="F28" s="49" t="str">
        <x:v>Required for canonical route</x:v>
      </x:c>
      <x:c r="G28" s="49" t="n">
        <x:f>COUNTIF('Craft Nodes'!$A$5:$A$250,A28)</x:f>
        <x:v>1</x:v>
      </x:c>
      <x:c r="H28" s="49" t="n">
        <x:f>COUNTIF('Craft Nodes'!$A$5:$A$250,B28)</x:f>
        <x:v>1</x:v>
      </x:c>
      <x:c r="I28" s="49" t="str">
        <x:f>IF(AND(G28=1,H28=1),"OK",IF(G28=0,"MISSING FROM","MISSING TO"))</x:f>
        <x:v>OK</x:v>
      </x:c>
    </x:row>
    <x:row r="29">
      <x:c r="A29" s="49" t="str">
        <x:v>T-STONE-KNIFE</x:v>
      </x:c>
      <x:c r="B29" s="49" t="str">
        <x:v>P-PEG</x:v>
      </x:c>
      <x:c r="C29" s="49" t="str">
        <x:v>Tool</x:v>
      </x:c>
      <x:c r="D29" s="49" t="str">
        <x:v>Yes</x:v>
      </x:c>
      <x:c r="E29" s="49" t="str"/>
      <x:c r="F29" s="49" t="str">
        <x:v>Required for canonical route</x:v>
      </x:c>
      <x:c r="G29" s="49" t="n">
        <x:f>COUNTIF('Craft Nodes'!$A$5:$A$250,A29)</x:f>
        <x:v>1</x:v>
      </x:c>
      <x:c r="H29" s="49" t="n">
        <x:f>COUNTIF('Craft Nodes'!$A$5:$A$250,B29)</x:f>
        <x:v>1</x:v>
      </x:c>
      <x:c r="I29" s="49" t="str">
        <x:f>IF(AND(G29=1,H29=1),"OK",IF(G29=0,"MISSING FROM","MISSING TO"))</x:f>
        <x:v>OK</x:v>
      </x:c>
    </x:row>
    <x:row r="30">
      <x:c r="A30" s="49" t="str">
        <x:v>W-WORKMAT</x:v>
      </x:c>
      <x:c r="B30" s="49" t="str">
        <x:v>P-PEG</x:v>
      </x:c>
      <x:c r="C30" s="49" t="str">
        <x:v>Workspace</x:v>
      </x:c>
      <x:c r="D30" s="49" t="str">
        <x:v>Yes</x:v>
      </x:c>
      <x:c r="E30" s="49" t="str"/>
      <x:c r="F30" s="49" t="str">
        <x:v>Declared worksite dependency</x:v>
      </x:c>
      <x:c r="G30" s="49" t="n">
        <x:f>COUNTIF('Craft Nodes'!$A$5:$A$250,A30)</x:f>
        <x:v>1</x:v>
      </x:c>
      <x:c r="H30" s="49" t="n">
        <x:f>COUNTIF('Craft Nodes'!$A$5:$A$250,B30)</x:f>
        <x:v>1</x:v>
      </x:c>
      <x:c r="I30" s="49" t="str">
        <x:f>IF(AND(G30=1,H30=1),"OK",IF(G30=0,"MISSING FROM","MISSING TO"))</x:f>
        <x:v>OK</x:v>
      </x:c>
    </x:row>
    <x:row r="31">
      <x:c r="A31" s="49" t="str">
        <x:v>S-RESIN</x:v>
      </x:c>
      <x:c r="B31" s="49" t="str">
        <x:v>P-PITCH</x:v>
      </x:c>
      <x:c r="C31" s="49" t="str">
        <x:v>Prerequisite</x:v>
      </x:c>
      <x:c r="D31" s="49" t="str">
        <x:v>Yes</x:v>
      </x:c>
      <x:c r="E31" s="49" t="str"/>
      <x:c r="F31" s="49" t="str">
        <x:v>Required for canonical route</x:v>
      </x:c>
      <x:c r="G31" s="49" t="n">
        <x:f>COUNTIF('Craft Nodes'!$A$5:$A$250,A31)</x:f>
        <x:v>1</x:v>
      </x:c>
      <x:c r="H31" s="49" t="n">
        <x:f>COUNTIF('Craft Nodes'!$A$5:$A$250,B31)</x:f>
        <x:v>1</x:v>
      </x:c>
      <x:c r="I31" s="49" t="str">
        <x:f>IF(AND(G31=1,H31=1),"OK",IF(G31=0,"MISSING FROM","MISSING TO"))</x:f>
        <x:v>OK</x:v>
      </x:c>
    </x:row>
    <x:row r="32">
      <x:c r="A32" s="49" t="str">
        <x:v>W-HEARTH</x:v>
      </x:c>
      <x:c r="B32" s="49" t="str">
        <x:v>P-PITCH</x:v>
      </x:c>
      <x:c r="C32" s="49" t="str">
        <x:v>Workspace</x:v>
      </x:c>
      <x:c r="D32" s="49" t="str">
        <x:v>Yes</x:v>
      </x:c>
      <x:c r="E32" s="49" t="str"/>
      <x:c r="F32" s="49" t="str">
        <x:v>Required for canonical route</x:v>
      </x:c>
      <x:c r="G32" s="49" t="n">
        <x:f>COUNTIF('Craft Nodes'!$A$5:$A$250,A32)</x:f>
        <x:v>1</x:v>
      </x:c>
      <x:c r="H32" s="49" t="n">
        <x:f>COUNTIF('Craft Nodes'!$A$5:$A$250,B32)</x:f>
        <x:v>1</x:v>
      </x:c>
      <x:c r="I32" s="49" t="str">
        <x:f>IF(AND(G32=1,H32=1),"OK",IF(G32=0,"MISSING FROM","MISSING TO"))</x:f>
        <x:v>OK</x:v>
      </x:c>
    </x:row>
    <x:row r="33">
      <x:c r="A33" s="49" t="str">
        <x:v>C-FOUND-PAN</x:v>
      </x:c>
      <x:c r="B33" s="49" t="str">
        <x:v>P-PITCH</x:v>
      </x:c>
      <x:c r="C33" s="49" t="str">
        <x:v>Tool</x:v>
      </x:c>
      <x:c r="D33" s="49" t="str">
        <x:v>Yes</x:v>
      </x:c>
      <x:c r="E33" s="49" t="str"/>
      <x:c r="F33" s="49" t="str">
        <x:v>Declared embodied tool use</x:v>
      </x:c>
      <x:c r="G33" s="49" t="n">
        <x:f>COUNTIF('Craft Nodes'!$A$5:$A$250,A33)</x:f>
        <x:v>1</x:v>
      </x:c>
      <x:c r="H33" s="49" t="n">
        <x:f>COUNTIF('Craft Nodes'!$A$5:$A$250,B33)</x:f>
        <x:v>1</x:v>
      </x:c>
      <x:c r="I33" s="49" t="str">
        <x:f>IF(AND(G33=1,H33=1),"OK",IF(G33=0,"MISSING FROM","MISSING TO"))</x:f>
        <x:v>OK</x:v>
      </x:c>
    </x:row>
    <x:row r="34">
      <x:c r="A34" s="49" t="str">
        <x:v>S-WOODFUEL</x:v>
      </x:c>
      <x:c r="B34" s="49" t="str">
        <x:v>P-CHARCOAL</x:v>
      </x:c>
      <x:c r="C34" s="49" t="str">
        <x:v>Prerequisite</x:v>
      </x:c>
      <x:c r="D34" s="49" t="str">
        <x:v>Yes</x:v>
      </x:c>
      <x:c r="E34" s="49" t="str"/>
      <x:c r="F34" s="49" t="str">
        <x:v>Required for canonical route</x:v>
      </x:c>
      <x:c r="G34" s="49" t="n">
        <x:f>COUNTIF('Craft Nodes'!$A$5:$A$250,A34)</x:f>
        <x:v>1</x:v>
      </x:c>
      <x:c r="H34" s="49" t="n">
        <x:f>COUNTIF('Craft Nodes'!$A$5:$A$250,B34)</x:f>
        <x:v>1</x:v>
      </x:c>
      <x:c r="I34" s="49" t="str">
        <x:f>IF(AND(G34=1,H34=1),"OK",IF(G34=0,"MISSING FROM","MISSING TO"))</x:f>
        <x:v>OK</x:v>
      </x:c>
    </x:row>
    <x:row r="35">
      <x:c r="A35" s="49" t="str">
        <x:v>W-CHARCOAL</x:v>
      </x:c>
      <x:c r="B35" s="49" t="str">
        <x:v>P-CHARCOAL</x:v>
      </x:c>
      <x:c r="C35" s="49" t="str">
        <x:v>Workspace</x:v>
      </x:c>
      <x:c r="D35" s="49" t="str">
        <x:v>Yes</x:v>
      </x:c>
      <x:c r="E35" s="49" t="str"/>
      <x:c r="F35" s="49" t="str">
        <x:v>Required for canonical route</x:v>
      </x:c>
      <x:c r="G35" s="49" t="n">
        <x:f>COUNTIF('Craft Nodes'!$A$5:$A$250,A35)</x:f>
        <x:v>1</x:v>
      </x:c>
      <x:c r="H35" s="49" t="n">
        <x:f>COUNTIF('Craft Nodes'!$A$5:$A$250,B35)</x:f>
        <x:v>1</x:v>
      </x:c>
      <x:c r="I35" s="49" t="str">
        <x:f>IF(AND(G35=1,H35=1),"OK",IF(G35=0,"MISSING FROM","MISSING TO"))</x:f>
        <x:v>OK</x:v>
      </x:c>
    </x:row>
    <x:row r="36">
      <x:c r="A36" s="49" t="str">
        <x:v>T-SHOVEL</x:v>
      </x:c>
      <x:c r="B36" s="49" t="str">
        <x:v>P-CHARCOAL</x:v>
      </x:c>
      <x:c r="C36" s="49" t="str">
        <x:v>Tool</x:v>
      </x:c>
      <x:c r="D36" s="49" t="str">
        <x:v>Yes</x:v>
      </x:c>
      <x:c r="E36" s="49" t="str"/>
      <x:c r="F36" s="49" t="str">
        <x:v>Declared embodied tool use</x:v>
      </x:c>
      <x:c r="G36" s="49" t="n">
        <x:f>COUNTIF('Craft Nodes'!$A$5:$A$250,A36)</x:f>
        <x:v>1</x:v>
      </x:c>
      <x:c r="H36" s="49" t="n">
        <x:f>COUNTIF('Craft Nodes'!$A$5:$A$250,B36)</x:f>
        <x:v>1</x:v>
      </x:c>
      <x:c r="I36" s="49" t="str">
        <x:f>IF(AND(G36=1,H36=1),"OK",IF(G36=0,"MISSING FROM","MISSING TO"))</x:f>
        <x:v>OK</x:v>
      </x:c>
    </x:row>
    <x:row r="37">
      <x:c r="A37" s="49" t="str">
        <x:v>S-CLAY</x:v>
      </x:c>
      <x:c r="B37" s="49" t="str">
        <x:v>P-CLAY-BODY</x:v>
      </x:c>
      <x:c r="C37" s="49" t="str">
        <x:v>Prerequisite</x:v>
      </x:c>
      <x:c r="D37" s="49" t="str">
        <x:v>Yes</x:v>
      </x:c>
      <x:c r="E37" s="49" t="str"/>
      <x:c r="F37" s="49" t="str">
        <x:v>Required for canonical route</x:v>
      </x:c>
      <x:c r="G37" s="49" t="n">
        <x:f>COUNTIF('Craft Nodes'!$A$5:$A$250,A37)</x:f>
        <x:v>1</x:v>
      </x:c>
      <x:c r="H37" s="49" t="n">
        <x:f>COUNTIF('Craft Nodes'!$A$5:$A$250,B37)</x:f>
        <x:v>1</x:v>
      </x:c>
      <x:c r="I37" s="49" t="str">
        <x:f>IF(AND(G37=1,H37=1),"OK",IF(G37=0,"MISSING FROM","MISSING TO"))</x:f>
        <x:v>OK</x:v>
      </x:c>
    </x:row>
    <x:row r="38">
      <x:c r="A38" s="49" t="str">
        <x:v>S-SAND</x:v>
      </x:c>
      <x:c r="B38" s="49" t="str">
        <x:v>P-CLAY-BODY</x:v>
      </x:c>
      <x:c r="C38" s="49" t="str">
        <x:v>Prerequisite</x:v>
      </x:c>
      <x:c r="D38" s="49" t="str">
        <x:v>Yes</x:v>
      </x:c>
      <x:c r="E38" s="49" t="str"/>
      <x:c r="F38" s="49" t="str">
        <x:v>Required for canonical route</x:v>
      </x:c>
      <x:c r="G38" s="49" t="n">
        <x:f>COUNTIF('Craft Nodes'!$A$5:$A$250,A38)</x:f>
        <x:v>1</x:v>
      </x:c>
      <x:c r="H38" s="49" t="n">
        <x:f>COUNTIF('Craft Nodes'!$A$5:$A$250,B38)</x:f>
        <x:v>1</x:v>
      </x:c>
      <x:c r="I38" s="49" t="str">
        <x:f>IF(AND(G38=1,H38=1),"OK",IF(G38=0,"MISSING FROM","MISSING TO"))</x:f>
        <x:v>OK</x:v>
      </x:c>
    </x:row>
    <x:row r="39">
      <x:c r="A39" s="49" t="str">
        <x:v>T-DIG</x:v>
      </x:c>
      <x:c r="B39" s="49" t="str">
        <x:v>P-CLAY-BODY</x:v>
      </x:c>
      <x:c r="C39" s="49" t="str">
        <x:v>Tool</x:v>
      </x:c>
      <x:c r="D39" s="49" t="str">
        <x:v>Yes</x:v>
      </x:c>
      <x:c r="E39" s="49" t="str"/>
      <x:c r="F39" s="49" t="str">
        <x:v>Declared embodied tool use</x:v>
      </x:c>
      <x:c r="G39" s="49" t="n">
        <x:f>COUNTIF('Craft Nodes'!$A$5:$A$250,A39)</x:f>
        <x:v>1</x:v>
      </x:c>
      <x:c r="H39" s="49" t="n">
        <x:f>COUNTIF('Craft Nodes'!$A$5:$A$250,B39)</x:f>
        <x:v>1</x:v>
      </x:c>
      <x:c r="I39" s="49" t="str">
        <x:f>IF(AND(G39=1,H39=1),"OK",IF(G39=0,"MISSING FROM","MISSING TO"))</x:f>
        <x:v>OK</x:v>
      </x:c>
    </x:row>
    <x:row r="40">
      <x:c r="A40" s="49" t="str">
        <x:v>W-WORKMAT</x:v>
      </x:c>
      <x:c r="B40" s="49" t="str">
        <x:v>P-CLAY-BODY</x:v>
      </x:c>
      <x:c r="C40" s="49" t="str">
        <x:v>Workspace</x:v>
      </x:c>
      <x:c r="D40" s="49" t="str">
        <x:v>Yes</x:v>
      </x:c>
      <x:c r="E40" s="49" t="str"/>
      <x:c r="F40" s="49" t="str">
        <x:v>Declared worksite dependency</x:v>
      </x:c>
      <x:c r="G40" s="49" t="n">
        <x:f>COUNTIF('Craft Nodes'!$A$5:$A$250,A40)</x:f>
        <x:v>1</x:v>
      </x:c>
      <x:c r="H40" s="49" t="n">
        <x:f>COUNTIF('Craft Nodes'!$A$5:$A$250,B40)</x:f>
        <x:v>1</x:v>
      </x:c>
      <x:c r="I40" s="49" t="str">
        <x:f>IF(AND(G40=1,H40=1),"OK",IF(G40=0,"MISSING FROM","MISSING TO"))</x:f>
        <x:v>OK</x:v>
      </x:c>
    </x:row>
    <x:row r="41">
      <x:c r="A41" s="49" t="str">
        <x:v>P-CLAY-BODY</x:v>
      </x:c>
      <x:c r="B41" s="49" t="str">
        <x:v>P-FIRED-CERAMIC</x:v>
      </x:c>
      <x:c r="C41" s="49" t="str">
        <x:v>Prerequisite</x:v>
      </x:c>
      <x:c r="D41" s="49" t="str">
        <x:v>Yes</x:v>
      </x:c>
      <x:c r="E41" s="49" t="str"/>
      <x:c r="F41" s="49" t="str">
        <x:v>Required for canonical route</x:v>
      </x:c>
      <x:c r="G41" s="49" t="n">
        <x:f>COUNTIF('Craft Nodes'!$A$5:$A$250,A41)</x:f>
        <x:v>1</x:v>
      </x:c>
      <x:c r="H41" s="49" t="n">
        <x:f>COUNTIF('Craft Nodes'!$A$5:$A$250,B41)</x:f>
        <x:v>1</x:v>
      </x:c>
      <x:c r="I41" s="49" t="str">
        <x:f>IF(AND(G41=1,H41=1),"OK",IF(G41=0,"MISSING FROM","MISSING TO"))</x:f>
        <x:v>OK</x:v>
      </x:c>
    </x:row>
    <x:row r="42">
      <x:c r="A42" s="49" t="str">
        <x:v>W-KILN</x:v>
      </x:c>
      <x:c r="B42" s="49" t="str">
        <x:v>P-FIRED-CERAMIC</x:v>
      </x:c>
      <x:c r="C42" s="49" t="str">
        <x:v>Workspace</x:v>
      </x:c>
      <x:c r="D42" s="49" t="str">
        <x:v>Yes</x:v>
      </x:c>
      <x:c r="E42" s="49" t="str"/>
      <x:c r="F42" s="49" t="str">
        <x:v>Required for canonical route</x:v>
      </x:c>
      <x:c r="G42" s="49" t="n">
        <x:f>COUNTIF('Craft Nodes'!$A$5:$A$250,A42)</x:f>
        <x:v>1</x:v>
      </x:c>
      <x:c r="H42" s="49" t="n">
        <x:f>COUNTIF('Craft Nodes'!$A$5:$A$250,B42)</x:f>
        <x:v>1</x:v>
      </x:c>
      <x:c r="I42" s="49" t="str">
        <x:f>IF(AND(G42=1,H42=1),"OK",IF(G42=0,"MISSING FROM","MISSING TO"))</x:f>
        <x:v>OK</x:v>
      </x:c>
    </x:row>
    <x:row r="43">
      <x:c r="A43" s="49" t="str">
        <x:v>T-TONGS</x:v>
      </x:c>
      <x:c r="B43" s="49" t="str">
        <x:v>P-FIRED-CERAMIC</x:v>
      </x:c>
      <x:c r="C43" s="49" t="str">
        <x:v>Tool</x:v>
      </x:c>
      <x:c r="D43" s="49" t="str">
        <x:v>Yes</x:v>
      </x:c>
      <x:c r="E43" s="49" t="str"/>
      <x:c r="F43" s="49" t="str">
        <x:v>Declared embodied tool use</x:v>
      </x:c>
      <x:c r="G43" s="49" t="n">
        <x:f>COUNTIF('Craft Nodes'!$A$5:$A$250,A43)</x:f>
        <x:v>1</x:v>
      </x:c>
      <x:c r="H43" s="49" t="n">
        <x:f>COUNTIF('Craft Nodes'!$A$5:$A$250,B43)</x:f>
        <x:v>1</x:v>
      </x:c>
      <x:c r="I43" s="49" t="str">
        <x:f>IF(AND(G43=1,H43=1),"OK",IF(G43=0,"MISSING FROM","MISSING TO"))</x:f>
        <x:v>OK</x:v>
      </x:c>
    </x:row>
    <x:row r="44">
      <x:c r="A44" s="49" t="str">
        <x:v>S-FERROUS</x:v>
      </x:c>
      <x:c r="B44" s="49" t="str">
        <x:v>P-METAL-STOCK</x:v>
      </x:c>
      <x:c r="C44" s="49" t="str">
        <x:v>Prerequisite</x:v>
      </x:c>
      <x:c r="D44" s="49" t="str">
        <x:v>Yes</x:v>
      </x:c>
      <x:c r="E44" s="49" t="str"/>
      <x:c r="F44" s="49" t="str">
        <x:v>Required for canonical route</x:v>
      </x:c>
      <x:c r="G44" s="49" t="n">
        <x:f>COUNTIF('Craft Nodes'!$A$5:$A$250,A44)</x:f>
        <x:v>1</x:v>
      </x:c>
      <x:c r="H44" s="49" t="n">
        <x:f>COUNTIF('Craft Nodes'!$A$5:$A$250,B44)</x:f>
        <x:v>1</x:v>
      </x:c>
      <x:c r="I44" s="49" t="str">
        <x:f>IF(AND(G44=1,H44=1),"OK",IF(G44=0,"MISSING FROM","MISSING TO"))</x:f>
        <x:v>OK</x:v>
      </x:c>
    </x:row>
    <x:row r="45">
      <x:c r="A45" s="49" t="str">
        <x:v>T-PRY</x:v>
      </x:c>
      <x:c r="B45" s="49" t="str">
        <x:v>P-METAL-STOCK</x:v>
      </x:c>
      <x:c r="C45" s="49" t="str">
        <x:v>Tool</x:v>
      </x:c>
      <x:c r="D45" s="49" t="str">
        <x:v>Yes</x:v>
      </x:c>
      <x:c r="E45" s="49" t="str"/>
      <x:c r="F45" s="49" t="str">
        <x:v>Declared embodied tool use</x:v>
      </x:c>
      <x:c r="G45" s="49" t="n">
        <x:f>COUNTIF('Craft Nodes'!$A$5:$A$250,A45)</x:f>
        <x:v>1</x:v>
      </x:c>
      <x:c r="H45" s="49" t="n">
        <x:f>COUNTIF('Craft Nodes'!$A$5:$A$250,B45)</x:f>
        <x:v>1</x:v>
      </x:c>
      <x:c r="I45" s="49" t="str">
        <x:f>IF(AND(G45=1,H45=1),"OK",IF(G45=0,"MISSING FROM","MISSING TO"))</x:f>
        <x:v>OK</x:v>
      </x:c>
    </x:row>
    <x:row r="46">
      <x:c r="A46" s="49" t="str">
        <x:v>W-BENCH</x:v>
      </x:c>
      <x:c r="B46" s="49" t="str">
        <x:v>P-METAL-STOCK</x:v>
      </x:c>
      <x:c r="C46" s="49" t="str">
        <x:v>Workspace</x:v>
      </x:c>
      <x:c r="D46" s="49" t="str">
        <x:v>Yes</x:v>
      </x:c>
      <x:c r="E46" s="49" t="str"/>
      <x:c r="F46" s="49" t="str">
        <x:v>Declared worksite dependency</x:v>
      </x:c>
      <x:c r="G46" s="49" t="n">
        <x:f>COUNTIF('Craft Nodes'!$A$5:$A$250,A46)</x:f>
        <x:v>1</x:v>
      </x:c>
      <x:c r="H46" s="49" t="n">
        <x:f>COUNTIF('Craft Nodes'!$A$5:$A$250,B46)</x:f>
        <x:v>1</x:v>
      </x:c>
      <x:c r="I46" s="49" t="str">
        <x:f>IF(AND(G46=1,H46=1),"OK",IF(G46=0,"MISSING FROM","MISSING TO"))</x:f>
        <x:v>OK</x:v>
      </x:c>
    </x:row>
    <x:row r="47">
      <x:c r="A47" s="49" t="str">
        <x:v>S-ALUMINUM</x:v>
      </x:c>
      <x:c r="B47" s="49" t="str">
        <x:v>P-DEBURRED-AL</x:v>
      </x:c>
      <x:c r="C47" s="49" t="str">
        <x:v>Prerequisite</x:v>
      </x:c>
      <x:c r="D47" s="49" t="str">
        <x:v>Yes</x:v>
      </x:c>
      <x:c r="E47" s="49" t="str"/>
      <x:c r="F47" s="49" t="str">
        <x:v>Required for canonical route</x:v>
      </x:c>
      <x:c r="G47" s="49" t="n">
        <x:f>COUNTIF('Craft Nodes'!$A$5:$A$250,A47)</x:f>
        <x:v>1</x:v>
      </x:c>
      <x:c r="H47" s="49" t="n">
        <x:f>COUNTIF('Craft Nodes'!$A$5:$A$250,B47)</x:f>
        <x:v>1</x:v>
      </x:c>
      <x:c r="I47" s="49" t="str">
        <x:f>IF(AND(G47=1,H47=1),"OK",IF(G47=0,"MISSING FROM","MISSING TO"))</x:f>
        <x:v>OK</x:v>
      </x:c>
    </x:row>
    <x:row r="48">
      <x:c r="A48" s="49" t="str">
        <x:v>T-SNIPS</x:v>
      </x:c>
      <x:c r="B48" s="49" t="str">
        <x:v>P-DEBURRED-AL</x:v>
      </x:c>
      <x:c r="C48" s="49" t="str">
        <x:v>Tool</x:v>
      </x:c>
      <x:c r="D48" s="49" t="str">
        <x:v>Yes</x:v>
      </x:c>
      <x:c r="E48" s="49" t="str"/>
      <x:c r="F48" s="49" t="str">
        <x:v>Required for canonical route</x:v>
      </x:c>
      <x:c r="G48" s="49" t="n">
        <x:f>COUNTIF('Craft Nodes'!$A$5:$A$250,A48)</x:f>
        <x:v>1</x:v>
      </x:c>
      <x:c r="H48" s="49" t="n">
        <x:f>COUNTIF('Craft Nodes'!$A$5:$A$250,B48)</x:f>
        <x:v>1</x:v>
      </x:c>
      <x:c r="I48" s="49" t="str">
        <x:f>IF(AND(G48=1,H48=1),"OK",IF(G48=0,"MISSING FROM","MISSING TO"))</x:f>
        <x:v>OK</x:v>
      </x:c>
    </x:row>
    <x:row r="49">
      <x:c r="A49" s="49" t="str">
        <x:v>T-FILE</x:v>
      </x:c>
      <x:c r="B49" s="49" t="str">
        <x:v>P-DEBURRED-AL</x:v>
      </x:c>
      <x:c r="C49" s="49" t="str">
        <x:v>Tool</x:v>
      </x:c>
      <x:c r="D49" s="49" t="str">
        <x:v>Yes</x:v>
      </x:c>
      <x:c r="E49" s="49" t="str"/>
      <x:c r="F49" s="49" t="str">
        <x:v>Required for canonical route</x:v>
      </x:c>
      <x:c r="G49" s="49" t="n">
        <x:f>COUNTIF('Craft Nodes'!$A$5:$A$250,A49)</x:f>
        <x:v>1</x:v>
      </x:c>
      <x:c r="H49" s="49" t="n">
        <x:f>COUNTIF('Craft Nodes'!$A$5:$A$250,B49)</x:f>
        <x:v>1</x:v>
      </x:c>
      <x:c r="I49" s="49" t="str">
        <x:f>IF(AND(G49=1,H49=1),"OK",IF(G49=0,"MISSING FROM","MISSING TO"))</x:f>
        <x:v>OK</x:v>
      </x:c>
    </x:row>
    <x:row r="50">
      <x:c r="A50" s="49" t="str">
        <x:v>W-BENCH</x:v>
      </x:c>
      <x:c r="B50" s="49" t="str">
        <x:v>P-DEBURRED-AL</x:v>
      </x:c>
      <x:c r="C50" s="49" t="str">
        <x:v>Workspace</x:v>
      </x:c>
      <x:c r="D50" s="49" t="str">
        <x:v>Yes</x:v>
      </x:c>
      <x:c r="E50" s="49" t="str"/>
      <x:c r="F50" s="49" t="str">
        <x:v>Declared worksite dependency</x:v>
      </x:c>
      <x:c r="G50" s="49" t="n">
        <x:f>COUNTIF('Craft Nodes'!$A$5:$A$250,A50)</x:f>
        <x:v>1</x:v>
      </x:c>
      <x:c r="H50" s="49" t="n">
        <x:f>COUNTIF('Craft Nodes'!$A$5:$A$250,B50)</x:f>
        <x:v>1</x:v>
      </x:c>
      <x:c r="I50" s="49" t="str">
        <x:f>IF(AND(G50=1,H50=1),"OK",IF(G50=0,"MISSING FROM","MISSING TO"))</x:f>
        <x:v>OK</x:v>
      </x:c>
    </x:row>
    <x:row r="51">
      <x:c r="A51" s="49" t="str">
        <x:v>S-FASTENER</x:v>
      </x:c>
      <x:c r="B51" s="49" t="str">
        <x:v>P-RIVET</x:v>
      </x:c>
      <x:c r="C51" s="49" t="str">
        <x:v>Prerequisite</x:v>
      </x:c>
      <x:c r="D51" s="49" t="str">
        <x:v>Yes</x:v>
      </x:c>
      <x:c r="E51" s="49" t="str"/>
      <x:c r="F51" s="49" t="str">
        <x:v>Required for canonical route</x:v>
      </x:c>
      <x:c r="G51" s="49" t="n">
        <x:f>COUNTIF('Craft Nodes'!$A$5:$A$250,A51)</x:f>
        <x:v>1</x:v>
      </x:c>
      <x:c r="H51" s="49" t="n">
        <x:f>COUNTIF('Craft Nodes'!$A$5:$A$250,B51)</x:f>
        <x:v>1</x:v>
      </x:c>
      <x:c r="I51" s="49" t="str">
        <x:f>IF(AND(G51=1,H51=1),"OK",IF(G51=0,"MISSING FROM","MISSING TO"))</x:f>
        <x:v>OK</x:v>
      </x:c>
    </x:row>
    <x:row r="52">
      <x:c r="A52" s="49" t="str">
        <x:v>T-MEASURE</x:v>
      </x:c>
      <x:c r="B52" s="49" t="str">
        <x:v>P-RIVET</x:v>
      </x:c>
      <x:c r="C52" s="49" t="str">
        <x:v>Tool</x:v>
      </x:c>
      <x:c r="D52" s="49" t="str">
        <x:v>Yes</x:v>
      </x:c>
      <x:c r="E52" s="49" t="str"/>
      <x:c r="F52" s="49" t="str">
        <x:v>Declared embodied tool use</x:v>
      </x:c>
      <x:c r="G52" s="49" t="n">
        <x:f>COUNTIF('Craft Nodes'!$A$5:$A$250,A52)</x:f>
        <x:v>1</x:v>
      </x:c>
      <x:c r="H52" s="49" t="n">
        <x:f>COUNTIF('Craft Nodes'!$A$5:$A$250,B52)</x:f>
        <x:v>1</x:v>
      </x:c>
      <x:c r="I52" s="49" t="str">
        <x:f>IF(AND(G52=1,H52=1),"OK",IF(G52=0,"MISSING FROM","MISSING TO"))</x:f>
        <x:v>OK</x:v>
      </x:c>
    </x:row>
    <x:row r="53">
      <x:c r="A53" s="49" t="str">
        <x:v>W-BENCH</x:v>
      </x:c>
      <x:c r="B53" s="49" t="str">
        <x:v>P-RIVET</x:v>
      </x:c>
      <x:c r="C53" s="49" t="str">
        <x:v>Workspace</x:v>
      </x:c>
      <x:c r="D53" s="49" t="str">
        <x:v>Yes</x:v>
      </x:c>
      <x:c r="E53" s="49" t="str"/>
      <x:c r="F53" s="49" t="str">
        <x:v>Declared worksite dependency</x:v>
      </x:c>
      <x:c r="G53" s="49" t="n">
        <x:f>COUNTIF('Craft Nodes'!$A$5:$A$250,A53)</x:f>
        <x:v>1</x:v>
      </x:c>
      <x:c r="H53" s="49" t="n">
        <x:f>COUNTIF('Craft Nodes'!$A$5:$A$250,B53)</x:f>
        <x:v>1</x:v>
      </x:c>
      <x:c r="I53" s="49" t="str">
        <x:f>IF(AND(G53=1,H53=1),"OK",IF(G53=0,"MISSING FROM","MISSING TO"))</x:f>
        <x:v>OK</x:v>
      </x:c>
    </x:row>
    <x:row r="54">
      <x:c r="A54" s="49" t="str">
        <x:v>S-RUBBER</x:v>
      </x:c>
      <x:c r="B54" s="49" t="str">
        <x:v>P-GASKET</x:v>
      </x:c>
      <x:c r="C54" s="49" t="str">
        <x:v>Prerequisite</x:v>
      </x:c>
      <x:c r="D54" s="49" t="str">
        <x:v>Yes</x:v>
      </x:c>
      <x:c r="E54" s="49" t="str"/>
      <x:c r="F54" s="49" t="str">
        <x:v>Required for canonical route</x:v>
      </x:c>
      <x:c r="G54" s="49" t="n">
        <x:f>COUNTIF('Craft Nodes'!$A$5:$A$250,A54)</x:f>
        <x:v>1</x:v>
      </x:c>
      <x:c r="H54" s="49" t="n">
        <x:f>COUNTIF('Craft Nodes'!$A$5:$A$250,B54)</x:f>
        <x:v>1</x:v>
      </x:c>
      <x:c r="I54" s="49" t="str">
        <x:f>IF(AND(G54=1,H54=1),"OK",IF(G54=0,"MISSING FROM","MISSING TO"))</x:f>
        <x:v>OK</x:v>
      </x:c>
    </x:row>
    <x:row r="55">
      <x:c r="A55" s="49" t="str">
        <x:v>T-STONE-KNIFE</x:v>
      </x:c>
      <x:c r="B55" s="49" t="str">
        <x:v>P-GASKET</x:v>
      </x:c>
      <x:c r="C55" s="49" t="str">
        <x:v>Tool</x:v>
      </x:c>
      <x:c r="D55" s="49" t="str">
        <x:v>Yes</x:v>
      </x:c>
      <x:c r="E55" s="49" t="str"/>
      <x:c r="F55" s="49" t="str">
        <x:v>Required for canonical route</x:v>
      </x:c>
      <x:c r="G55" s="49" t="n">
        <x:f>COUNTIF('Craft Nodes'!$A$5:$A$250,A55)</x:f>
        <x:v>1</x:v>
      </x:c>
      <x:c r="H55" s="49" t="n">
        <x:f>COUNTIF('Craft Nodes'!$A$5:$A$250,B55)</x:f>
        <x:v>1</x:v>
      </x:c>
      <x:c r="I55" s="49" t="str">
        <x:f>IF(AND(G55=1,H55=1),"OK",IF(G55=0,"MISSING FROM","MISSING TO"))</x:f>
        <x:v>OK</x:v>
      </x:c>
    </x:row>
    <x:row r="56">
      <x:c r="A56" s="49" t="str">
        <x:v>W-BENCH</x:v>
      </x:c>
      <x:c r="B56" s="49" t="str">
        <x:v>P-GASKET</x:v>
      </x:c>
      <x:c r="C56" s="49" t="str">
        <x:v>Workspace</x:v>
      </x:c>
      <x:c r="D56" s="49" t="str">
        <x:v>Yes</x:v>
      </x:c>
      <x:c r="E56" s="49" t="str"/>
      <x:c r="F56" s="49" t="str">
        <x:v>Declared worksite dependency</x:v>
      </x:c>
      <x:c r="G56" s="49" t="n">
        <x:f>COUNTIF('Craft Nodes'!$A$5:$A$250,A56)</x:f>
        <x:v>1</x:v>
      </x:c>
      <x:c r="H56" s="49" t="n">
        <x:f>COUNTIF('Craft Nodes'!$A$5:$A$250,B56)</x:f>
        <x:v>1</x:v>
      </x:c>
      <x:c r="I56" s="49" t="str">
        <x:f>IF(AND(G56=1,H56=1),"OK",IF(G56=0,"MISSING FROM","MISSING TO"))</x:f>
        <x:v>OK</x:v>
      </x:c>
    </x:row>
    <x:row r="57">
      <x:c r="A57" s="49" t="str">
        <x:v>S-WIRE</x:v>
      </x:c>
      <x:c r="B57" s="49" t="str">
        <x:v>P-CONDUCTOR</x:v>
      </x:c>
      <x:c r="C57" s="49" t="str">
        <x:v>Prerequisite</x:v>
      </x:c>
      <x:c r="D57" s="49" t="str">
        <x:v>Yes</x:v>
      </x:c>
      <x:c r="E57" s="49" t="str"/>
      <x:c r="F57" s="49" t="str">
        <x:v>Required for canonical route</x:v>
      </x:c>
      <x:c r="G57" s="49" t="n">
        <x:f>COUNTIF('Craft Nodes'!$A$5:$A$250,A57)</x:f>
        <x:v>1</x:v>
      </x:c>
      <x:c r="H57" s="49" t="n">
        <x:f>COUNTIF('Craft Nodes'!$A$5:$A$250,B57)</x:f>
        <x:v>1</x:v>
      </x:c>
      <x:c r="I57" s="49" t="str">
        <x:f>IF(AND(G57=1,H57=1),"OK",IF(G57=0,"MISSING FROM","MISSING TO"))</x:f>
        <x:v>OK</x:v>
      </x:c>
    </x:row>
    <x:row r="58">
      <x:c r="A58" s="49" t="str">
        <x:v>S-COPPER</x:v>
      </x:c>
      <x:c r="B58" s="49" t="str">
        <x:v>P-CONDUCTOR</x:v>
      </x:c>
      <x:c r="C58" s="49" t="str">
        <x:v>Prerequisite</x:v>
      </x:c>
      <x:c r="D58" s="49" t="str">
        <x:v>Yes</x:v>
      </x:c>
      <x:c r="E58" s="49" t="str"/>
      <x:c r="F58" s="49" t="str">
        <x:v>Required for canonical route</x:v>
      </x:c>
      <x:c r="G58" s="49" t="n">
        <x:f>COUNTIF('Craft Nodes'!$A$5:$A$250,A58)</x:f>
        <x:v>1</x:v>
      </x:c>
      <x:c r="H58" s="49" t="n">
        <x:f>COUNTIF('Craft Nodes'!$A$5:$A$250,B58)</x:f>
        <x:v>1</x:v>
      </x:c>
      <x:c r="I58" s="49" t="str">
        <x:f>IF(AND(G58=1,H58=1),"OK",IF(G58=0,"MISSING FROM","MISSING TO"))</x:f>
        <x:v>OK</x:v>
      </x:c>
    </x:row>
    <x:row r="59">
      <x:c r="A59" s="49" t="str">
        <x:v>T-METER</x:v>
      </x:c>
      <x:c r="B59" s="49" t="str">
        <x:v>P-CONDUCTOR</x:v>
      </x:c>
      <x:c r="C59" s="49" t="str">
        <x:v>Tool</x:v>
      </x:c>
      <x:c r="D59" s="49" t="str">
        <x:v>Yes</x:v>
      </x:c>
      <x:c r="E59" s="49" t="str"/>
      <x:c r="F59" s="49" t="str">
        <x:v>Declared embodied tool use</x:v>
      </x:c>
      <x:c r="G59" s="49" t="n">
        <x:f>COUNTIF('Craft Nodes'!$A$5:$A$250,A59)</x:f>
        <x:v>1</x:v>
      </x:c>
      <x:c r="H59" s="49" t="n">
        <x:f>COUNTIF('Craft Nodes'!$A$5:$A$250,B59)</x:f>
        <x:v>1</x:v>
      </x:c>
      <x:c r="I59" s="49" t="str">
        <x:f>IF(AND(G59=1,H59=1),"OK",IF(G59=0,"MISSING FROM","MISSING TO"))</x:f>
        <x:v>OK</x:v>
      </x:c>
    </x:row>
    <x:row r="60">
      <x:c r="A60" s="49" t="str">
        <x:v>W-ELECTRICAL</x:v>
      </x:c>
      <x:c r="B60" s="49" t="str">
        <x:v>P-CONDUCTOR</x:v>
      </x:c>
      <x:c r="C60" s="49" t="str">
        <x:v>Workspace</x:v>
      </x:c>
      <x:c r="D60" s="49" t="str">
        <x:v>Yes</x:v>
      </x:c>
      <x:c r="E60" s="49" t="str"/>
      <x:c r="F60" s="49" t="str">
        <x:v>Declared worksite dependency</x:v>
      </x:c>
      <x:c r="G60" s="49" t="n">
        <x:f>COUNTIF('Craft Nodes'!$A$5:$A$250,A60)</x:f>
        <x:v>1</x:v>
      </x:c>
      <x:c r="H60" s="49" t="n">
        <x:f>COUNTIF('Craft Nodes'!$A$5:$A$250,B60)</x:f>
        <x:v>1</x:v>
      </x:c>
      <x:c r="I60" s="49" t="str">
        <x:f>IF(AND(G60=1,H60=1),"OK",IF(G60=0,"MISSING FROM","MISSING TO"))</x:f>
        <x:v>OK</x:v>
      </x:c>
    </x:row>
    <x:row r="61">
      <x:c r="A61" s="49" t="str">
        <x:v>S-POND</x:v>
      </x:c>
      <x:c r="B61" s="49" t="str">
        <x:v>P-CLEAN-WATER</x:v>
      </x:c>
      <x:c r="C61" s="49" t="str">
        <x:v>Prerequisite</x:v>
      </x:c>
      <x:c r="D61" s="49" t="str">
        <x:v>Yes</x:v>
      </x:c>
      <x:c r="E61" s="49" t="str"/>
      <x:c r="F61" s="49" t="str">
        <x:v>Required for canonical route</x:v>
      </x:c>
      <x:c r="G61" s="49" t="n">
        <x:f>COUNTIF('Craft Nodes'!$A$5:$A$250,A61)</x:f>
        <x:v>1</x:v>
      </x:c>
      <x:c r="H61" s="49" t="n">
        <x:f>COUNTIF('Craft Nodes'!$A$5:$A$250,B61)</x:f>
        <x:v>1</x:v>
      </x:c>
      <x:c r="I61" s="49" t="str">
        <x:f>IF(AND(G61=1,H61=1),"OK",IF(G61=0,"MISSING FROM","MISSING TO"))</x:f>
        <x:v>OK</x:v>
      </x:c>
    </x:row>
    <x:row r="62">
      <x:c r="A62" s="49" t="str">
        <x:v>C-FOUND-PAN</x:v>
      </x:c>
      <x:c r="B62" s="49" t="str">
        <x:v>P-CLEAN-WATER</x:v>
      </x:c>
      <x:c r="C62" s="49" t="str">
        <x:v>Prerequisite</x:v>
      </x:c>
      <x:c r="D62" s="49" t="str">
        <x:v>Yes</x:v>
      </x:c>
      <x:c r="E62" s="49" t="str"/>
      <x:c r="F62" s="49" t="str">
        <x:v>Required for canonical route</x:v>
      </x:c>
      <x:c r="G62" s="49" t="n">
        <x:f>COUNTIF('Craft Nodes'!$A$5:$A$250,A62)</x:f>
        <x:v>1</x:v>
      </x:c>
      <x:c r="H62" s="49" t="n">
        <x:f>COUNTIF('Craft Nodes'!$A$5:$A$250,B62)</x:f>
        <x:v>1</x:v>
      </x:c>
      <x:c r="I62" s="49" t="str">
        <x:f>IF(AND(G62=1,H62=1),"OK",IF(G62=0,"MISSING FROM","MISSING TO"))</x:f>
        <x:v>OK</x:v>
      </x:c>
    </x:row>
    <x:row r="63">
      <x:c r="A63" s="49" t="str">
        <x:v>W-HEARTH</x:v>
      </x:c>
      <x:c r="B63" s="49" t="str">
        <x:v>P-CLEAN-WATER</x:v>
      </x:c>
      <x:c r="C63" s="49" t="str">
        <x:v>Workspace</x:v>
      </x:c>
      <x:c r="D63" s="49" t="str">
        <x:v>Yes</x:v>
      </x:c>
      <x:c r="E63" s="49" t="str"/>
      <x:c r="F63" s="49" t="str">
        <x:v>Required for canonical route</x:v>
      </x:c>
      <x:c r="G63" s="49" t="n">
        <x:f>COUNTIF('Craft Nodes'!$A$5:$A$250,A63)</x:f>
        <x:v>1</x:v>
      </x:c>
      <x:c r="H63" s="49" t="n">
        <x:f>COUNTIF('Craft Nodes'!$A$5:$A$250,B63)</x:f>
        <x:v>1</x:v>
      </x:c>
      <x:c r="I63" s="49" t="str">
        <x:f>IF(AND(G63=1,H63=1),"OK",IF(G63=0,"MISSING FROM","MISSING TO"))</x:f>
        <x:v>OK</x:v>
      </x:c>
    </x:row>
    <x:row r="64">
      <x:c r="A64" s="49" t="str">
        <x:v>C-FOUND-PAN</x:v>
      </x:c>
      <x:c r="B64" s="49" t="str">
        <x:v>P-CLEAN-WATER</x:v>
      </x:c>
      <x:c r="C64" s="49" t="str">
        <x:v>Tool</x:v>
      </x:c>
      <x:c r="D64" s="49" t="str">
        <x:v>Yes</x:v>
      </x:c>
      <x:c r="E64" s="49" t="str"/>
      <x:c r="F64" s="49" t="str">
        <x:v>Declared embodied tool use</x:v>
      </x:c>
      <x:c r="G64" s="49" t="n">
        <x:f>COUNTIF('Craft Nodes'!$A$5:$A$250,A64)</x:f>
        <x:v>1</x:v>
      </x:c>
      <x:c r="H64" s="49" t="n">
        <x:f>COUNTIF('Craft Nodes'!$A$5:$A$250,B64)</x:f>
        <x:v>1</x:v>
      </x:c>
      <x:c r="I64" s="49" t="str">
        <x:f>IF(AND(G64=1,H64=1),"OK",IF(G64=0,"MISSING FROM","MISSING TO"))</x:f>
        <x:v>OK</x:v>
      </x:c>
    </x:row>
    <x:row r="65">
      <x:c r="A65" s="49" t="str">
        <x:v>W-WATER</x:v>
      </x:c>
      <x:c r="B65" s="49" t="str">
        <x:v>P-CLEAN-WATER</x:v>
      </x:c>
      <x:c r="C65" s="49" t="str">
        <x:v>Workspace</x:v>
      </x:c>
      <x:c r="D65" s="49" t="str">
        <x:v>Yes</x:v>
      </x:c>
      <x:c r="E65" s="49" t="str"/>
      <x:c r="F65" s="49" t="str">
        <x:v>Declared worksite dependency</x:v>
      </x:c>
      <x:c r="G65" s="49" t="n">
        <x:f>COUNTIF('Craft Nodes'!$A$5:$A$250,A65)</x:f>
        <x:v>1</x:v>
      </x:c>
      <x:c r="H65" s="49" t="n">
        <x:f>COUNTIF('Craft Nodes'!$A$5:$A$250,B65)</x:f>
        <x:v>1</x:v>
      </x:c>
      <x:c r="I65" s="49" t="str">
        <x:f>IF(AND(G65=1,H65=1),"OK",IF(G65=0,"MISSING FROM","MISSING TO"))</x:f>
        <x:v>OK</x:v>
      </x:c>
    </x:row>
    <x:row r="66">
      <x:c r="A66" s="49" t="str">
        <x:v>P-CLEAN-WATER</x:v>
      </x:c>
      <x:c r="B66" s="49" t="str">
        <x:v>P-ORS</x:v>
      </x:c>
      <x:c r="C66" s="49" t="str">
        <x:v>Prerequisite</x:v>
      </x:c>
      <x:c r="D66" s="49" t="str">
        <x:v>Yes</x:v>
      </x:c>
      <x:c r="E66" s="49" t="str"/>
      <x:c r="F66" s="49" t="str">
        <x:v>Required for canonical route</x:v>
      </x:c>
      <x:c r="G66" s="49" t="n">
        <x:f>COUNTIF('Craft Nodes'!$A$5:$A$250,A66)</x:f>
        <x:v>1</x:v>
      </x:c>
      <x:c r="H66" s="49" t="n">
        <x:f>COUNTIF('Craft Nodes'!$A$5:$A$250,B66)</x:f>
        <x:v>1</x:v>
      </x:c>
      <x:c r="I66" s="49" t="str">
        <x:f>IF(AND(G66=1,H66=1),"OK",IF(G66=0,"MISSING FROM","MISSING TO"))</x:f>
        <x:v>OK</x:v>
      </x:c>
    </x:row>
    <x:row r="67">
      <x:c r="A67" s="49" t="str">
        <x:v>S-SALT</x:v>
      </x:c>
      <x:c r="B67" s="49" t="str">
        <x:v>P-ORS</x:v>
      </x:c>
      <x:c r="C67" s="49" t="str">
        <x:v>Prerequisite</x:v>
      </x:c>
      <x:c r="D67" s="49" t="str">
        <x:v>Yes</x:v>
      </x:c>
      <x:c r="E67" s="49" t="str"/>
      <x:c r="F67" s="49" t="str">
        <x:v>Required for canonical route</x:v>
      </x:c>
      <x:c r="G67" s="49" t="n">
        <x:f>COUNTIF('Craft Nodes'!$A$5:$A$250,A67)</x:f>
        <x:v>1</x:v>
      </x:c>
      <x:c r="H67" s="49" t="n">
        <x:f>COUNTIF('Craft Nodes'!$A$5:$A$250,B67)</x:f>
        <x:v>1</x:v>
      </x:c>
      <x:c r="I67" s="49" t="str">
        <x:f>IF(AND(G67=1,H67=1),"OK",IF(G67=0,"MISSING FROM","MISSING TO"))</x:f>
        <x:v>OK</x:v>
      </x:c>
    </x:row>
    <x:row r="68">
      <x:c r="A68" s="49" t="str">
        <x:v>S-SUGAR</x:v>
      </x:c>
      <x:c r="B68" s="49" t="str">
        <x:v>P-ORS</x:v>
      </x:c>
      <x:c r="C68" s="49" t="str">
        <x:v>Prerequisite</x:v>
      </x:c>
      <x:c r="D68" s="49" t="str">
        <x:v>Yes</x:v>
      </x:c>
      <x:c r="E68" s="49" t="str"/>
      <x:c r="F68" s="49" t="str">
        <x:v>Required for canonical route</x:v>
      </x:c>
      <x:c r="G68" s="49" t="n">
        <x:f>COUNTIF('Craft Nodes'!$A$5:$A$250,A68)</x:f>
        <x:v>1</x:v>
      </x:c>
      <x:c r="H68" s="49" t="n">
        <x:f>COUNTIF('Craft Nodes'!$A$5:$A$250,B68)</x:f>
        <x:v>1</x:v>
      </x:c>
      <x:c r="I68" s="49" t="str">
        <x:f>IF(AND(G68=1,H68=1),"OK",IF(G68=0,"MISSING FROM","MISSING TO"))</x:f>
        <x:v>OK</x:v>
      </x:c>
    </x:row>
    <x:row r="69">
      <x:c r="A69" s="49" t="str">
        <x:v>T-MEASURE</x:v>
      </x:c>
      <x:c r="B69" s="49" t="str">
        <x:v>P-ORS</x:v>
      </x:c>
      <x:c r="C69" s="49" t="str">
        <x:v>Tool</x:v>
      </x:c>
      <x:c r="D69" s="49" t="str">
        <x:v>Yes</x:v>
      </x:c>
      <x:c r="E69" s="49" t="str"/>
      <x:c r="F69" s="49" t="str">
        <x:v>Required for canonical route</x:v>
      </x:c>
      <x:c r="G69" s="49" t="n">
        <x:f>COUNTIF('Craft Nodes'!$A$5:$A$250,A69)</x:f>
        <x:v>1</x:v>
      </x:c>
      <x:c r="H69" s="49" t="n">
        <x:f>COUNTIF('Craft Nodes'!$A$5:$A$250,B69)</x:f>
        <x:v>1</x:v>
      </x:c>
      <x:c r="I69" s="49" t="str">
        <x:f>IF(AND(G69=1,H69=1),"OK",IF(G69=0,"MISSING FROM","MISSING TO"))</x:f>
        <x:v>OK</x:v>
      </x:c>
    </x:row>
    <x:row r="70">
      <x:c r="A70" s="49" t="str">
        <x:v>W-CLEAN</x:v>
      </x:c>
      <x:c r="B70" s="49" t="str">
        <x:v>P-ORS</x:v>
      </x:c>
      <x:c r="C70" s="49" t="str">
        <x:v>Workspace</x:v>
      </x:c>
      <x:c r="D70" s="49" t="str">
        <x:v>Yes</x:v>
      </x:c>
      <x:c r="E70" s="49" t="str"/>
      <x:c r="F70" s="49" t="str">
        <x:v>Declared worksite dependency</x:v>
      </x:c>
      <x:c r="G70" s="49" t="n">
        <x:f>COUNTIF('Craft Nodes'!$A$5:$A$250,A70)</x:f>
        <x:v>1</x:v>
      </x:c>
      <x:c r="H70" s="49" t="n">
        <x:f>COUNTIF('Craft Nodes'!$A$5:$A$250,B70)</x:f>
        <x:v>1</x:v>
      </x:c>
      <x:c r="I70" s="49" t="str">
        <x:f>IF(AND(G70=1,H70=1),"OK",IF(G70=0,"MISSING FROM","MISSING TO"))</x:f>
        <x:v>OK</x:v>
      </x:c>
    </x:row>
    <x:row r="71">
      <x:c r="A71" s="49" t="str">
        <x:v>S-CANVAS</x:v>
      </x:c>
      <x:c r="B71" s="49" t="str">
        <x:v>P-DRESSING</x:v>
      </x:c>
      <x:c r="C71" s="49" t="str">
        <x:v>Prerequisite</x:v>
      </x:c>
      <x:c r="D71" s="49" t="str">
        <x:v>Yes</x:v>
      </x:c>
      <x:c r="E71" s="49" t="str"/>
      <x:c r="F71" s="49" t="str">
        <x:v>Required for canonical route</x:v>
      </x:c>
      <x:c r="G71" s="49" t="n">
        <x:f>COUNTIF('Craft Nodes'!$A$5:$A$250,A71)</x:f>
        <x:v>1</x:v>
      </x:c>
      <x:c r="H71" s="49" t="n">
        <x:f>COUNTIF('Craft Nodes'!$A$5:$A$250,B71)</x:f>
        <x:v>1</x:v>
      </x:c>
      <x:c r="I71" s="49" t="str">
        <x:f>IF(AND(G71=1,H71=1),"OK",IF(G71=0,"MISSING FROM","MISSING TO"))</x:f>
        <x:v>OK</x:v>
      </x:c>
    </x:row>
    <x:row r="72">
      <x:c r="A72" s="49" t="str">
        <x:v>P-CLEAN-WATER</x:v>
      </x:c>
      <x:c r="B72" s="49" t="str">
        <x:v>P-DRESSING</x:v>
      </x:c>
      <x:c r="C72" s="49" t="str">
        <x:v>Prerequisite</x:v>
      </x:c>
      <x:c r="D72" s="49" t="str">
        <x:v>Yes</x:v>
      </x:c>
      <x:c r="E72" s="49" t="str"/>
      <x:c r="F72" s="49" t="str">
        <x:v>Required for canonical route</x:v>
      </x:c>
      <x:c r="G72" s="49" t="n">
        <x:f>COUNTIF('Craft Nodes'!$A$5:$A$250,A72)</x:f>
        <x:v>1</x:v>
      </x:c>
      <x:c r="H72" s="49" t="n">
        <x:f>COUNTIF('Craft Nodes'!$A$5:$A$250,B72)</x:f>
        <x:v>1</x:v>
      </x:c>
      <x:c r="I72" s="49" t="str">
        <x:f>IF(AND(G72=1,H72=1),"OK",IF(G72=0,"MISSING FROM","MISSING TO"))</x:f>
        <x:v>OK</x:v>
      </x:c>
    </x:row>
    <x:row r="73">
      <x:c r="A73" s="49" t="str">
        <x:v>T-STONE-KNIFE</x:v>
      </x:c>
      <x:c r="B73" s="49" t="str">
        <x:v>P-DRESSING</x:v>
      </x:c>
      <x:c r="C73" s="49" t="str">
        <x:v>Tool</x:v>
      </x:c>
      <x:c r="D73" s="49" t="str">
        <x:v>Yes</x:v>
      </x:c>
      <x:c r="E73" s="49" t="str"/>
      <x:c r="F73" s="49" t="str">
        <x:v>Required for canonical route</x:v>
      </x:c>
      <x:c r="G73" s="49" t="n">
        <x:f>COUNTIF('Craft Nodes'!$A$5:$A$250,A73)</x:f>
        <x:v>1</x:v>
      </x:c>
      <x:c r="H73" s="49" t="n">
        <x:f>COUNTIF('Craft Nodes'!$A$5:$A$250,B73)</x:f>
        <x:v>1</x:v>
      </x:c>
      <x:c r="I73" s="49" t="str">
        <x:f>IF(AND(G73=1,H73=1),"OK",IF(G73=0,"MISSING FROM","MISSING TO"))</x:f>
        <x:v>OK</x:v>
      </x:c>
    </x:row>
    <x:row r="74">
      <x:c r="A74" s="49" t="str">
        <x:v>W-CLEAN</x:v>
      </x:c>
      <x:c r="B74" s="49" t="str">
        <x:v>P-DRESSING</x:v>
      </x:c>
      <x:c r="C74" s="49" t="str">
        <x:v>Workspace</x:v>
      </x:c>
      <x:c r="D74" s="49" t="str">
        <x:v>Yes</x:v>
      </x:c>
      <x:c r="E74" s="49" t="str"/>
      <x:c r="F74" s="49" t="str">
        <x:v>Declared worksite dependency</x:v>
      </x:c>
      <x:c r="G74" s="49" t="n">
        <x:f>COUNTIF('Craft Nodes'!$A$5:$A$250,A74)</x:f>
        <x:v>1</x:v>
      </x:c>
      <x:c r="H74" s="49" t="n">
        <x:f>COUNTIF('Craft Nodes'!$A$5:$A$250,B74)</x:f>
        <x:v>1</x:v>
      </x:c>
      <x:c r="I74" s="49" t="str">
        <x:f>IF(AND(G74=1,H74=1),"OK",IF(G74=0,"MISSING FROM","MISSING TO"))</x:f>
        <x:v>OK</x:v>
      </x:c>
    </x:row>
    <x:row r="75">
      <x:c r="A75" s="49" t="str">
        <x:v>P-STRAIGHT-POLE</x:v>
      </x:c>
      <x:c r="B75" s="49" t="str">
        <x:v>P-SPLINT-STOCK</x:v>
      </x:c>
      <x:c r="C75" s="49" t="str">
        <x:v>Prerequisite</x:v>
      </x:c>
      <x:c r="D75" s="49" t="str">
        <x:v>Yes</x:v>
      </x:c>
      <x:c r="E75" s="49" t="str"/>
      <x:c r="F75" s="49" t="str">
        <x:v>Required for canonical route</x:v>
      </x:c>
      <x:c r="G75" s="49" t="n">
        <x:f>COUNTIF('Craft Nodes'!$A$5:$A$250,A75)</x:f>
        <x:v>1</x:v>
      </x:c>
      <x:c r="H75" s="49" t="n">
        <x:f>COUNTIF('Craft Nodes'!$A$5:$A$250,B75)</x:f>
        <x:v>1</x:v>
      </x:c>
      <x:c r="I75" s="49" t="str">
        <x:f>IF(AND(G75=1,H75=1),"OK",IF(G75=0,"MISSING FROM","MISSING TO"))</x:f>
        <x:v>OK</x:v>
      </x:c>
    </x:row>
    <x:row r="76">
      <x:c r="A76" s="49" t="str">
        <x:v>S-CANVAS</x:v>
      </x:c>
      <x:c r="B76" s="49" t="str">
        <x:v>P-SPLINT-STOCK</x:v>
      </x:c>
      <x:c r="C76" s="49" t="str">
        <x:v>Prerequisite</x:v>
      </x:c>
      <x:c r="D76" s="49" t="str">
        <x:v>Yes</x:v>
      </x:c>
      <x:c r="E76" s="49" t="str"/>
      <x:c r="F76" s="49" t="str">
        <x:v>Required for canonical route</x:v>
      </x:c>
      <x:c r="G76" s="49" t="n">
        <x:f>COUNTIF('Craft Nodes'!$A$5:$A$250,A76)</x:f>
        <x:v>1</x:v>
      </x:c>
      <x:c r="H76" s="49" t="n">
        <x:f>COUNTIF('Craft Nodes'!$A$5:$A$250,B76)</x:f>
        <x:v>1</x:v>
      </x:c>
      <x:c r="I76" s="49" t="str">
        <x:f>IF(AND(G76=1,H76=1),"OK",IF(G76=0,"MISSING FROM","MISSING TO"))</x:f>
        <x:v>OK</x:v>
      </x:c>
    </x:row>
    <x:row r="77">
      <x:c r="A77" s="49" t="str">
        <x:v>P-CORD</x:v>
      </x:c>
      <x:c r="B77" s="49" t="str">
        <x:v>P-SPLINT-STOCK</x:v>
      </x:c>
      <x:c r="C77" s="49" t="str">
        <x:v>Prerequisite</x:v>
      </x:c>
      <x:c r="D77" s="49" t="str">
        <x:v>Yes</x:v>
      </x:c>
      <x:c r="E77" s="49" t="str"/>
      <x:c r="F77" s="49" t="str">
        <x:v>Required for canonical route</x:v>
      </x:c>
      <x:c r="G77" s="49" t="n">
        <x:f>COUNTIF('Craft Nodes'!$A$5:$A$250,A77)</x:f>
        <x:v>1</x:v>
      </x:c>
      <x:c r="H77" s="49" t="n">
        <x:f>COUNTIF('Craft Nodes'!$A$5:$A$250,B77)</x:f>
        <x:v>1</x:v>
      </x:c>
      <x:c r="I77" s="49" t="str">
        <x:f>IF(AND(G77=1,H77=1),"OK",IF(G77=0,"MISSING FROM","MISSING TO"))</x:f>
        <x:v>OK</x:v>
      </x:c>
    </x:row>
    <x:row r="78">
      <x:c r="A78" s="49" t="str">
        <x:v>T-STONE-KNIFE</x:v>
      </x:c>
      <x:c r="B78" s="49" t="str">
        <x:v>P-SPLINT-STOCK</x:v>
      </x:c>
      <x:c r="C78" s="49" t="str">
        <x:v>Tool</x:v>
      </x:c>
      <x:c r="D78" s="49" t="str">
        <x:v>Yes</x:v>
      </x:c>
      <x:c r="E78" s="49" t="str"/>
      <x:c r="F78" s="49" t="str">
        <x:v>Declared embodied tool use</x:v>
      </x:c>
      <x:c r="G78" s="49" t="n">
        <x:f>COUNTIF('Craft Nodes'!$A$5:$A$250,A78)</x:f>
        <x:v>1</x:v>
      </x:c>
      <x:c r="H78" s="49" t="n">
        <x:f>COUNTIF('Craft Nodes'!$A$5:$A$250,B78)</x:f>
        <x:v>1</x:v>
      </x:c>
      <x:c r="I78" s="49" t="str">
        <x:f>IF(AND(G78=1,H78=1),"OK",IF(G78=0,"MISSING FROM","MISSING TO"))</x:f>
        <x:v>OK</x:v>
      </x:c>
    </x:row>
    <x:row r="79">
      <x:c r="A79" s="49" t="str">
        <x:v>W-CLEAN</x:v>
      </x:c>
      <x:c r="B79" s="49" t="str">
        <x:v>P-SPLINT-STOCK</x:v>
      </x:c>
      <x:c r="C79" s="49" t="str">
        <x:v>Workspace</x:v>
      </x:c>
      <x:c r="D79" s="49" t="str">
        <x:v>Yes</x:v>
      </x:c>
      <x:c r="E79" s="49" t="str"/>
      <x:c r="F79" s="49" t="str">
        <x:v>Declared worksite dependency</x:v>
      </x:c>
      <x:c r="G79" s="49" t="n">
        <x:f>COUNTIF('Craft Nodes'!$A$5:$A$250,A79)</x:f>
        <x:v>1</x:v>
      </x:c>
      <x:c r="H79" s="49" t="n">
        <x:f>COUNTIF('Craft Nodes'!$A$5:$A$250,B79)</x:f>
        <x:v>1</x:v>
      </x:c>
      <x:c r="I79" s="49" t="str">
        <x:f>IF(AND(G79=1,H79=1),"OK",IF(G79=0,"MISSING FROM","MISSING TO"))</x:f>
        <x:v>OK</x:v>
      </x:c>
    </x:row>
    <x:row r="80">
      <x:c r="A80" s="49" t="str">
        <x:v>S-FOOD</x:v>
      </x:c>
      <x:c r="B80" s="49" t="str">
        <x:v>P-PRESERVED-FOOD</x:v>
      </x:c>
      <x:c r="C80" s="49" t="str">
        <x:v>Prerequisite</x:v>
      </x:c>
      <x:c r="D80" s="49" t="str">
        <x:v>Yes</x:v>
      </x:c>
      <x:c r="E80" s="49" t="str"/>
      <x:c r="F80" s="49" t="str">
        <x:v>Required for canonical route</x:v>
      </x:c>
      <x:c r="G80" s="49" t="n">
        <x:f>COUNTIF('Craft Nodes'!$A$5:$A$250,A80)</x:f>
        <x:v>1</x:v>
      </x:c>
      <x:c r="H80" s="49" t="n">
        <x:f>COUNTIF('Craft Nodes'!$A$5:$A$250,B80)</x:f>
        <x:v>1</x:v>
      </x:c>
      <x:c r="I80" s="49" t="str">
        <x:f>IF(AND(G80=1,H80=1),"OK",IF(G80=0,"MISSING FROM","MISSING TO"))</x:f>
        <x:v>OK</x:v>
      </x:c>
    </x:row>
    <x:row r="81">
      <x:c r="A81" s="49" t="str">
        <x:v>A-SMOKER</x:v>
      </x:c>
      <x:c r="B81" s="49" t="str">
        <x:v>P-PRESERVED-FOOD</x:v>
      </x:c>
      <x:c r="C81" s="49" t="str">
        <x:v>Prerequisite</x:v>
      </x:c>
      <x:c r="D81" s="49" t="str">
        <x:v>Yes</x:v>
      </x:c>
      <x:c r="E81" s="49" t="str"/>
      <x:c r="F81" s="49" t="str">
        <x:v>Required for canonical route</x:v>
      </x:c>
      <x:c r="G81" s="49" t="n">
        <x:f>COUNTIF('Craft Nodes'!$A$5:$A$250,A81)</x:f>
        <x:v>1</x:v>
      </x:c>
      <x:c r="H81" s="49" t="n">
        <x:f>COUNTIF('Craft Nodes'!$A$5:$A$250,B81)</x:f>
        <x:v>1</x:v>
      </x:c>
      <x:c r="I81" s="49" t="str">
        <x:f>IF(AND(G81=1,H81=1),"OK",IF(G81=0,"MISSING FROM","MISSING TO"))</x:f>
        <x:v>OK</x:v>
      </x:c>
    </x:row>
    <x:row r="82">
      <x:c r="A82" s="49" t="str">
        <x:v>T-STONE-KNIFE</x:v>
      </x:c>
      <x:c r="B82" s="49" t="str">
        <x:v>P-PRESERVED-FOOD</x:v>
      </x:c>
      <x:c r="C82" s="49" t="str">
        <x:v>Tool</x:v>
      </x:c>
      <x:c r="D82" s="49" t="str">
        <x:v>Yes</x:v>
      </x:c>
      <x:c r="E82" s="49" t="str"/>
      <x:c r="F82" s="49" t="str">
        <x:v>Declared embodied tool use</x:v>
      </x:c>
      <x:c r="G82" s="49" t="n">
        <x:f>COUNTIF('Craft Nodes'!$A$5:$A$250,A82)</x:f>
        <x:v>1</x:v>
      </x:c>
      <x:c r="H82" s="49" t="n">
        <x:f>COUNTIF('Craft Nodes'!$A$5:$A$250,B82)</x:f>
        <x:v>1</x:v>
      </x:c>
      <x:c r="I82" s="49" t="str">
        <x:f>IF(AND(G82=1,H82=1),"OK",IF(G82=0,"MISSING FROM","MISSING TO"))</x:f>
        <x:v>OK</x:v>
      </x:c>
    </x:row>
    <x:row r="83">
      <x:c r="A83" s="49" t="str">
        <x:v>A-SMOKER</x:v>
      </x:c>
      <x:c r="B83" s="49" t="str">
        <x:v>P-PRESERVED-FOOD</x:v>
      </x:c>
      <x:c r="C83" s="49" t="str">
        <x:v>Workspace</x:v>
      </x:c>
      <x:c r="D83" s="49" t="str">
        <x:v>Yes</x:v>
      </x:c>
      <x:c r="E83" s="49" t="str"/>
      <x:c r="F83" s="49" t="str">
        <x:v>Declared worksite dependency</x:v>
      </x:c>
      <x:c r="G83" s="49" t="n">
        <x:f>COUNTIF('Craft Nodes'!$A$5:$A$250,A83)</x:f>
        <x:v>1</x:v>
      </x:c>
      <x:c r="H83" s="49" t="n">
        <x:f>COUNTIF('Craft Nodes'!$A$5:$A$250,B83)</x:f>
        <x:v>1</x:v>
      </x:c>
      <x:c r="I83" s="49" t="str">
        <x:f>IF(AND(G83=1,H83=1),"OK",IF(G83=0,"MISSING FROM","MISSING TO"))</x:f>
        <x:v>OK</x:v>
      </x:c>
    </x:row>
    <x:row r="84">
      <x:c r="A84" s="49" t="str">
        <x:v>S-FOOD</x:v>
      </x:c>
      <x:c r="B84" s="49" t="str">
        <x:v>P-SEED-LOT</x:v>
      </x:c>
      <x:c r="C84" s="49" t="str">
        <x:v>Prerequisite</x:v>
      </x:c>
      <x:c r="D84" s="49" t="str">
        <x:v>Yes</x:v>
      </x:c>
      <x:c r="E84" s="49" t="str"/>
      <x:c r="F84" s="49" t="str">
        <x:v>Required for canonical route</x:v>
      </x:c>
      <x:c r="G84" s="49" t="n">
        <x:f>COUNTIF('Craft Nodes'!$A$5:$A$250,A84)</x:f>
        <x:v>1</x:v>
      </x:c>
      <x:c r="H84" s="49" t="n">
        <x:f>COUNTIF('Craft Nodes'!$A$5:$A$250,B84)</x:f>
        <x:v>1</x:v>
      </x:c>
      <x:c r="I84" s="49" t="str">
        <x:f>IF(AND(G84=1,H84=1),"OK",IF(G84=0,"MISSING FROM","MISSING TO"))</x:f>
        <x:v>OK</x:v>
      </x:c>
    </x:row>
    <x:row r="85">
      <x:c r="A85" s="49" t="str">
        <x:v>W-ARCHIVE</x:v>
      </x:c>
      <x:c r="B85" s="49" t="str">
        <x:v>P-SEED-LOT</x:v>
      </x:c>
      <x:c r="C85" s="49" t="str">
        <x:v>Workspace</x:v>
      </x:c>
      <x:c r="D85" s="49" t="str">
        <x:v>Yes</x:v>
      </x:c>
      <x:c r="E85" s="49" t="str"/>
      <x:c r="F85" s="49" t="str">
        <x:v>Required for canonical route</x:v>
      </x:c>
      <x:c r="G85" s="49" t="n">
        <x:f>COUNTIF('Craft Nodes'!$A$5:$A$250,A85)</x:f>
        <x:v>1</x:v>
      </x:c>
      <x:c r="H85" s="49" t="n">
        <x:f>COUNTIF('Craft Nodes'!$A$5:$A$250,B85)</x:f>
        <x:v>1</x:v>
      </x:c>
      <x:c r="I85" s="49" t="str">
        <x:f>IF(AND(G85=1,H85=1),"OK",IF(G85=0,"MISSING FROM","MISSING TO"))</x:f>
        <x:v>OK</x:v>
      </x:c>
    </x:row>
    <x:row r="86">
      <x:c r="A86" s="49" t="str">
        <x:v>T-STONE-KNIFE</x:v>
      </x:c>
      <x:c r="B86" s="49" t="str">
        <x:v>P-SEED-LOT</x:v>
      </x:c>
      <x:c r="C86" s="49" t="str">
        <x:v>Tool</x:v>
      </x:c>
      <x:c r="D86" s="49" t="str">
        <x:v>Yes</x:v>
      </x:c>
      <x:c r="E86" s="49" t="str"/>
      <x:c r="F86" s="49" t="str">
        <x:v>Declared embodied tool use</x:v>
      </x:c>
      <x:c r="G86" s="49" t="n">
        <x:f>COUNTIF('Craft Nodes'!$A$5:$A$250,A86)</x:f>
        <x:v>1</x:v>
      </x:c>
      <x:c r="H86" s="49" t="n">
        <x:f>COUNTIF('Craft Nodes'!$A$5:$A$250,B86)</x:f>
        <x:v>1</x:v>
      </x:c>
      <x:c r="I86" s="49" t="str">
        <x:f>IF(AND(G86=1,H86=1),"OK",IF(G86=0,"MISSING FROM","MISSING TO"))</x:f>
        <x:v>OK</x:v>
      </x:c>
    </x:row>
    <x:row r="87">
      <x:c r="A87" s="49" t="str">
        <x:v>P-CORD</x:v>
      </x:c>
      <x:c r="B87" s="49" t="str">
        <x:v>T-MEASURE</x:v>
      </x:c>
      <x:c r="C87" s="49" t="str">
        <x:v>Prerequisite</x:v>
      </x:c>
      <x:c r="D87" s="49" t="str">
        <x:v>Yes</x:v>
      </x:c>
      <x:c r="E87" s="49" t="str"/>
      <x:c r="F87" s="49" t="str">
        <x:v>Required for canonical route</x:v>
      </x:c>
      <x:c r="G87" s="49" t="n">
        <x:f>COUNTIF('Craft Nodes'!$A$5:$A$250,A87)</x:f>
        <x:v>1</x:v>
      </x:c>
      <x:c r="H87" s="49" t="n">
        <x:f>COUNTIF('Craft Nodes'!$A$5:$A$250,B87)</x:f>
        <x:v>1</x:v>
      </x:c>
      <x:c r="I87" s="49" t="str">
        <x:f>IF(AND(G87=1,H87=1),"OK",IF(G87=0,"MISSING FROM","MISSING TO"))</x:f>
        <x:v>OK</x:v>
      </x:c>
    </x:row>
    <x:row r="88">
      <x:c r="A88" s="49" t="str">
        <x:v>P-STRAIGHT-POLE</x:v>
      </x:c>
      <x:c r="B88" s="49" t="str">
        <x:v>T-MEASURE</x:v>
      </x:c>
      <x:c r="C88" s="49" t="str">
        <x:v>Prerequisite</x:v>
      </x:c>
      <x:c r="D88" s="49" t="str">
        <x:v>Yes</x:v>
      </x:c>
      <x:c r="E88" s="49" t="str"/>
      <x:c r="F88" s="49" t="str">
        <x:v>Required for canonical route</x:v>
      </x:c>
      <x:c r="G88" s="49" t="n">
        <x:f>COUNTIF('Craft Nodes'!$A$5:$A$250,A88)</x:f>
        <x:v>1</x:v>
      </x:c>
      <x:c r="H88" s="49" t="n">
        <x:f>COUNTIF('Craft Nodes'!$A$5:$A$250,B88)</x:f>
        <x:v>1</x:v>
      </x:c>
      <x:c r="I88" s="49" t="str">
        <x:f>IF(AND(G88=1,H88=1),"OK",IF(G88=0,"MISSING FROM","MISSING TO"))</x:f>
        <x:v>OK</x:v>
      </x:c>
    </x:row>
    <x:row r="89">
      <x:c r="A89" s="49" t="str">
        <x:v>P-CLEAN-WATER</x:v>
      </x:c>
      <x:c r="B89" s="49" t="str">
        <x:v>T-MEASURE</x:v>
      </x:c>
      <x:c r="C89" s="49" t="str">
        <x:v>Prerequisite</x:v>
      </x:c>
      <x:c r="D89" s="49" t="str">
        <x:v>Yes</x:v>
      </x:c>
      <x:c r="E89" s="49" t="str"/>
      <x:c r="F89" s="49" t="str">
        <x:v>Required for canonical route</x:v>
      </x:c>
      <x:c r="G89" s="49" t="n">
        <x:f>COUNTIF('Craft Nodes'!$A$5:$A$250,A89)</x:f>
        <x:v>1</x:v>
      </x:c>
      <x:c r="H89" s="49" t="n">
        <x:f>COUNTIF('Craft Nodes'!$A$5:$A$250,B89)</x:f>
        <x:v>1</x:v>
      </x:c>
      <x:c r="I89" s="49" t="str">
        <x:f>IF(AND(G89=1,H89=1),"OK",IF(G89=0,"MISSING FROM","MISSING TO"))</x:f>
        <x:v>OK</x:v>
      </x:c>
    </x:row>
    <x:row r="90">
      <x:c r="A90" s="49" t="str">
        <x:v>T-STONE-KNIFE</x:v>
      </x:c>
      <x:c r="B90" s="49" t="str">
        <x:v>T-MEASURE</x:v>
      </x:c>
      <x:c r="C90" s="49" t="str">
        <x:v>Tool</x:v>
      </x:c>
      <x:c r="D90" s="49" t="str">
        <x:v>Yes</x:v>
      </x:c>
      <x:c r="E90" s="49" t="str"/>
      <x:c r="F90" s="49" t="str">
        <x:v>Declared embodied tool use</x:v>
      </x:c>
      <x:c r="G90" s="49" t="n">
        <x:f>COUNTIF('Craft Nodes'!$A$5:$A$250,A90)</x:f>
        <x:v>1</x:v>
      </x:c>
      <x:c r="H90" s="49" t="n">
        <x:f>COUNTIF('Craft Nodes'!$A$5:$A$250,B90)</x:f>
        <x:v>1</x:v>
      </x:c>
      <x:c r="I90" s="49" t="str">
        <x:f>IF(AND(G90=1,H90=1),"OK",IF(G90=0,"MISSING FROM","MISSING TO"))</x:f>
        <x:v>OK</x:v>
      </x:c>
    </x:row>
    <x:row r="91">
      <x:c r="A91" s="49" t="str">
        <x:v>W-WORKMAT</x:v>
      </x:c>
      <x:c r="B91" s="49" t="str">
        <x:v>T-MEASURE</x:v>
      </x:c>
      <x:c r="C91" s="49" t="str">
        <x:v>Workspace</x:v>
      </x:c>
      <x:c r="D91" s="49" t="str">
        <x:v>Yes</x:v>
      </x:c>
      <x:c r="E91" s="49" t="str"/>
      <x:c r="F91" s="49" t="str">
        <x:v>Declared worksite dependency</x:v>
      </x:c>
      <x:c r="G91" s="49" t="n">
        <x:f>COUNTIF('Craft Nodes'!$A$5:$A$250,A91)</x:f>
        <x:v>1</x:v>
      </x:c>
      <x:c r="H91" s="49" t="n">
        <x:f>COUNTIF('Craft Nodes'!$A$5:$A$250,B91)</x:f>
        <x:v>1</x:v>
      </x:c>
      <x:c r="I91" s="49" t="str">
        <x:f>IF(AND(G91=1,H91=1),"OK",IF(G91=0,"MISSING FROM","MISSING TO"))</x:f>
        <x:v>OK</x:v>
      </x:c>
    </x:row>
    <x:row r="92">
      <x:c r="A92" s="49" t="str">
        <x:v>P-SHARP-EDGE</x:v>
      </x:c>
      <x:c r="B92" s="49" t="str">
        <x:v>T-AXE</x:v>
      </x:c>
      <x:c r="C92" s="49" t="str">
        <x:v>Prerequisite</x:v>
      </x:c>
      <x:c r="D92" s="49" t="str">
        <x:v>Yes</x:v>
      </x:c>
      <x:c r="E92" s="49" t="str"/>
      <x:c r="F92" s="49" t="str">
        <x:v>Required for canonical route</x:v>
      </x:c>
      <x:c r="G92" s="49" t="n">
        <x:f>COUNTIF('Craft Nodes'!$A$5:$A$250,A92)</x:f>
        <x:v>1</x:v>
      </x:c>
      <x:c r="H92" s="49" t="n">
        <x:f>COUNTIF('Craft Nodes'!$A$5:$A$250,B92)</x:f>
        <x:v>1</x:v>
      </x:c>
      <x:c r="I92" s="49" t="str">
        <x:f>IF(AND(G92=1,H92=1),"OK",IF(G92=0,"MISSING FROM","MISSING TO"))</x:f>
        <x:v>OK</x:v>
      </x:c>
    </x:row>
    <x:row r="93">
      <x:c r="A93" s="49" t="str">
        <x:v>P-STRAIGHT-POLE</x:v>
      </x:c>
      <x:c r="B93" s="49" t="str">
        <x:v>T-AXE</x:v>
      </x:c>
      <x:c r="C93" s="49" t="str">
        <x:v>Prerequisite</x:v>
      </x:c>
      <x:c r="D93" s="49" t="str">
        <x:v>Yes</x:v>
      </x:c>
      <x:c r="E93" s="49" t="str"/>
      <x:c r="F93" s="49" t="str">
        <x:v>Required for canonical route</x:v>
      </x:c>
      <x:c r="G93" s="49" t="n">
        <x:f>COUNTIF('Craft Nodes'!$A$5:$A$250,A93)</x:f>
        <x:v>1</x:v>
      </x:c>
      <x:c r="H93" s="49" t="n">
        <x:f>COUNTIF('Craft Nodes'!$A$5:$A$250,B93)</x:f>
        <x:v>1</x:v>
      </x:c>
      <x:c r="I93" s="49" t="str">
        <x:f>IF(AND(G93=1,H93=1),"OK",IF(G93=0,"MISSING FROM","MISSING TO"))</x:f>
        <x:v>OK</x:v>
      </x:c>
    </x:row>
    <x:row r="94">
      <x:c r="A94" s="49" t="str">
        <x:v>P-CORD</x:v>
      </x:c>
      <x:c r="B94" s="49" t="str">
        <x:v>T-AXE</x:v>
      </x:c>
      <x:c r="C94" s="49" t="str">
        <x:v>Prerequisite</x:v>
      </x:c>
      <x:c r="D94" s="49" t="str">
        <x:v>Yes</x:v>
      </x:c>
      <x:c r="E94" s="49" t="str"/>
      <x:c r="F94" s="49" t="str">
        <x:v>Required for canonical route</x:v>
      </x:c>
      <x:c r="G94" s="49" t="n">
        <x:f>COUNTIF('Craft Nodes'!$A$5:$A$250,A94)</x:f>
        <x:v>1</x:v>
      </x:c>
      <x:c r="H94" s="49" t="n">
        <x:f>COUNTIF('Craft Nodes'!$A$5:$A$250,B94)</x:f>
        <x:v>1</x:v>
      </x:c>
      <x:c r="I94" s="49" t="str">
        <x:f>IF(AND(G94=1,H94=1),"OK",IF(G94=0,"MISSING FROM","MISSING TO"))</x:f>
        <x:v>OK</x:v>
      </x:c>
    </x:row>
    <x:row r="95">
      <x:c r="A95" s="49" t="str">
        <x:v>P-PEG</x:v>
      </x:c>
      <x:c r="B95" s="49" t="str">
        <x:v>T-AXE</x:v>
      </x:c>
      <x:c r="C95" s="49" t="str">
        <x:v>Prerequisite</x:v>
      </x:c>
      <x:c r="D95" s="49" t="str">
        <x:v>Yes</x:v>
      </x:c>
      <x:c r="E95" s="49" t="str"/>
      <x:c r="F95" s="49" t="str">
        <x:v>Required for canonical route</x:v>
      </x:c>
      <x:c r="G95" s="49" t="n">
        <x:f>COUNTIF('Craft Nodes'!$A$5:$A$250,A95)</x:f>
        <x:v>1</x:v>
      </x:c>
      <x:c r="H95" s="49" t="n">
        <x:f>COUNTIF('Craft Nodes'!$A$5:$A$250,B95)</x:f>
        <x:v>1</x:v>
      </x:c>
      <x:c r="I95" s="49" t="str">
        <x:f>IF(AND(G95=1,H95=1),"OK",IF(G95=0,"MISSING FROM","MISSING TO"))</x:f>
        <x:v>OK</x:v>
      </x:c>
    </x:row>
    <x:row r="96">
      <x:c r="A96" s="49" t="str">
        <x:v>T-MALLET</x:v>
      </x:c>
      <x:c r="B96" s="49" t="str">
        <x:v>T-AXE</x:v>
      </x:c>
      <x:c r="C96" s="49" t="str">
        <x:v>Tool</x:v>
      </x:c>
      <x:c r="D96" s="49" t="str">
        <x:v>Yes</x:v>
      </x:c>
      <x:c r="E96" s="49" t="str"/>
      <x:c r="F96" s="49" t="str">
        <x:v>Declared embodied tool use</x:v>
      </x:c>
      <x:c r="G96" s="49" t="n">
        <x:f>COUNTIF('Craft Nodes'!$A$5:$A$250,A96)</x:f>
        <x:v>1</x:v>
      </x:c>
      <x:c r="H96" s="49" t="n">
        <x:f>COUNTIF('Craft Nodes'!$A$5:$A$250,B96)</x:f>
        <x:v>1</x:v>
      </x:c>
      <x:c r="I96" s="49" t="str">
        <x:f>IF(AND(G96=1,H96=1),"OK",IF(G96=0,"MISSING FROM","MISSING TO"))</x:f>
        <x:v>OK</x:v>
      </x:c>
    </x:row>
    <x:row r="97">
      <x:c r="A97" s="49" t="str">
        <x:v>W-BENCH</x:v>
      </x:c>
      <x:c r="B97" s="49" t="str">
        <x:v>T-AXE</x:v>
      </x:c>
      <x:c r="C97" s="49" t="str">
        <x:v>Workspace</x:v>
      </x:c>
      <x:c r="D97" s="49" t="str">
        <x:v>Yes</x:v>
      </x:c>
      <x:c r="E97" s="49" t="str"/>
      <x:c r="F97" s="49" t="str">
        <x:v>Declared worksite dependency</x:v>
      </x:c>
      <x:c r="G97" s="49" t="n">
        <x:f>COUNTIF('Craft Nodes'!$A$5:$A$250,A97)</x:f>
        <x:v>1</x:v>
      </x:c>
      <x:c r="H97" s="49" t="n">
        <x:f>COUNTIF('Craft Nodes'!$A$5:$A$250,B97)</x:f>
        <x:v>1</x:v>
      </x:c>
      <x:c r="I97" s="49" t="str">
        <x:f>IF(AND(G97=1,H97=1),"OK",IF(G97=0,"MISSING FROM","MISSING TO"))</x:f>
        <x:v>OK</x:v>
      </x:c>
    </x:row>
    <x:row r="98">
      <x:c r="A98" s="49" t="str">
        <x:v>P-METAL-STOCK</x:v>
      </x:c>
      <x:c r="B98" s="49" t="str">
        <x:v>T-ADZE</x:v>
      </x:c>
      <x:c r="C98" s="49" t="str">
        <x:v>Prerequisite</x:v>
      </x:c>
      <x:c r="D98" s="49" t="str">
        <x:v>Yes</x:v>
      </x:c>
      <x:c r="E98" s="49" t="str"/>
      <x:c r="F98" s="49" t="str">
        <x:v>Required for canonical route</x:v>
      </x:c>
      <x:c r="G98" s="49" t="n">
        <x:f>COUNTIF('Craft Nodes'!$A$5:$A$250,A98)</x:f>
        <x:v>1</x:v>
      </x:c>
      <x:c r="H98" s="49" t="n">
        <x:f>COUNTIF('Craft Nodes'!$A$5:$A$250,B98)</x:f>
        <x:v>1</x:v>
      </x:c>
      <x:c r="I98" s="49" t="str">
        <x:f>IF(AND(G98=1,H98=1),"OK",IF(G98=0,"MISSING FROM","MISSING TO"))</x:f>
        <x:v>OK</x:v>
      </x:c>
    </x:row>
    <x:row r="99">
      <x:c r="A99" s="49" t="str">
        <x:v>P-STRAIGHT-POLE</x:v>
      </x:c>
      <x:c r="B99" s="49" t="str">
        <x:v>T-ADZE</x:v>
      </x:c>
      <x:c r="C99" s="49" t="str">
        <x:v>Prerequisite</x:v>
      </x:c>
      <x:c r="D99" s="49" t="str">
        <x:v>Yes</x:v>
      </x:c>
      <x:c r="E99" s="49" t="str"/>
      <x:c r="F99" s="49" t="str">
        <x:v>Required for canonical route</x:v>
      </x:c>
      <x:c r="G99" s="49" t="n">
        <x:f>COUNTIF('Craft Nodes'!$A$5:$A$250,A99)</x:f>
        <x:v>1</x:v>
      </x:c>
      <x:c r="H99" s="49" t="n">
        <x:f>COUNTIF('Craft Nodes'!$A$5:$A$250,B99)</x:f>
        <x:v>1</x:v>
      </x:c>
      <x:c r="I99" s="49" t="str">
        <x:f>IF(AND(G99=1,H99=1),"OK",IF(G99=0,"MISSING FROM","MISSING TO"))</x:f>
        <x:v>OK</x:v>
      </x:c>
    </x:row>
    <x:row r="100">
      <x:c r="A100" s="49" t="str">
        <x:v>P-PEG</x:v>
      </x:c>
      <x:c r="B100" s="49" t="str">
        <x:v>T-ADZE</x:v>
      </x:c>
      <x:c r="C100" s="49" t="str">
        <x:v>Prerequisite</x:v>
      </x:c>
      <x:c r="D100" s="49" t="str">
        <x:v>Yes</x:v>
      </x:c>
      <x:c r="E100" s="49" t="str"/>
      <x:c r="F100" s="49" t="str">
        <x:v>Required for canonical route</x:v>
      </x:c>
      <x:c r="G100" s="49" t="n">
        <x:f>COUNTIF('Craft Nodes'!$A$5:$A$250,A100)</x:f>
        <x:v>1</x:v>
      </x:c>
      <x:c r="H100" s="49" t="n">
        <x:f>COUNTIF('Craft Nodes'!$A$5:$A$250,B100)</x:f>
        <x:v>1</x:v>
      </x:c>
      <x:c r="I100" s="49" t="str">
        <x:f>IF(AND(G100=1,H100=1),"OK",IF(G100=0,"MISSING FROM","MISSING TO"))</x:f>
        <x:v>OK</x:v>
      </x:c>
    </x:row>
    <x:row r="101">
      <x:c r="A101" s="49" t="str">
        <x:v>T-HAMMER</x:v>
      </x:c>
      <x:c r="B101" s="49" t="str">
        <x:v>T-ADZE</x:v>
      </x:c>
      <x:c r="C101" s="49" t="str">
        <x:v>Tool</x:v>
      </x:c>
      <x:c r="D101" s="49" t="str">
        <x:v>Yes</x:v>
      </x:c>
      <x:c r="E101" s="49" t="str"/>
      <x:c r="F101" s="49" t="str">
        <x:v>Declared embodied tool use</x:v>
      </x:c>
      <x:c r="G101" s="49" t="n">
        <x:f>COUNTIF('Craft Nodes'!$A$5:$A$250,A101)</x:f>
        <x:v>1</x:v>
      </x:c>
      <x:c r="H101" s="49" t="n">
        <x:f>COUNTIF('Craft Nodes'!$A$5:$A$250,B101)</x:f>
        <x:v>1</x:v>
      </x:c>
      <x:c r="I101" s="49" t="str">
        <x:f>IF(AND(G101=1,H101=1),"OK",IF(G101=0,"MISSING FROM","MISSING TO"))</x:f>
        <x:v>OK</x:v>
      </x:c>
    </x:row>
    <x:row r="102">
      <x:c r="A102" s="49" t="str">
        <x:v>W-BENCH</x:v>
      </x:c>
      <x:c r="B102" s="49" t="str">
        <x:v>T-ADZE</x:v>
      </x:c>
      <x:c r="C102" s="49" t="str">
        <x:v>Workspace</x:v>
      </x:c>
      <x:c r="D102" s="49" t="str">
        <x:v>Yes</x:v>
      </x:c>
      <x:c r="E102" s="49" t="str"/>
      <x:c r="F102" s="49" t="str">
        <x:v>Declared worksite dependency</x:v>
      </x:c>
      <x:c r="G102" s="49" t="n">
        <x:f>COUNTIF('Craft Nodes'!$A$5:$A$250,A102)</x:f>
        <x:v>1</x:v>
      </x:c>
      <x:c r="H102" s="49" t="n">
        <x:f>COUNTIF('Craft Nodes'!$A$5:$A$250,B102)</x:f>
        <x:v>1</x:v>
      </x:c>
      <x:c r="I102" s="49" t="str">
        <x:f>IF(AND(G102=1,H102=1),"OK",IF(G102=0,"MISSING FROM","MISSING TO"))</x:f>
        <x:v>OK</x:v>
      </x:c>
    </x:row>
    <x:row r="103">
      <x:c r="A103" s="49" t="str">
        <x:v>P-STRAIGHT-POLE</x:v>
      </x:c>
      <x:c r="B103" s="49" t="str">
        <x:v>T-MALLET</x:v>
      </x:c>
      <x:c r="C103" s="49" t="str">
        <x:v>Prerequisite</x:v>
      </x:c>
      <x:c r="D103" s="49" t="str">
        <x:v>Yes</x:v>
      </x:c>
      <x:c r="E103" s="49" t="str"/>
      <x:c r="F103" s="49" t="str">
        <x:v>Required for canonical route</x:v>
      </x:c>
      <x:c r="G103" s="49" t="n">
        <x:f>COUNTIF('Craft Nodes'!$A$5:$A$250,A103)</x:f>
        <x:v>1</x:v>
      </x:c>
      <x:c r="H103" s="49" t="n">
        <x:f>COUNTIF('Craft Nodes'!$A$5:$A$250,B103)</x:f>
        <x:v>1</x:v>
      </x:c>
      <x:c r="I103" s="49" t="str">
        <x:f>IF(AND(G103=1,H103=1),"OK",IF(G103=0,"MISSING FROM","MISSING TO"))</x:f>
        <x:v>OK</x:v>
      </x:c>
    </x:row>
    <x:row r="104">
      <x:c r="A104" s="49" t="str">
        <x:v>P-PEG</x:v>
      </x:c>
      <x:c r="B104" s="49" t="str">
        <x:v>T-MALLET</x:v>
      </x:c>
      <x:c r="C104" s="49" t="str">
        <x:v>Prerequisite</x:v>
      </x:c>
      <x:c r="D104" s="49" t="str">
        <x:v>Yes</x:v>
      </x:c>
      <x:c r="E104" s="49" t="str"/>
      <x:c r="F104" s="49" t="str">
        <x:v>Required for canonical route</x:v>
      </x:c>
      <x:c r="G104" s="49" t="n">
        <x:f>COUNTIF('Craft Nodes'!$A$5:$A$250,A104)</x:f>
        <x:v>1</x:v>
      </x:c>
      <x:c r="H104" s="49" t="n">
        <x:f>COUNTIF('Craft Nodes'!$A$5:$A$250,B104)</x:f>
        <x:v>1</x:v>
      </x:c>
      <x:c r="I104" s="49" t="str">
        <x:f>IF(AND(G104=1,H104=1),"OK",IF(G104=0,"MISSING FROM","MISSING TO"))</x:f>
        <x:v>OK</x:v>
      </x:c>
    </x:row>
    <x:row r="105">
      <x:c r="A105" s="49" t="str">
        <x:v>T-STONE-KNIFE</x:v>
      </x:c>
      <x:c r="B105" s="49" t="str">
        <x:v>T-MALLET</x:v>
      </x:c>
      <x:c r="C105" s="49" t="str">
        <x:v>Tool</x:v>
      </x:c>
      <x:c r="D105" s="49" t="str">
        <x:v>Yes</x:v>
      </x:c>
      <x:c r="E105" s="49" t="str"/>
      <x:c r="F105" s="49" t="str">
        <x:v>Declared embodied tool use</x:v>
      </x:c>
      <x:c r="G105" s="49" t="n">
        <x:f>COUNTIF('Craft Nodes'!$A$5:$A$250,A105)</x:f>
        <x:v>1</x:v>
      </x:c>
      <x:c r="H105" s="49" t="n">
        <x:f>COUNTIF('Craft Nodes'!$A$5:$A$250,B105)</x:f>
        <x:v>1</x:v>
      </x:c>
      <x:c r="I105" s="49" t="str">
        <x:f>IF(AND(G105=1,H105=1),"OK",IF(G105=0,"MISSING FROM","MISSING TO"))</x:f>
        <x:v>OK</x:v>
      </x:c>
    </x:row>
    <x:row r="106">
      <x:c r="A106" s="49" t="str">
        <x:v>W-WORKMAT</x:v>
      </x:c>
      <x:c r="B106" s="49" t="str">
        <x:v>T-MALLET</x:v>
      </x:c>
      <x:c r="C106" s="49" t="str">
        <x:v>Workspace</x:v>
      </x:c>
      <x:c r="D106" s="49" t="str">
        <x:v>Yes</x:v>
      </x:c>
      <x:c r="E106" s="49" t="str"/>
      <x:c r="F106" s="49" t="str">
        <x:v>Declared worksite dependency</x:v>
      </x:c>
      <x:c r="G106" s="49" t="n">
        <x:f>COUNTIF('Craft Nodes'!$A$5:$A$250,A106)</x:f>
        <x:v>1</x:v>
      </x:c>
      <x:c r="H106" s="49" t="n">
        <x:f>COUNTIF('Craft Nodes'!$A$5:$A$250,B106)</x:f>
        <x:v>1</x:v>
      </x:c>
      <x:c r="I106" s="49" t="str">
        <x:f>IF(AND(G106=1,H106=1),"OK",IF(G106=0,"MISSING FROM","MISSING TO"))</x:f>
        <x:v>OK</x:v>
      </x:c>
    </x:row>
    <x:row r="107">
      <x:c r="A107" s="49" t="str">
        <x:v>P-METAL-STOCK</x:v>
      </x:c>
      <x:c r="B107" s="49" t="str">
        <x:v>T-HAMMER</x:v>
      </x:c>
      <x:c r="C107" s="49" t="str">
        <x:v>Prerequisite</x:v>
      </x:c>
      <x:c r="D107" s="49" t="str">
        <x:v>Yes</x:v>
      </x:c>
      <x:c r="E107" s="49" t="str"/>
      <x:c r="F107" s="49" t="str">
        <x:v>Required for canonical route</x:v>
      </x:c>
      <x:c r="G107" s="49" t="n">
        <x:f>COUNTIF('Craft Nodes'!$A$5:$A$250,A107)</x:f>
        <x:v>1</x:v>
      </x:c>
      <x:c r="H107" s="49" t="n">
        <x:f>COUNTIF('Craft Nodes'!$A$5:$A$250,B107)</x:f>
        <x:v>1</x:v>
      </x:c>
      <x:c r="I107" s="49" t="str">
        <x:f>IF(AND(G107=1,H107=1),"OK",IF(G107=0,"MISSING FROM","MISSING TO"))</x:f>
        <x:v>OK</x:v>
      </x:c>
    </x:row>
    <x:row r="108">
      <x:c r="A108" s="49" t="str">
        <x:v>P-STRAIGHT-POLE</x:v>
      </x:c>
      <x:c r="B108" s="49" t="str">
        <x:v>T-HAMMER</x:v>
      </x:c>
      <x:c r="C108" s="49" t="str">
        <x:v>Prerequisite</x:v>
      </x:c>
      <x:c r="D108" s="49" t="str">
        <x:v>Yes</x:v>
      </x:c>
      <x:c r="E108" s="49" t="str"/>
      <x:c r="F108" s="49" t="str">
        <x:v>Required for canonical route</x:v>
      </x:c>
      <x:c r="G108" s="49" t="n">
        <x:f>COUNTIF('Craft Nodes'!$A$5:$A$250,A108)</x:f>
        <x:v>1</x:v>
      </x:c>
      <x:c r="H108" s="49" t="n">
        <x:f>COUNTIF('Craft Nodes'!$A$5:$A$250,B108)</x:f>
        <x:v>1</x:v>
      </x:c>
      <x:c r="I108" s="49" t="str">
        <x:f>IF(AND(G108=1,H108=1),"OK",IF(G108=0,"MISSING FROM","MISSING TO"))</x:f>
        <x:v>OK</x:v>
      </x:c>
    </x:row>
    <x:row r="109">
      <x:c r="A109" s="49" t="str">
        <x:v>P-PEG</x:v>
      </x:c>
      <x:c r="B109" s="49" t="str">
        <x:v>T-HAMMER</x:v>
      </x:c>
      <x:c r="C109" s="49" t="str">
        <x:v>Prerequisite</x:v>
      </x:c>
      <x:c r="D109" s="49" t="str">
        <x:v>Yes</x:v>
      </x:c>
      <x:c r="E109" s="49" t="str"/>
      <x:c r="F109" s="49" t="str">
        <x:v>Required for canonical route</x:v>
      </x:c>
      <x:c r="G109" s="49" t="n">
        <x:f>COUNTIF('Craft Nodes'!$A$5:$A$250,A109)</x:f>
        <x:v>1</x:v>
      </x:c>
      <x:c r="H109" s="49" t="n">
        <x:f>COUNTIF('Craft Nodes'!$A$5:$A$250,B109)</x:f>
        <x:v>1</x:v>
      </x:c>
      <x:c r="I109" s="49" t="str">
        <x:f>IF(AND(G109=1,H109=1),"OK",IF(G109=0,"MISSING FROM","MISSING TO"))</x:f>
        <x:v>OK</x:v>
      </x:c>
    </x:row>
    <x:row r="110">
      <x:c r="A110" s="49" t="str">
        <x:v>W-FORGE</x:v>
      </x:c>
      <x:c r="B110" s="49" t="str">
        <x:v>T-HAMMER</x:v>
      </x:c>
      <x:c r="C110" s="49" t="str">
        <x:v>Workspace</x:v>
      </x:c>
      <x:c r="D110" s="49" t="str">
        <x:v>Yes</x:v>
      </x:c>
      <x:c r="E110" s="49" t="str"/>
      <x:c r="F110" s="49" t="str">
        <x:v>Required for canonical route</x:v>
      </x:c>
      <x:c r="G110" s="49" t="n">
        <x:f>COUNTIF('Craft Nodes'!$A$5:$A$250,A110)</x:f>
        <x:v>1</x:v>
      </x:c>
      <x:c r="H110" s="49" t="n">
        <x:f>COUNTIF('Craft Nodes'!$A$5:$A$250,B110)</x:f>
        <x:v>1</x:v>
      </x:c>
      <x:c r="I110" s="49" t="str">
        <x:f>IF(AND(G110=1,H110=1),"OK",IF(G110=0,"MISSING FROM","MISSING TO"))</x:f>
        <x:v>OK</x:v>
      </x:c>
    </x:row>
    <x:row r="111">
      <x:c r="A111" s="49" t="str">
        <x:v>T-TONGS</x:v>
      </x:c>
      <x:c r="B111" s="49" t="str">
        <x:v>T-HAMMER</x:v>
      </x:c>
      <x:c r="C111" s="49" t="str">
        <x:v>Tool</x:v>
      </x:c>
      <x:c r="D111" s="49" t="str">
        <x:v>Yes</x:v>
      </x:c>
      <x:c r="E111" s="49" t="str"/>
      <x:c r="F111" s="49" t="str">
        <x:v>Declared embodied tool use</x:v>
      </x:c>
      <x:c r="G111" s="49" t="n">
        <x:f>COUNTIF('Craft Nodes'!$A$5:$A$250,A111)</x:f>
        <x:v>1</x:v>
      </x:c>
      <x:c r="H111" s="49" t="n">
        <x:f>COUNTIF('Craft Nodes'!$A$5:$A$250,B111)</x:f>
        <x:v>1</x:v>
      </x:c>
      <x:c r="I111" s="49" t="str">
        <x:f>IF(AND(G111=1,H111=1),"OK",IF(G111=0,"MISSING FROM","MISSING TO"))</x:f>
        <x:v>OK</x:v>
      </x:c>
    </x:row>
    <x:row r="112">
      <x:c r="A112" s="49" t="str">
        <x:v>P-METAL-STOCK</x:v>
      </x:c>
      <x:c r="B112" s="49" t="str">
        <x:v>T-CHISEL</x:v>
      </x:c>
      <x:c r="C112" s="49" t="str">
        <x:v>Prerequisite</x:v>
      </x:c>
      <x:c r="D112" s="49" t="str">
        <x:v>Yes</x:v>
      </x:c>
      <x:c r="E112" s="49" t="str"/>
      <x:c r="F112" s="49" t="str">
        <x:v>Required for canonical route</x:v>
      </x:c>
      <x:c r="G112" s="49" t="n">
        <x:f>COUNTIF('Craft Nodes'!$A$5:$A$250,A112)</x:f>
        <x:v>1</x:v>
      </x:c>
      <x:c r="H112" s="49" t="n">
        <x:f>COUNTIF('Craft Nodes'!$A$5:$A$250,B112)</x:f>
        <x:v>1</x:v>
      </x:c>
      <x:c r="I112" s="49" t="str">
        <x:f>IF(AND(G112=1,H112=1),"OK",IF(G112=0,"MISSING FROM","MISSING TO"))</x:f>
        <x:v>OK</x:v>
      </x:c>
    </x:row>
    <x:row r="113">
      <x:c r="A113" s="49" t="str">
        <x:v>W-FORGE</x:v>
      </x:c>
      <x:c r="B113" s="49" t="str">
        <x:v>T-CHISEL</x:v>
      </x:c>
      <x:c r="C113" s="49" t="str">
        <x:v>Workspace</x:v>
      </x:c>
      <x:c r="D113" s="49" t="str">
        <x:v>Yes</x:v>
      </x:c>
      <x:c r="E113" s="49" t="str"/>
      <x:c r="F113" s="49" t="str">
        <x:v>Required for canonical route</x:v>
      </x:c>
      <x:c r="G113" s="49" t="n">
        <x:f>COUNTIF('Craft Nodes'!$A$5:$A$250,A113)</x:f>
        <x:v>1</x:v>
      </x:c>
      <x:c r="H113" s="49" t="n">
        <x:f>COUNTIF('Craft Nodes'!$A$5:$A$250,B113)</x:f>
        <x:v>1</x:v>
      </x:c>
      <x:c r="I113" s="49" t="str">
        <x:f>IF(AND(G113=1,H113=1),"OK",IF(G113=0,"MISSING FROM","MISSING TO"))</x:f>
        <x:v>OK</x:v>
      </x:c>
    </x:row>
    <x:row r="114">
      <x:c r="A114" s="49" t="str">
        <x:v>T-HAMMER</x:v>
      </x:c>
      <x:c r="B114" s="49" t="str">
        <x:v>T-CHISEL</x:v>
      </x:c>
      <x:c r="C114" s="49" t="str">
        <x:v>Tool</x:v>
      </x:c>
      <x:c r="D114" s="49" t="str">
        <x:v>Yes</x:v>
      </x:c>
      <x:c r="E114" s="49" t="str"/>
      <x:c r="F114" s="49" t="str">
        <x:v>Declared embodied tool use</x:v>
      </x:c>
      <x:c r="G114" s="49" t="n">
        <x:f>COUNTIF('Craft Nodes'!$A$5:$A$250,A114)</x:f>
        <x:v>1</x:v>
      </x:c>
      <x:c r="H114" s="49" t="n">
        <x:f>COUNTIF('Craft Nodes'!$A$5:$A$250,B114)</x:f>
        <x:v>1</x:v>
      </x:c>
      <x:c r="I114" s="49" t="str">
        <x:f>IF(AND(G114=1,H114=1),"OK",IF(G114=0,"MISSING FROM","MISSING TO"))</x:f>
        <x:v>OK</x:v>
      </x:c>
    </x:row>
    <x:row r="115">
      <x:c r="A115" s="49" t="str">
        <x:v>P-METAL-STOCK</x:v>
      </x:c>
      <x:c r="B115" s="49" t="str">
        <x:v>T-PRY</x:v>
      </x:c>
      <x:c r="C115" s="49" t="str">
        <x:v>Prerequisite</x:v>
      </x:c>
      <x:c r="D115" s="49" t="str">
        <x:v>Yes</x:v>
      </x:c>
      <x:c r="E115" s="49" t="str"/>
      <x:c r="F115" s="49" t="str">
        <x:v>Required for canonical route</x:v>
      </x:c>
      <x:c r="G115" s="49" t="n">
        <x:f>COUNTIF('Craft Nodes'!$A$5:$A$250,A115)</x:f>
        <x:v>1</x:v>
      </x:c>
      <x:c r="H115" s="49" t="n">
        <x:f>COUNTIF('Craft Nodes'!$A$5:$A$250,B115)</x:f>
        <x:v>1</x:v>
      </x:c>
      <x:c r="I115" s="49" t="str">
        <x:f>IF(AND(G115=1,H115=1),"OK",IF(G115=0,"MISSING FROM","MISSING TO"))</x:f>
        <x:v>OK</x:v>
      </x:c>
    </x:row>
    <x:row r="116">
      <x:c r="A116" s="49" t="str">
        <x:v>W-FORGE</x:v>
      </x:c>
      <x:c r="B116" s="49" t="str">
        <x:v>T-PRY</x:v>
      </x:c>
      <x:c r="C116" s="49" t="str">
        <x:v>Workspace</x:v>
      </x:c>
      <x:c r="D116" s="49" t="str">
        <x:v>Yes</x:v>
      </x:c>
      <x:c r="E116" s="49" t="str"/>
      <x:c r="F116" s="49" t="str">
        <x:v>Required for canonical route</x:v>
      </x:c>
      <x:c r="G116" s="49" t="n">
        <x:f>COUNTIF('Craft Nodes'!$A$5:$A$250,A116)</x:f>
        <x:v>1</x:v>
      </x:c>
      <x:c r="H116" s="49" t="n">
        <x:f>COUNTIF('Craft Nodes'!$A$5:$A$250,B116)</x:f>
        <x:v>1</x:v>
      </x:c>
      <x:c r="I116" s="49" t="str">
        <x:f>IF(AND(G116=1,H116=1),"OK",IF(G116=0,"MISSING FROM","MISSING TO"))</x:f>
        <x:v>OK</x:v>
      </x:c>
    </x:row>
    <x:row r="117">
      <x:c r="A117" s="49" t="str">
        <x:v>T-HAMMER</x:v>
      </x:c>
      <x:c r="B117" s="49" t="str">
        <x:v>T-PRY</x:v>
      </x:c>
      <x:c r="C117" s="49" t="str">
        <x:v>Tool</x:v>
      </x:c>
      <x:c r="D117" s="49" t="str">
        <x:v>Yes</x:v>
      </x:c>
      <x:c r="E117" s="49" t="str"/>
      <x:c r="F117" s="49" t="str">
        <x:v>Declared embodied tool use</x:v>
      </x:c>
      <x:c r="G117" s="49" t="n">
        <x:f>COUNTIF('Craft Nodes'!$A$5:$A$250,A117)</x:f>
        <x:v>1</x:v>
      </x:c>
      <x:c r="H117" s="49" t="n">
        <x:f>COUNTIF('Craft Nodes'!$A$5:$A$250,B117)</x:f>
        <x:v>1</x:v>
      </x:c>
      <x:c r="I117" s="49" t="str">
        <x:f>IF(AND(G117=1,H117=1),"OK",IF(G117=0,"MISSING FROM","MISSING TO"))</x:f>
        <x:v>OK</x:v>
      </x:c>
    </x:row>
    <x:row r="118">
      <x:c r="A118" s="49" t="str">
        <x:v>S-BONE</x:v>
      </x:c>
      <x:c r="B118" s="49" t="str">
        <x:v>T-AWL</x:v>
      </x:c>
      <x:c r="C118" s="49" t="str">
        <x:v>Prerequisite</x:v>
      </x:c>
      <x:c r="D118" s="49" t="str">
        <x:v>Yes</x:v>
      </x:c>
      <x:c r="E118" s="49" t="str"/>
      <x:c r="F118" s="49" t="str">
        <x:v>Required for canonical route</x:v>
      </x:c>
      <x:c r="G118" s="49" t="n">
        <x:f>COUNTIF('Craft Nodes'!$A$5:$A$250,A118)</x:f>
        <x:v>1</x:v>
      </x:c>
      <x:c r="H118" s="49" t="n">
        <x:f>COUNTIF('Craft Nodes'!$A$5:$A$250,B118)</x:f>
        <x:v>1</x:v>
      </x:c>
      <x:c r="I118" s="49" t="str">
        <x:f>IF(AND(G118=1,H118=1),"OK",IF(G118=0,"MISSING FROM","MISSING TO"))</x:f>
        <x:v>OK</x:v>
      </x:c>
    </x:row>
    <x:row r="119">
      <x:c r="A119" s="49" t="str">
        <x:v>P-SHARP-EDGE</x:v>
      </x:c>
      <x:c r="B119" s="49" t="str">
        <x:v>T-AWL</x:v>
      </x:c>
      <x:c r="C119" s="49" t="str">
        <x:v>Prerequisite</x:v>
      </x:c>
      <x:c r="D119" s="49" t="str">
        <x:v>Yes</x:v>
      </x:c>
      <x:c r="E119" s="49" t="str"/>
      <x:c r="F119" s="49" t="str">
        <x:v>Required for canonical route</x:v>
      </x:c>
      <x:c r="G119" s="49" t="n">
        <x:f>COUNTIF('Craft Nodes'!$A$5:$A$250,A119)</x:f>
        <x:v>1</x:v>
      </x:c>
      <x:c r="H119" s="49" t="n">
        <x:f>COUNTIF('Craft Nodes'!$A$5:$A$250,B119)</x:f>
        <x:v>1</x:v>
      </x:c>
      <x:c r="I119" s="49" t="str">
        <x:f>IF(AND(G119=1,H119=1),"OK",IF(G119=0,"MISSING FROM","MISSING TO"))</x:f>
        <x:v>OK</x:v>
      </x:c>
    </x:row>
    <x:row r="120">
      <x:c r="A120" s="49" t="str">
        <x:v>T-STONE-KNIFE</x:v>
      </x:c>
      <x:c r="B120" s="49" t="str">
        <x:v>T-AWL</x:v>
      </x:c>
      <x:c r="C120" s="49" t="str">
        <x:v>Tool</x:v>
      </x:c>
      <x:c r="D120" s="49" t="str">
        <x:v>Yes</x:v>
      </x:c>
      <x:c r="E120" s="49" t="str"/>
      <x:c r="F120" s="49" t="str">
        <x:v>Declared embodied tool use</x:v>
      </x:c>
      <x:c r="G120" s="49" t="n">
        <x:f>COUNTIF('Craft Nodes'!$A$5:$A$250,A120)</x:f>
        <x:v>1</x:v>
      </x:c>
      <x:c r="H120" s="49" t="n">
        <x:f>COUNTIF('Craft Nodes'!$A$5:$A$250,B120)</x:f>
        <x:v>1</x:v>
      </x:c>
      <x:c r="I120" s="49" t="str">
        <x:f>IF(AND(G120=1,H120=1),"OK",IF(G120=0,"MISSING FROM","MISSING TO"))</x:f>
        <x:v>OK</x:v>
      </x:c>
    </x:row>
    <x:row r="121">
      <x:c r="A121" s="49" t="str">
        <x:v>W-WORKMAT</x:v>
      </x:c>
      <x:c r="B121" s="49" t="str">
        <x:v>T-AWL</x:v>
      </x:c>
      <x:c r="C121" s="49" t="str">
        <x:v>Workspace</x:v>
      </x:c>
      <x:c r="D121" s="49" t="str">
        <x:v>Yes</x:v>
      </x:c>
      <x:c r="E121" s="49" t="str"/>
      <x:c r="F121" s="49" t="str">
        <x:v>Declared worksite dependency</x:v>
      </x:c>
      <x:c r="G121" s="49" t="n">
        <x:f>COUNTIF('Craft Nodes'!$A$5:$A$250,A121)</x:f>
        <x:v>1</x:v>
      </x:c>
      <x:c r="H121" s="49" t="n">
        <x:f>COUNTIF('Craft Nodes'!$A$5:$A$250,B121)</x:f>
        <x:v>1</x:v>
      </x:c>
      <x:c r="I121" s="49" t="str">
        <x:f>IF(AND(G121=1,H121=1),"OK",IF(G121=0,"MISSING FROM","MISSING TO"))</x:f>
        <x:v>OK</x:v>
      </x:c>
    </x:row>
    <x:row r="122">
      <x:c r="A122" s="49" t="str">
        <x:v>P-STRAIGHT-POLE</x:v>
      </x:c>
      <x:c r="B122" s="49" t="str">
        <x:v>T-BOW-DRILL</x:v>
      </x:c>
      <x:c r="C122" s="49" t="str">
        <x:v>Prerequisite</x:v>
      </x:c>
      <x:c r="D122" s="49" t="str">
        <x:v>Yes</x:v>
      </x:c>
      <x:c r="E122" s="49" t="str"/>
      <x:c r="F122" s="49" t="str">
        <x:v>Required for canonical route</x:v>
      </x:c>
      <x:c r="G122" s="49" t="n">
        <x:f>COUNTIF('Craft Nodes'!$A$5:$A$250,A122)</x:f>
        <x:v>1</x:v>
      </x:c>
      <x:c r="H122" s="49" t="n">
        <x:f>COUNTIF('Craft Nodes'!$A$5:$A$250,B122)</x:f>
        <x:v>1</x:v>
      </x:c>
      <x:c r="I122" s="49" t="str">
        <x:f>IF(AND(G122=1,H122=1),"OK",IF(G122=0,"MISSING FROM","MISSING TO"))</x:f>
        <x:v>OK</x:v>
      </x:c>
    </x:row>
    <x:row r="123">
      <x:c r="A123" s="49" t="str">
        <x:v>P-CORD</x:v>
      </x:c>
      <x:c r="B123" s="49" t="str">
        <x:v>T-BOW-DRILL</x:v>
      </x:c>
      <x:c r="C123" s="49" t="str">
        <x:v>Prerequisite</x:v>
      </x:c>
      <x:c r="D123" s="49" t="str">
        <x:v>Yes</x:v>
      </x:c>
      <x:c r="E123" s="49" t="str"/>
      <x:c r="F123" s="49" t="str">
        <x:v>Required for canonical route</x:v>
      </x:c>
      <x:c r="G123" s="49" t="n">
        <x:f>COUNTIF('Craft Nodes'!$A$5:$A$250,A123)</x:f>
        <x:v>1</x:v>
      </x:c>
      <x:c r="H123" s="49" t="n">
        <x:f>COUNTIF('Craft Nodes'!$A$5:$A$250,B123)</x:f>
        <x:v>1</x:v>
      </x:c>
      <x:c r="I123" s="49" t="str">
        <x:f>IF(AND(G123=1,H123=1),"OK",IF(G123=0,"MISSING FROM","MISSING TO"))</x:f>
        <x:v>OK</x:v>
      </x:c>
    </x:row>
    <x:row r="124">
      <x:c r="A124" s="49" t="str">
        <x:v>P-SHARP-EDGE</x:v>
      </x:c>
      <x:c r="B124" s="49" t="str">
        <x:v>T-BOW-DRILL</x:v>
      </x:c>
      <x:c r="C124" s="49" t="str">
        <x:v>Prerequisite</x:v>
      </x:c>
      <x:c r="D124" s="49" t="str">
        <x:v>Yes</x:v>
      </x:c>
      <x:c r="E124" s="49" t="str"/>
      <x:c r="F124" s="49" t="str">
        <x:v>Required for canonical route</x:v>
      </x:c>
      <x:c r="G124" s="49" t="n">
        <x:f>COUNTIF('Craft Nodes'!$A$5:$A$250,A124)</x:f>
        <x:v>1</x:v>
      </x:c>
      <x:c r="H124" s="49" t="n">
        <x:f>COUNTIF('Craft Nodes'!$A$5:$A$250,B124)</x:f>
        <x:v>1</x:v>
      </x:c>
      <x:c r="I124" s="49" t="str">
        <x:f>IF(AND(G124=1,H124=1),"OK",IF(G124=0,"MISSING FROM","MISSING TO"))</x:f>
        <x:v>OK</x:v>
      </x:c>
    </x:row>
    <x:row r="125">
      <x:c r="A125" s="49" t="str">
        <x:v>T-STONE-KNIFE</x:v>
      </x:c>
      <x:c r="B125" s="49" t="str">
        <x:v>T-BOW-DRILL</x:v>
      </x:c>
      <x:c r="C125" s="49" t="str">
        <x:v>Tool</x:v>
      </x:c>
      <x:c r="D125" s="49" t="str">
        <x:v>Yes</x:v>
      </x:c>
      <x:c r="E125" s="49" t="str"/>
      <x:c r="F125" s="49" t="str">
        <x:v>Declared embodied tool use</x:v>
      </x:c>
      <x:c r="G125" s="49" t="n">
        <x:f>COUNTIF('Craft Nodes'!$A$5:$A$250,A125)</x:f>
        <x:v>1</x:v>
      </x:c>
      <x:c r="H125" s="49" t="n">
        <x:f>COUNTIF('Craft Nodes'!$A$5:$A$250,B125)</x:f>
        <x:v>1</x:v>
      </x:c>
      <x:c r="I125" s="49" t="str">
        <x:f>IF(AND(G125=1,H125=1),"OK",IF(G125=0,"MISSING FROM","MISSING TO"))</x:f>
        <x:v>OK</x:v>
      </x:c>
    </x:row>
    <x:row r="126">
      <x:c r="A126" s="49" t="str">
        <x:v>W-WORKMAT</x:v>
      </x:c>
      <x:c r="B126" s="49" t="str">
        <x:v>T-BOW-DRILL</x:v>
      </x:c>
      <x:c r="C126" s="49" t="str">
        <x:v>Workspace</x:v>
      </x:c>
      <x:c r="D126" s="49" t="str">
        <x:v>Yes</x:v>
      </x:c>
      <x:c r="E126" s="49" t="str"/>
      <x:c r="F126" s="49" t="str">
        <x:v>Declared worksite dependency</x:v>
      </x:c>
      <x:c r="G126" s="49" t="n">
        <x:f>COUNTIF('Craft Nodes'!$A$5:$A$250,A126)</x:f>
        <x:v>1</x:v>
      </x:c>
      <x:c r="H126" s="49" t="n">
        <x:f>COUNTIF('Craft Nodes'!$A$5:$A$250,B126)</x:f>
        <x:v>1</x:v>
      </x:c>
      <x:c r="I126" s="49" t="str">
        <x:f>IF(AND(G126=1,H126=1),"OK",IF(G126=0,"MISSING FROM","MISSING TO"))</x:f>
        <x:v>OK</x:v>
      </x:c>
    </x:row>
    <x:row r="127">
      <x:c r="A127" s="49" t="str">
        <x:v>P-METAL-STOCK</x:v>
      </x:c>
      <x:c r="B127" s="49" t="str">
        <x:v>T-DRILL</x:v>
      </x:c>
      <x:c r="C127" s="49" t="str">
        <x:v>Prerequisite</x:v>
      </x:c>
      <x:c r="D127" s="49" t="str">
        <x:v>Yes</x:v>
      </x:c>
      <x:c r="E127" s="49" t="str"/>
      <x:c r="F127" s="49" t="str">
        <x:v>Required for canonical route</x:v>
      </x:c>
      <x:c r="G127" s="49" t="n">
        <x:f>COUNTIF('Craft Nodes'!$A$5:$A$250,A127)</x:f>
        <x:v>1</x:v>
      </x:c>
      <x:c r="H127" s="49" t="n">
        <x:f>COUNTIF('Craft Nodes'!$A$5:$A$250,B127)</x:f>
        <x:v>1</x:v>
      </x:c>
      <x:c r="I127" s="49" t="str">
        <x:f>IF(AND(G127=1,H127=1),"OK",IF(G127=0,"MISSING FROM","MISSING TO"))</x:f>
        <x:v>OK</x:v>
      </x:c>
    </x:row>
    <x:row r="128">
      <x:c r="A128" s="49" t="str">
        <x:v>P-STRAIGHT-POLE</x:v>
      </x:c>
      <x:c r="B128" s="49" t="str">
        <x:v>T-DRILL</x:v>
      </x:c>
      <x:c r="C128" s="49" t="str">
        <x:v>Prerequisite</x:v>
      </x:c>
      <x:c r="D128" s="49" t="str">
        <x:v>Yes</x:v>
      </x:c>
      <x:c r="E128" s="49" t="str"/>
      <x:c r="F128" s="49" t="str">
        <x:v>Required for canonical route</x:v>
      </x:c>
      <x:c r="G128" s="49" t="n">
        <x:f>COUNTIF('Craft Nodes'!$A$5:$A$250,A128)</x:f>
        <x:v>1</x:v>
      </x:c>
      <x:c r="H128" s="49" t="n">
        <x:f>COUNTIF('Craft Nodes'!$A$5:$A$250,B128)</x:f>
        <x:v>1</x:v>
      </x:c>
      <x:c r="I128" s="49" t="str">
        <x:f>IF(AND(G128=1,H128=1),"OK",IF(G128=0,"MISSING FROM","MISSING TO"))</x:f>
        <x:v>OK</x:v>
      </x:c>
    </x:row>
    <x:row r="129">
      <x:c r="A129" s="49" t="str">
        <x:v>W-FORGE</x:v>
      </x:c>
      <x:c r="B129" s="49" t="str">
        <x:v>T-DRILL</x:v>
      </x:c>
      <x:c r="C129" s="49" t="str">
        <x:v>Workspace</x:v>
      </x:c>
      <x:c r="D129" s="49" t="str">
        <x:v>Yes</x:v>
      </x:c>
      <x:c r="E129" s="49" t="str"/>
      <x:c r="F129" s="49" t="str">
        <x:v>Required for canonical route</x:v>
      </x:c>
      <x:c r="G129" s="49" t="n">
        <x:f>COUNTIF('Craft Nodes'!$A$5:$A$250,A129)</x:f>
        <x:v>1</x:v>
      </x:c>
      <x:c r="H129" s="49" t="n">
        <x:f>COUNTIF('Craft Nodes'!$A$5:$A$250,B129)</x:f>
        <x:v>1</x:v>
      </x:c>
      <x:c r="I129" s="49" t="str">
        <x:f>IF(AND(G129=1,H129=1),"OK",IF(G129=0,"MISSING FROM","MISSING TO"))</x:f>
        <x:v>OK</x:v>
      </x:c>
    </x:row>
    <x:row r="130">
      <x:c r="A130" s="49" t="str">
        <x:v>T-HAMMER</x:v>
      </x:c>
      <x:c r="B130" s="49" t="str">
        <x:v>T-DRILL</x:v>
      </x:c>
      <x:c r="C130" s="49" t="str">
        <x:v>Tool</x:v>
      </x:c>
      <x:c r="D130" s="49" t="str">
        <x:v>Yes</x:v>
      </x:c>
      <x:c r="E130" s="49" t="str"/>
      <x:c r="F130" s="49" t="str">
        <x:v>Declared embodied tool use</x:v>
      </x:c>
      <x:c r="G130" s="49" t="n">
        <x:f>COUNTIF('Craft Nodes'!$A$5:$A$250,A130)</x:f>
        <x:v>1</x:v>
      </x:c>
      <x:c r="H130" s="49" t="n">
        <x:f>COUNTIF('Craft Nodes'!$A$5:$A$250,B130)</x:f>
        <x:v>1</x:v>
      </x:c>
      <x:c r="I130" s="49" t="str">
        <x:f>IF(AND(G130=1,H130=1),"OK",IF(G130=0,"MISSING FROM","MISSING TO"))</x:f>
        <x:v>OK</x:v>
      </x:c>
    </x:row>
    <x:row r="131">
      <x:c r="A131" s="49" t="str">
        <x:v>W-BENCH</x:v>
      </x:c>
      <x:c r="B131" s="49" t="str">
        <x:v>T-DRILL</x:v>
      </x:c>
      <x:c r="C131" s="49" t="str">
        <x:v>Workspace</x:v>
      </x:c>
      <x:c r="D131" s="49" t="str">
        <x:v>Yes</x:v>
      </x:c>
      <x:c r="E131" s="49" t="str"/>
      <x:c r="F131" s="49" t="str">
        <x:v>Declared worksite dependency</x:v>
      </x:c>
      <x:c r="G131" s="49" t="n">
        <x:f>COUNTIF('Craft Nodes'!$A$5:$A$250,A131)</x:f>
        <x:v>1</x:v>
      </x:c>
      <x:c r="H131" s="49" t="n">
        <x:f>COUNTIF('Craft Nodes'!$A$5:$A$250,B131)</x:f>
        <x:v>1</x:v>
      </x:c>
      <x:c r="I131" s="49" t="str">
        <x:f>IF(AND(G131=1,H131=1),"OK",IF(G131=0,"MISSING FROM","MISSING TO"))</x:f>
        <x:v>OK</x:v>
      </x:c>
    </x:row>
    <x:row r="132">
      <x:c r="A132" s="49" t="str">
        <x:v>P-METAL-STOCK</x:v>
      </x:c>
      <x:c r="B132" s="49" t="str">
        <x:v>T-SAW</x:v>
      </x:c>
      <x:c r="C132" s="49" t="str">
        <x:v>Prerequisite</x:v>
      </x:c>
      <x:c r="D132" s="49" t="str">
        <x:v>Yes</x:v>
      </x:c>
      <x:c r="E132" s="49" t="str"/>
      <x:c r="F132" s="49" t="str">
        <x:v>Required for canonical route</x:v>
      </x:c>
      <x:c r="G132" s="49" t="n">
        <x:f>COUNTIF('Craft Nodes'!$A$5:$A$250,A132)</x:f>
        <x:v>1</x:v>
      </x:c>
      <x:c r="H132" s="49" t="n">
        <x:f>COUNTIF('Craft Nodes'!$A$5:$A$250,B132)</x:f>
        <x:v>1</x:v>
      </x:c>
      <x:c r="I132" s="49" t="str">
        <x:f>IF(AND(G132=1,H132=1),"OK",IF(G132=0,"MISSING FROM","MISSING TO"))</x:f>
        <x:v>OK</x:v>
      </x:c>
    </x:row>
    <x:row r="133">
      <x:c r="A133" s="49" t="str">
        <x:v>P-STRAIGHT-POLE</x:v>
      </x:c>
      <x:c r="B133" s="49" t="str">
        <x:v>T-SAW</x:v>
      </x:c>
      <x:c r="C133" s="49" t="str">
        <x:v>Prerequisite</x:v>
      </x:c>
      <x:c r="D133" s="49" t="str">
        <x:v>Yes</x:v>
      </x:c>
      <x:c r="E133" s="49" t="str"/>
      <x:c r="F133" s="49" t="str">
        <x:v>Required for canonical route</x:v>
      </x:c>
      <x:c r="G133" s="49" t="n">
        <x:f>COUNTIF('Craft Nodes'!$A$5:$A$250,A133)</x:f>
        <x:v>1</x:v>
      </x:c>
      <x:c r="H133" s="49" t="n">
        <x:f>COUNTIF('Craft Nodes'!$A$5:$A$250,B133)</x:f>
        <x:v>1</x:v>
      </x:c>
      <x:c r="I133" s="49" t="str">
        <x:f>IF(AND(G133=1,H133=1),"OK",IF(G133=0,"MISSING FROM","MISSING TO"))</x:f>
        <x:v>OK</x:v>
      </x:c>
    </x:row>
    <x:row r="134">
      <x:c r="A134" s="49" t="str">
        <x:v>W-FORGE</x:v>
      </x:c>
      <x:c r="B134" s="49" t="str">
        <x:v>T-SAW</x:v>
      </x:c>
      <x:c r="C134" s="49" t="str">
        <x:v>Workspace</x:v>
      </x:c>
      <x:c r="D134" s="49" t="str">
        <x:v>Yes</x:v>
      </x:c>
      <x:c r="E134" s="49" t="str"/>
      <x:c r="F134" s="49" t="str">
        <x:v>Required for canonical route</x:v>
      </x:c>
      <x:c r="G134" s="49" t="n">
        <x:f>COUNTIF('Craft Nodes'!$A$5:$A$250,A134)</x:f>
        <x:v>1</x:v>
      </x:c>
      <x:c r="H134" s="49" t="n">
        <x:f>COUNTIF('Craft Nodes'!$A$5:$A$250,B134)</x:f>
        <x:v>1</x:v>
      </x:c>
      <x:c r="I134" s="49" t="str">
        <x:f>IF(AND(G134=1,H134=1),"OK",IF(G134=0,"MISSING FROM","MISSING TO"))</x:f>
        <x:v>OK</x:v>
      </x:c>
    </x:row>
    <x:row r="135">
      <x:c r="A135" s="49" t="str">
        <x:v>T-FILE</x:v>
      </x:c>
      <x:c r="B135" s="49" t="str">
        <x:v>T-SAW</x:v>
      </x:c>
      <x:c r="C135" s="49" t="str">
        <x:v>Tool</x:v>
      </x:c>
      <x:c r="D135" s="49" t="str">
        <x:v>Yes</x:v>
      </x:c>
      <x:c r="E135" s="49" t="str"/>
      <x:c r="F135" s="49" t="str">
        <x:v>Declared embodied tool use</x:v>
      </x:c>
      <x:c r="G135" s="49" t="n">
        <x:f>COUNTIF('Craft Nodes'!$A$5:$A$250,A135)</x:f>
        <x:v>1</x:v>
      </x:c>
      <x:c r="H135" s="49" t="n">
        <x:f>COUNTIF('Craft Nodes'!$A$5:$A$250,B135)</x:f>
        <x:v>1</x:v>
      </x:c>
      <x:c r="I135" s="49" t="str">
        <x:f>IF(AND(G135=1,H135=1),"OK",IF(G135=0,"MISSING FROM","MISSING TO"))</x:f>
        <x:v>OK</x:v>
      </x:c>
    </x:row>
    <x:row r="136">
      <x:c r="A136" s="49" t="str">
        <x:v>W-BENCH</x:v>
      </x:c>
      <x:c r="B136" s="49" t="str">
        <x:v>T-SAW</x:v>
      </x:c>
      <x:c r="C136" s="49" t="str">
        <x:v>Workspace</x:v>
      </x:c>
      <x:c r="D136" s="49" t="str">
        <x:v>Yes</x:v>
      </x:c>
      <x:c r="E136" s="49" t="str"/>
      <x:c r="F136" s="49" t="str">
        <x:v>Declared worksite dependency</x:v>
      </x:c>
      <x:c r="G136" s="49" t="n">
        <x:f>COUNTIF('Craft Nodes'!$A$5:$A$250,A136)</x:f>
        <x:v>1</x:v>
      </x:c>
      <x:c r="H136" s="49" t="n">
        <x:f>COUNTIF('Craft Nodes'!$A$5:$A$250,B136)</x:f>
        <x:v>1</x:v>
      </x:c>
      <x:c r="I136" s="49" t="str">
        <x:f>IF(AND(G136=1,H136=1),"OK",IF(G136=0,"MISSING FROM","MISSING TO"))</x:f>
        <x:v>OK</x:v>
      </x:c>
    </x:row>
    <x:row r="137">
      <x:c r="A137" s="49" t="str">
        <x:v>S-STONE</x:v>
      </x:c>
      <x:c r="B137" s="49" t="str">
        <x:v>T-FILE</x:v>
      </x:c>
      <x:c r="C137" s="49" t="str">
        <x:v>Prerequisite</x:v>
      </x:c>
      <x:c r="D137" s="49" t="str">
        <x:v>Yes</x:v>
      </x:c>
      <x:c r="E137" s="49" t="str"/>
      <x:c r="F137" s="49" t="str">
        <x:v>Required for canonical route</x:v>
      </x:c>
      <x:c r="G137" s="49" t="n">
        <x:f>COUNTIF('Craft Nodes'!$A$5:$A$250,A137)</x:f>
        <x:v>1</x:v>
      </x:c>
      <x:c r="H137" s="49" t="n">
        <x:f>COUNTIF('Craft Nodes'!$A$5:$A$250,B137)</x:f>
        <x:v>1</x:v>
      </x:c>
      <x:c r="I137" s="49" t="str">
        <x:f>IF(AND(G137=1,H137=1),"OK",IF(G137=0,"MISSING FROM","MISSING TO"))</x:f>
        <x:v>OK</x:v>
      </x:c>
    </x:row>
    <x:row r="138">
      <x:c r="A138" s="49" t="str">
        <x:v>P-METAL-STOCK</x:v>
      </x:c>
      <x:c r="B138" s="49" t="str">
        <x:v>T-FILE</x:v>
      </x:c>
      <x:c r="C138" s="49" t="str">
        <x:v>Prerequisite</x:v>
      </x:c>
      <x:c r="D138" s="49" t="str">
        <x:v>Yes</x:v>
      </x:c>
      <x:c r="E138" s="49" t="str"/>
      <x:c r="F138" s="49" t="str">
        <x:v>Required for canonical route</x:v>
      </x:c>
      <x:c r="G138" s="49" t="n">
        <x:f>COUNTIF('Craft Nodes'!$A$5:$A$250,A138)</x:f>
        <x:v>1</x:v>
      </x:c>
      <x:c r="H138" s="49" t="n">
        <x:f>COUNTIF('Craft Nodes'!$A$5:$A$250,B138)</x:f>
        <x:v>1</x:v>
      </x:c>
      <x:c r="I138" s="49" t="str">
        <x:f>IF(AND(G138=1,H138=1),"OK",IF(G138=0,"MISSING FROM","MISSING TO"))</x:f>
        <x:v>OK</x:v>
      </x:c>
    </x:row>
    <x:row r="139">
      <x:c r="A139" s="49" t="str">
        <x:v>T-HAMMER</x:v>
      </x:c>
      <x:c r="B139" s="49" t="str">
        <x:v>T-FILE</x:v>
      </x:c>
      <x:c r="C139" s="49" t="str">
        <x:v>Tool</x:v>
      </x:c>
      <x:c r="D139" s="49" t="str">
        <x:v>Yes</x:v>
      </x:c>
      <x:c r="E139" s="49" t="str"/>
      <x:c r="F139" s="49" t="str">
        <x:v>Declared embodied tool use</x:v>
      </x:c>
      <x:c r="G139" s="49" t="n">
        <x:f>COUNTIF('Craft Nodes'!$A$5:$A$250,A139)</x:f>
        <x:v>1</x:v>
      </x:c>
      <x:c r="H139" s="49" t="n">
        <x:f>COUNTIF('Craft Nodes'!$A$5:$A$250,B139)</x:f>
        <x:v>1</x:v>
      </x:c>
      <x:c r="I139" s="49" t="str">
        <x:f>IF(AND(G139=1,H139=1),"OK",IF(G139=0,"MISSING FROM","MISSING TO"))</x:f>
        <x:v>OK</x:v>
      </x:c>
    </x:row>
    <x:row r="140">
      <x:c r="A140" s="49" t="str">
        <x:v>W-FORGE</x:v>
      </x:c>
      <x:c r="B140" s="49" t="str">
        <x:v>T-FILE</x:v>
      </x:c>
      <x:c r="C140" s="49" t="str">
        <x:v>Workspace</x:v>
      </x:c>
      <x:c r="D140" s="49" t="str">
        <x:v>Yes</x:v>
      </x:c>
      <x:c r="E140" s="49" t="str"/>
      <x:c r="F140" s="49" t="str">
        <x:v>Declared worksite dependency</x:v>
      </x:c>
      <x:c r="G140" s="49" t="n">
        <x:f>COUNTIF('Craft Nodes'!$A$5:$A$250,A140)</x:f>
        <x:v>1</x:v>
      </x:c>
      <x:c r="H140" s="49" t="n">
        <x:f>COUNTIF('Craft Nodes'!$A$5:$A$250,B140)</x:f>
        <x:v>1</x:v>
      </x:c>
      <x:c r="I140" s="49" t="str">
        <x:f>IF(AND(G140=1,H140=1),"OK",IF(G140=0,"MISSING FROM","MISSING TO"))</x:f>
        <x:v>OK</x:v>
      </x:c>
    </x:row>
    <x:row r="141">
      <x:c r="A141" s="49" t="str">
        <x:v>P-METAL-STOCK</x:v>
      </x:c>
      <x:c r="B141" s="49" t="str">
        <x:v>T-TONGS</x:v>
      </x:c>
      <x:c r="C141" s="49" t="str">
        <x:v>Prerequisite</x:v>
      </x:c>
      <x:c r="D141" s="49" t="str">
        <x:v>Yes</x:v>
      </x:c>
      <x:c r="E141" s="49" t="str"/>
      <x:c r="F141" s="49" t="str">
        <x:v>Required for canonical route</x:v>
      </x:c>
      <x:c r="G141" s="49" t="n">
        <x:f>COUNTIF('Craft Nodes'!$A$5:$A$250,A141)</x:f>
        <x:v>1</x:v>
      </x:c>
      <x:c r="H141" s="49" t="n">
        <x:f>COUNTIF('Craft Nodes'!$A$5:$A$250,B141)</x:f>
        <x:v>1</x:v>
      </x:c>
      <x:c r="I141" s="49" t="str">
        <x:f>IF(AND(G141=1,H141=1),"OK",IF(G141=0,"MISSING FROM","MISSING TO"))</x:f>
        <x:v>OK</x:v>
      </x:c>
    </x:row>
    <x:row r="142">
      <x:c r="A142" s="49" t="str">
        <x:v>W-FORGE</x:v>
      </x:c>
      <x:c r="B142" s="49" t="str">
        <x:v>T-TONGS</x:v>
      </x:c>
      <x:c r="C142" s="49" t="str">
        <x:v>Workspace</x:v>
      </x:c>
      <x:c r="D142" s="49" t="str">
        <x:v>Yes</x:v>
      </x:c>
      <x:c r="E142" s="49" t="str"/>
      <x:c r="F142" s="49" t="str">
        <x:v>Required for canonical route</x:v>
      </x:c>
      <x:c r="G142" s="49" t="n">
        <x:f>COUNTIF('Craft Nodes'!$A$5:$A$250,A142)</x:f>
        <x:v>1</x:v>
      </x:c>
      <x:c r="H142" s="49" t="n">
        <x:f>COUNTIF('Craft Nodes'!$A$5:$A$250,B142)</x:f>
        <x:v>1</x:v>
      </x:c>
      <x:c r="I142" s="49" t="str">
        <x:f>IF(AND(G142=1,H142=1),"OK",IF(G142=0,"MISSING FROM","MISSING TO"))</x:f>
        <x:v>OK</x:v>
      </x:c>
    </x:row>
    <x:row r="143">
      <x:c r="A143" s="49" t="str">
        <x:v>T-HAMMER</x:v>
      </x:c>
      <x:c r="B143" s="49" t="str">
        <x:v>T-TONGS</x:v>
      </x:c>
      <x:c r="C143" s="49" t="str">
        <x:v>Tool</x:v>
      </x:c>
      <x:c r="D143" s="49" t="str">
        <x:v>Yes</x:v>
      </x:c>
      <x:c r="E143" s="49" t="str"/>
      <x:c r="F143" s="49" t="str">
        <x:v>Declared embodied tool use</x:v>
      </x:c>
      <x:c r="G143" s="49" t="n">
        <x:f>COUNTIF('Craft Nodes'!$A$5:$A$250,A143)</x:f>
        <x:v>1</x:v>
      </x:c>
      <x:c r="H143" s="49" t="n">
        <x:f>COUNTIF('Craft Nodes'!$A$5:$A$250,B143)</x:f>
        <x:v>1</x:v>
      </x:c>
      <x:c r="I143" s="49" t="str">
        <x:f>IF(AND(G143=1,H143=1),"OK",IF(G143=0,"MISSING FROM","MISSING TO"))</x:f>
        <x:v>OK</x:v>
      </x:c>
    </x:row>
    <x:row r="144">
      <x:c r="A144" s="49" t="str">
        <x:v>P-PLANK</x:v>
      </x:c>
      <x:c r="B144" s="49" t="str">
        <x:v>T-CLAMP</x:v>
      </x:c>
      <x:c r="C144" s="49" t="str">
        <x:v>Prerequisite</x:v>
      </x:c>
      <x:c r="D144" s="49" t="str">
        <x:v>Yes</x:v>
      </x:c>
      <x:c r="E144" s="49" t="str"/>
      <x:c r="F144" s="49" t="str">
        <x:v>Required for canonical route</x:v>
      </x:c>
      <x:c r="G144" s="49" t="n">
        <x:f>COUNTIF('Craft Nodes'!$A$5:$A$250,A144)</x:f>
        <x:v>1</x:v>
      </x:c>
      <x:c r="H144" s="49" t="n">
        <x:f>COUNTIF('Craft Nodes'!$A$5:$A$250,B144)</x:f>
        <x:v>1</x:v>
      </x:c>
      <x:c r="I144" s="49" t="str">
        <x:f>IF(AND(G144=1,H144=1),"OK",IF(G144=0,"MISSING FROM","MISSING TO"))</x:f>
        <x:v>OK</x:v>
      </x:c>
    </x:row>
    <x:row r="145">
      <x:c r="A145" s="49" t="str">
        <x:v>P-PEG</x:v>
      </x:c>
      <x:c r="B145" s="49" t="str">
        <x:v>T-CLAMP</x:v>
      </x:c>
      <x:c r="C145" s="49" t="str">
        <x:v>Prerequisite</x:v>
      </x:c>
      <x:c r="D145" s="49" t="str">
        <x:v>Yes</x:v>
      </x:c>
      <x:c r="E145" s="49" t="str"/>
      <x:c r="F145" s="49" t="str">
        <x:v>Required for canonical route</x:v>
      </x:c>
      <x:c r="G145" s="49" t="n">
        <x:f>COUNTIF('Craft Nodes'!$A$5:$A$250,A145)</x:f>
        <x:v>1</x:v>
      </x:c>
      <x:c r="H145" s="49" t="n">
        <x:f>COUNTIF('Craft Nodes'!$A$5:$A$250,B145)</x:f>
        <x:v>1</x:v>
      </x:c>
      <x:c r="I145" s="49" t="str">
        <x:f>IF(AND(G145=1,H145=1),"OK",IF(G145=0,"MISSING FROM","MISSING TO"))</x:f>
        <x:v>OK</x:v>
      </x:c>
    </x:row>
    <x:row r="146">
      <x:c r="A146" s="49" t="str">
        <x:v>S-FASTENER</x:v>
      </x:c>
      <x:c r="B146" s="49" t="str">
        <x:v>T-CLAMP</x:v>
      </x:c>
      <x:c r="C146" s="49" t="str">
        <x:v>Prerequisite</x:v>
      </x:c>
      <x:c r="D146" s="49" t="str">
        <x:v>Yes</x:v>
      </x:c>
      <x:c r="E146" s="49" t="str"/>
      <x:c r="F146" s="49" t="str">
        <x:v>Required for canonical route</x:v>
      </x:c>
      <x:c r="G146" s="49" t="n">
        <x:f>COUNTIF('Craft Nodes'!$A$5:$A$250,A146)</x:f>
        <x:v>1</x:v>
      </x:c>
      <x:c r="H146" s="49" t="n">
        <x:f>COUNTIF('Craft Nodes'!$A$5:$A$250,B146)</x:f>
        <x:v>1</x:v>
      </x:c>
      <x:c r="I146" s="49" t="str">
        <x:f>IF(AND(G146=1,H146=1),"OK",IF(G146=0,"MISSING FROM","MISSING TO"))</x:f>
        <x:v>OK</x:v>
      </x:c>
    </x:row>
    <x:row r="147">
      <x:c r="A147" s="49" t="str">
        <x:v>T-DRILL</x:v>
      </x:c>
      <x:c r="B147" s="49" t="str">
        <x:v>T-CLAMP</x:v>
      </x:c>
      <x:c r="C147" s="49" t="str">
        <x:v>Tool</x:v>
      </x:c>
      <x:c r="D147" s="49" t="str">
        <x:v>Yes</x:v>
      </x:c>
      <x:c r="E147" s="49" t="str"/>
      <x:c r="F147" s="49" t="str">
        <x:v>Declared embodied tool use</x:v>
      </x:c>
      <x:c r="G147" s="49" t="n">
        <x:f>COUNTIF('Craft Nodes'!$A$5:$A$250,A147)</x:f>
        <x:v>1</x:v>
      </x:c>
      <x:c r="H147" s="49" t="n">
        <x:f>COUNTIF('Craft Nodes'!$A$5:$A$250,B147)</x:f>
        <x:v>1</x:v>
      </x:c>
      <x:c r="I147" s="49" t="str">
        <x:f>IF(AND(G147=1,H147=1),"OK",IF(G147=0,"MISSING FROM","MISSING TO"))</x:f>
        <x:v>OK</x:v>
      </x:c>
    </x:row>
    <x:row r="148">
      <x:c r="A148" s="49" t="str">
        <x:v>W-BENCH</x:v>
      </x:c>
      <x:c r="B148" s="49" t="str">
        <x:v>T-CLAMP</x:v>
      </x:c>
      <x:c r="C148" s="49" t="str">
        <x:v>Workspace</x:v>
      </x:c>
      <x:c r="D148" s="49" t="str">
        <x:v>Yes</x:v>
      </x:c>
      <x:c r="E148" s="49" t="str"/>
      <x:c r="F148" s="49" t="str">
        <x:v>Declared worksite dependency</x:v>
      </x:c>
      <x:c r="G148" s="49" t="n">
        <x:f>COUNTIF('Craft Nodes'!$A$5:$A$250,A148)</x:f>
        <x:v>1</x:v>
      </x:c>
      <x:c r="H148" s="49" t="n">
        <x:f>COUNTIF('Craft Nodes'!$A$5:$A$250,B148)</x:f>
        <x:v>1</x:v>
      </x:c>
      <x:c r="I148" s="49" t="str">
        <x:f>IF(AND(G148=1,H148=1),"OK",IF(G148=0,"MISSING FROM","MISSING TO"))</x:f>
        <x:v>OK</x:v>
      </x:c>
    </x:row>
    <x:row r="149">
      <x:c r="A149" s="49" t="str">
        <x:v>P-STRAIGHT-POLE</x:v>
      </x:c>
      <x:c r="B149" s="49" t="str">
        <x:v>T-DIG</x:v>
      </x:c>
      <x:c r="C149" s="49" t="str">
        <x:v>Prerequisite</x:v>
      </x:c>
      <x:c r="D149" s="49" t="str">
        <x:v>Yes</x:v>
      </x:c>
      <x:c r="E149" s="49" t="str"/>
      <x:c r="F149" s="49" t="str">
        <x:v>Required for canonical route</x:v>
      </x:c>
      <x:c r="G149" s="49" t="n">
        <x:f>COUNTIF('Craft Nodes'!$A$5:$A$250,A149)</x:f>
        <x:v>1</x:v>
      </x:c>
      <x:c r="H149" s="49" t="n">
        <x:f>COUNTIF('Craft Nodes'!$A$5:$A$250,B149)</x:f>
        <x:v>1</x:v>
      </x:c>
      <x:c r="I149" s="49" t="str">
        <x:f>IF(AND(G149=1,H149=1),"OK",IF(G149=0,"MISSING FROM","MISSING TO"))</x:f>
        <x:v>OK</x:v>
      </x:c>
    </x:row>
    <x:row r="150">
      <x:c r="A150" s="49" t="str">
        <x:v>P-SHARP-EDGE</x:v>
      </x:c>
      <x:c r="B150" s="49" t="str">
        <x:v>T-DIG</x:v>
      </x:c>
      <x:c r="C150" s="49" t="str">
        <x:v>Prerequisite</x:v>
      </x:c>
      <x:c r="D150" s="49" t="str">
        <x:v>Yes</x:v>
      </x:c>
      <x:c r="E150" s="49" t="str"/>
      <x:c r="F150" s="49" t="str">
        <x:v>Required for canonical route</x:v>
      </x:c>
      <x:c r="G150" s="49" t="n">
        <x:f>COUNTIF('Craft Nodes'!$A$5:$A$250,A150)</x:f>
        <x:v>1</x:v>
      </x:c>
      <x:c r="H150" s="49" t="n">
        <x:f>COUNTIF('Craft Nodes'!$A$5:$A$250,B150)</x:f>
        <x:v>1</x:v>
      </x:c>
      <x:c r="I150" s="49" t="str">
        <x:f>IF(AND(G150=1,H150=1),"OK",IF(G150=0,"MISSING FROM","MISSING TO"))</x:f>
        <x:v>OK</x:v>
      </x:c>
    </x:row>
    <x:row r="151">
      <x:c r="A151" s="49" t="str">
        <x:v>T-STONE-KNIFE</x:v>
      </x:c>
      <x:c r="B151" s="49" t="str">
        <x:v>T-DIG</x:v>
      </x:c>
      <x:c r="C151" s="49" t="str">
        <x:v>Tool</x:v>
      </x:c>
      <x:c r="D151" s="49" t="str">
        <x:v>Yes</x:v>
      </x:c>
      <x:c r="E151" s="49" t="str"/>
      <x:c r="F151" s="49" t="str">
        <x:v>Declared embodied tool use</x:v>
      </x:c>
      <x:c r="G151" s="49" t="n">
        <x:f>COUNTIF('Craft Nodes'!$A$5:$A$250,A151)</x:f>
        <x:v>1</x:v>
      </x:c>
      <x:c r="H151" s="49" t="n">
        <x:f>COUNTIF('Craft Nodes'!$A$5:$A$250,B151)</x:f>
        <x:v>1</x:v>
      </x:c>
      <x:c r="I151" s="49" t="str">
        <x:f>IF(AND(G151=1,H151=1),"OK",IF(G151=0,"MISSING FROM","MISSING TO"))</x:f>
        <x:v>OK</x:v>
      </x:c>
    </x:row>
    <x:row r="152">
      <x:c r="A152" s="49" t="str">
        <x:v>W-WORKMAT</x:v>
      </x:c>
      <x:c r="B152" s="49" t="str">
        <x:v>T-DIG</x:v>
      </x:c>
      <x:c r="C152" s="49" t="str">
        <x:v>Workspace</x:v>
      </x:c>
      <x:c r="D152" s="49" t="str">
        <x:v>Yes</x:v>
      </x:c>
      <x:c r="E152" s="49" t="str"/>
      <x:c r="F152" s="49" t="str">
        <x:v>Declared worksite dependency</x:v>
      </x:c>
      <x:c r="G152" s="49" t="n">
        <x:f>COUNTIF('Craft Nodes'!$A$5:$A$250,A152)</x:f>
        <x:v>1</x:v>
      </x:c>
      <x:c r="H152" s="49" t="n">
        <x:f>COUNTIF('Craft Nodes'!$A$5:$A$250,B152)</x:f>
        <x:v>1</x:v>
      </x:c>
      <x:c r="I152" s="49" t="str">
        <x:f>IF(AND(G152=1,H152=1),"OK",IF(G152=0,"MISSING FROM","MISSING TO"))</x:f>
        <x:v>OK</x:v>
      </x:c>
    </x:row>
    <x:row r="153">
      <x:c r="A153" s="49" t="str">
        <x:v>P-METAL-STOCK</x:v>
      </x:c>
      <x:c r="B153" s="49" t="str">
        <x:v>T-SHOVEL</x:v>
      </x:c>
      <x:c r="C153" s="49" t="str">
        <x:v>Prerequisite</x:v>
      </x:c>
      <x:c r="D153" s="49" t="str">
        <x:v>Yes</x:v>
      </x:c>
      <x:c r="E153" s="49" t="str"/>
      <x:c r="F153" s="49" t="str">
        <x:v>Required for canonical route</x:v>
      </x:c>
      <x:c r="G153" s="49" t="n">
        <x:f>COUNTIF('Craft Nodes'!$A$5:$A$250,A153)</x:f>
        <x:v>1</x:v>
      </x:c>
      <x:c r="H153" s="49" t="n">
        <x:f>COUNTIF('Craft Nodes'!$A$5:$A$250,B153)</x:f>
        <x:v>1</x:v>
      </x:c>
      <x:c r="I153" s="49" t="str">
        <x:f>IF(AND(G153=1,H153=1),"OK",IF(G153=0,"MISSING FROM","MISSING TO"))</x:f>
        <x:v>OK</x:v>
      </x:c>
    </x:row>
    <x:row r="154">
      <x:c r="A154" s="49" t="str">
        <x:v>P-STRAIGHT-POLE</x:v>
      </x:c>
      <x:c r="B154" s="49" t="str">
        <x:v>T-SHOVEL</x:v>
      </x:c>
      <x:c r="C154" s="49" t="str">
        <x:v>Prerequisite</x:v>
      </x:c>
      <x:c r="D154" s="49" t="str">
        <x:v>Yes</x:v>
      </x:c>
      <x:c r="E154" s="49" t="str"/>
      <x:c r="F154" s="49" t="str">
        <x:v>Required for canonical route</x:v>
      </x:c>
      <x:c r="G154" s="49" t="n">
        <x:f>COUNTIF('Craft Nodes'!$A$5:$A$250,A154)</x:f>
        <x:v>1</x:v>
      </x:c>
      <x:c r="H154" s="49" t="n">
        <x:f>COUNTIF('Craft Nodes'!$A$5:$A$250,B154)</x:f>
        <x:v>1</x:v>
      </x:c>
      <x:c r="I154" s="49" t="str">
        <x:f>IF(AND(G154=1,H154=1),"OK",IF(G154=0,"MISSING FROM","MISSING TO"))</x:f>
        <x:v>OK</x:v>
      </x:c>
    </x:row>
    <x:row r="155">
      <x:c r="A155" s="49" t="str">
        <x:v>S-FASTENER</x:v>
      </x:c>
      <x:c r="B155" s="49" t="str">
        <x:v>T-SHOVEL</x:v>
      </x:c>
      <x:c r="C155" s="49" t="str">
        <x:v>Prerequisite</x:v>
      </x:c>
      <x:c r="D155" s="49" t="str">
        <x:v>Yes</x:v>
      </x:c>
      <x:c r="E155" s="49" t="str"/>
      <x:c r="F155" s="49" t="str">
        <x:v>Required for canonical route</x:v>
      </x:c>
      <x:c r="G155" s="49" t="n">
        <x:f>COUNTIF('Craft Nodes'!$A$5:$A$250,A155)</x:f>
        <x:v>1</x:v>
      </x:c>
      <x:c r="H155" s="49" t="n">
        <x:f>COUNTIF('Craft Nodes'!$A$5:$A$250,B155)</x:f>
        <x:v>1</x:v>
      </x:c>
      <x:c r="I155" s="49" t="str">
        <x:f>IF(AND(G155=1,H155=1),"OK",IF(G155=0,"MISSING FROM","MISSING TO"))</x:f>
        <x:v>OK</x:v>
      </x:c>
    </x:row>
    <x:row r="156">
      <x:c r="A156" s="49" t="str">
        <x:v>T-HAMMER</x:v>
      </x:c>
      <x:c r="B156" s="49" t="str">
        <x:v>T-SHOVEL</x:v>
      </x:c>
      <x:c r="C156" s="49" t="str">
        <x:v>Tool</x:v>
      </x:c>
      <x:c r="D156" s="49" t="str">
        <x:v>Yes</x:v>
      </x:c>
      <x:c r="E156" s="49" t="str"/>
      <x:c r="F156" s="49" t="str">
        <x:v>Declared embodied tool use</x:v>
      </x:c>
      <x:c r="G156" s="49" t="n">
        <x:f>COUNTIF('Craft Nodes'!$A$5:$A$250,A156)</x:f>
        <x:v>1</x:v>
      </x:c>
      <x:c r="H156" s="49" t="n">
        <x:f>COUNTIF('Craft Nodes'!$A$5:$A$250,B156)</x:f>
        <x:v>1</x:v>
      </x:c>
      <x:c r="I156" s="49" t="str">
        <x:f>IF(AND(G156=1,H156=1),"OK",IF(G156=0,"MISSING FROM","MISSING TO"))</x:f>
        <x:v>OK</x:v>
      </x:c>
    </x:row>
    <x:row r="157">
      <x:c r="A157" s="49" t="str">
        <x:v>W-BENCH</x:v>
      </x:c>
      <x:c r="B157" s="49" t="str">
        <x:v>T-SHOVEL</x:v>
      </x:c>
      <x:c r="C157" s="49" t="str">
        <x:v>Workspace</x:v>
      </x:c>
      <x:c r="D157" s="49" t="str">
        <x:v>Yes</x:v>
      </x:c>
      <x:c r="E157" s="49" t="str"/>
      <x:c r="F157" s="49" t="str">
        <x:v>Declared worksite dependency</x:v>
      </x:c>
      <x:c r="G157" s="49" t="n">
        <x:f>COUNTIF('Craft Nodes'!$A$5:$A$250,A157)</x:f>
        <x:v>1</x:v>
      </x:c>
      <x:c r="H157" s="49" t="n">
        <x:f>COUNTIF('Craft Nodes'!$A$5:$A$250,B157)</x:f>
        <x:v>1</x:v>
      </x:c>
      <x:c r="I157" s="49" t="str">
        <x:f>IF(AND(G157=1,H157=1),"OK",IF(G157=0,"MISSING FROM","MISSING TO"))</x:f>
        <x:v>OK</x:v>
      </x:c>
    </x:row>
    <x:row r="158">
      <x:c r="A158" s="49" t="str">
        <x:v>S-BONE</x:v>
      </x:c>
      <x:c r="B158" s="49" t="str">
        <x:v>T-NEEDLE</x:v>
      </x:c>
      <x:c r="C158" s="49" t="str">
        <x:v>Prerequisite</x:v>
      </x:c>
      <x:c r="D158" s="49" t="str">
        <x:v>Yes</x:v>
      </x:c>
      <x:c r="E158" s="49" t="str"/>
      <x:c r="F158" s="49" t="str">
        <x:v>Required for canonical route</x:v>
      </x:c>
      <x:c r="G158" s="49" t="n">
        <x:f>COUNTIF('Craft Nodes'!$A$5:$A$250,A158)</x:f>
        <x:v>1</x:v>
      </x:c>
      <x:c r="H158" s="49" t="n">
        <x:f>COUNTIF('Craft Nodes'!$A$5:$A$250,B158)</x:f>
        <x:v>1</x:v>
      </x:c>
      <x:c r="I158" s="49" t="str">
        <x:f>IF(AND(G158=1,H158=1),"OK",IF(G158=0,"MISSING FROM","MISSING TO"))</x:f>
        <x:v>OK</x:v>
      </x:c>
    </x:row>
    <x:row r="159">
      <x:c r="A159" s="49" t="str">
        <x:v>T-AWL</x:v>
      </x:c>
      <x:c r="B159" s="49" t="str">
        <x:v>T-NEEDLE</x:v>
      </x:c>
      <x:c r="C159" s="49" t="str">
        <x:v>Tool</x:v>
      </x:c>
      <x:c r="D159" s="49" t="str">
        <x:v>Yes</x:v>
      </x:c>
      <x:c r="E159" s="49" t="str"/>
      <x:c r="F159" s="49" t="str">
        <x:v>Required for canonical route</x:v>
      </x:c>
      <x:c r="G159" s="49" t="n">
        <x:f>COUNTIF('Craft Nodes'!$A$5:$A$250,A159)</x:f>
        <x:v>1</x:v>
      </x:c>
      <x:c r="H159" s="49" t="n">
        <x:f>COUNTIF('Craft Nodes'!$A$5:$A$250,B159)</x:f>
        <x:v>1</x:v>
      </x:c>
      <x:c r="I159" s="49" t="str">
        <x:f>IF(AND(G159=1,H159=1),"OK",IF(G159=0,"MISSING FROM","MISSING TO"))</x:f>
        <x:v>OK</x:v>
      </x:c>
    </x:row>
    <x:row r="160">
      <x:c r="A160" s="49" t="str">
        <x:v>T-STONE-KNIFE</x:v>
      </x:c>
      <x:c r="B160" s="49" t="str">
        <x:v>T-NEEDLE</x:v>
      </x:c>
      <x:c r="C160" s="49" t="str">
        <x:v>Tool</x:v>
      </x:c>
      <x:c r="D160" s="49" t="str">
        <x:v>Yes</x:v>
      </x:c>
      <x:c r="E160" s="49" t="str"/>
      <x:c r="F160" s="49" t="str">
        <x:v>Declared embodied tool use</x:v>
      </x:c>
      <x:c r="G160" s="49" t="n">
        <x:f>COUNTIF('Craft Nodes'!$A$5:$A$250,A160)</x:f>
        <x:v>1</x:v>
      </x:c>
      <x:c r="H160" s="49" t="n">
        <x:f>COUNTIF('Craft Nodes'!$A$5:$A$250,B160)</x:f>
        <x:v>1</x:v>
      </x:c>
      <x:c r="I160" s="49" t="str">
        <x:f>IF(AND(G160=1,H160=1),"OK",IF(G160=0,"MISSING FROM","MISSING TO"))</x:f>
        <x:v>OK</x:v>
      </x:c>
    </x:row>
    <x:row r="161">
      <x:c r="A161" s="49" t="str">
        <x:v>W-WORKMAT</x:v>
      </x:c>
      <x:c r="B161" s="49" t="str">
        <x:v>T-NEEDLE</x:v>
      </x:c>
      <x:c r="C161" s="49" t="str">
        <x:v>Workspace</x:v>
      </x:c>
      <x:c r="D161" s="49" t="str">
        <x:v>Yes</x:v>
      </x:c>
      <x:c r="E161" s="49" t="str"/>
      <x:c r="F161" s="49" t="str">
        <x:v>Declared worksite dependency</x:v>
      </x:c>
      <x:c r="G161" s="49" t="n">
        <x:f>COUNTIF('Craft Nodes'!$A$5:$A$250,A161)</x:f>
        <x:v>1</x:v>
      </x:c>
      <x:c r="H161" s="49" t="n">
        <x:f>COUNTIF('Craft Nodes'!$A$5:$A$250,B161)</x:f>
        <x:v>1</x:v>
      </x:c>
      <x:c r="I161" s="49" t="str">
        <x:f>IF(AND(G161=1,H161=1),"OK",IF(G161=0,"MISSING FROM","MISSING TO"))</x:f>
        <x:v>OK</x:v>
      </x:c>
    </x:row>
    <x:row r="162">
      <x:c r="A162" s="49" t="str">
        <x:v>P-METAL-STOCK</x:v>
      </x:c>
      <x:c r="B162" s="49" t="str">
        <x:v>T-SNIPS</x:v>
      </x:c>
      <x:c r="C162" s="49" t="str">
        <x:v>Prerequisite</x:v>
      </x:c>
      <x:c r="D162" s="49" t="str">
        <x:v>Yes</x:v>
      </x:c>
      <x:c r="E162" s="49" t="str"/>
      <x:c r="F162" s="49" t="str">
        <x:v>Required for canonical route</x:v>
      </x:c>
      <x:c r="G162" s="49" t="n">
        <x:f>COUNTIF('Craft Nodes'!$A$5:$A$250,A162)</x:f>
        <x:v>1</x:v>
      </x:c>
      <x:c r="H162" s="49" t="n">
        <x:f>COUNTIF('Craft Nodes'!$A$5:$A$250,B162)</x:f>
        <x:v>1</x:v>
      </x:c>
      <x:c r="I162" s="49" t="str">
        <x:f>IF(AND(G162=1,H162=1),"OK",IF(G162=0,"MISSING FROM","MISSING TO"))</x:f>
        <x:v>OK</x:v>
      </x:c>
    </x:row>
    <x:row r="163">
      <x:c r="A163" s="49" t="str">
        <x:v>W-FORGE</x:v>
      </x:c>
      <x:c r="B163" s="49" t="str">
        <x:v>T-SNIPS</x:v>
      </x:c>
      <x:c r="C163" s="49" t="str">
        <x:v>Workspace</x:v>
      </x:c>
      <x:c r="D163" s="49" t="str">
        <x:v>Yes</x:v>
      </x:c>
      <x:c r="E163" s="49" t="str"/>
      <x:c r="F163" s="49" t="str">
        <x:v>Required for canonical route</x:v>
      </x:c>
      <x:c r="G163" s="49" t="n">
        <x:f>COUNTIF('Craft Nodes'!$A$5:$A$250,A163)</x:f>
        <x:v>1</x:v>
      </x:c>
      <x:c r="H163" s="49" t="n">
        <x:f>COUNTIF('Craft Nodes'!$A$5:$A$250,B163)</x:f>
        <x:v>1</x:v>
      </x:c>
      <x:c r="I163" s="49" t="str">
        <x:f>IF(AND(G163=1,H163=1),"OK",IF(G163=0,"MISSING FROM","MISSING TO"))</x:f>
        <x:v>OK</x:v>
      </x:c>
    </x:row>
    <x:row r="164">
      <x:c r="A164" s="49" t="str">
        <x:v>T-HAMMER</x:v>
      </x:c>
      <x:c r="B164" s="49" t="str">
        <x:v>T-SNIPS</x:v>
      </x:c>
      <x:c r="C164" s="49" t="str">
        <x:v>Tool</x:v>
      </x:c>
      <x:c r="D164" s="49" t="str">
        <x:v>Yes</x:v>
      </x:c>
      <x:c r="E164" s="49" t="str"/>
      <x:c r="F164" s="49" t="str">
        <x:v>Declared embodied tool use</x:v>
      </x:c>
      <x:c r="G164" s="49" t="n">
        <x:f>COUNTIF('Craft Nodes'!$A$5:$A$250,A164)</x:f>
        <x:v>1</x:v>
      </x:c>
      <x:c r="H164" s="49" t="n">
        <x:f>COUNTIF('Craft Nodes'!$A$5:$A$250,B164)</x:f>
        <x:v>1</x:v>
      </x:c>
      <x:c r="I164" s="49" t="str">
        <x:f>IF(AND(G164=1,H164=1),"OK",IF(G164=0,"MISSING FROM","MISSING TO"))</x:f>
        <x:v>OK</x:v>
      </x:c>
    </x:row>
    <x:row r="165">
      <x:c r="A165" s="49" t="str">
        <x:v>P-METAL-STOCK</x:v>
      </x:c>
      <x:c r="B165" s="49" t="str">
        <x:v>T-PUNCH</x:v>
      </x:c>
      <x:c r="C165" s="49" t="str">
        <x:v>Prerequisite</x:v>
      </x:c>
      <x:c r="D165" s="49" t="str">
        <x:v>Yes</x:v>
      </x:c>
      <x:c r="E165" s="49" t="str"/>
      <x:c r="F165" s="49" t="str">
        <x:v>Required for canonical route</x:v>
      </x:c>
      <x:c r="G165" s="49" t="n">
        <x:f>COUNTIF('Craft Nodes'!$A$5:$A$250,A165)</x:f>
        <x:v>1</x:v>
      </x:c>
      <x:c r="H165" s="49" t="n">
        <x:f>COUNTIF('Craft Nodes'!$A$5:$A$250,B165)</x:f>
        <x:v>1</x:v>
      </x:c>
      <x:c r="I165" s="49" t="str">
        <x:f>IF(AND(G165=1,H165=1),"OK",IF(G165=0,"MISSING FROM","MISSING TO"))</x:f>
        <x:v>OK</x:v>
      </x:c>
    </x:row>
    <x:row r="166">
      <x:c r="A166" s="49" t="str">
        <x:v>W-FORGE</x:v>
      </x:c>
      <x:c r="B166" s="49" t="str">
        <x:v>T-PUNCH</x:v>
      </x:c>
      <x:c r="C166" s="49" t="str">
        <x:v>Workspace</x:v>
      </x:c>
      <x:c r="D166" s="49" t="str">
        <x:v>Yes</x:v>
      </x:c>
      <x:c r="E166" s="49" t="str"/>
      <x:c r="F166" s="49" t="str">
        <x:v>Required for canonical route</x:v>
      </x:c>
      <x:c r="G166" s="49" t="n">
        <x:f>COUNTIF('Craft Nodes'!$A$5:$A$250,A166)</x:f>
        <x:v>1</x:v>
      </x:c>
      <x:c r="H166" s="49" t="n">
        <x:f>COUNTIF('Craft Nodes'!$A$5:$A$250,B166)</x:f>
        <x:v>1</x:v>
      </x:c>
      <x:c r="I166" s="49" t="str">
        <x:f>IF(AND(G166=1,H166=1),"OK",IF(G166=0,"MISSING FROM","MISSING TO"))</x:f>
        <x:v>OK</x:v>
      </x:c>
    </x:row>
    <x:row r="167">
      <x:c r="A167" s="49" t="str">
        <x:v>T-HAMMER</x:v>
      </x:c>
      <x:c r="B167" s="49" t="str">
        <x:v>T-PUNCH</x:v>
      </x:c>
      <x:c r="C167" s="49" t="str">
        <x:v>Tool</x:v>
      </x:c>
      <x:c r="D167" s="49" t="str">
        <x:v>Yes</x:v>
      </x:c>
      <x:c r="E167" s="49" t="str"/>
      <x:c r="F167" s="49" t="str">
        <x:v>Declared embodied tool use</x:v>
      </x:c>
      <x:c r="G167" s="49" t="n">
        <x:f>COUNTIF('Craft Nodes'!$A$5:$A$250,A167)</x:f>
        <x:v>1</x:v>
      </x:c>
      <x:c r="H167" s="49" t="n">
        <x:f>COUNTIF('Craft Nodes'!$A$5:$A$250,B167)</x:f>
        <x:v>1</x:v>
      </x:c>
      <x:c r="I167" s="49" t="str">
        <x:f>IF(AND(G167=1,H167=1),"OK",IF(G167=0,"MISSING FROM","MISSING TO"))</x:f>
        <x:v>OK</x:v>
      </x:c>
    </x:row>
    <x:row r="168">
      <x:c r="A168" s="49" t="str">
        <x:v>S-BATTERY</x:v>
      </x:c>
      <x:c r="B168" s="49" t="str">
        <x:v>T-METER</x:v>
      </x:c>
      <x:c r="C168" s="49" t="str">
        <x:v>Prerequisite</x:v>
      </x:c>
      <x:c r="D168" s="49" t="str">
        <x:v>Yes</x:v>
      </x:c>
      <x:c r="E168" s="49" t="str"/>
      <x:c r="F168" s="49" t="str">
        <x:v>Required for canonical route</x:v>
      </x:c>
      <x:c r="G168" s="49" t="n">
        <x:f>COUNTIF('Craft Nodes'!$A$5:$A$250,A168)</x:f>
        <x:v>1</x:v>
      </x:c>
      <x:c r="H168" s="49" t="n">
        <x:f>COUNTIF('Craft Nodes'!$A$5:$A$250,B168)</x:f>
        <x:v>1</x:v>
      </x:c>
      <x:c r="I168" s="49" t="str">
        <x:f>IF(AND(G168=1,H168=1),"OK",IF(G168=0,"MISSING FROM","MISSING TO"))</x:f>
        <x:v>OK</x:v>
      </x:c>
    </x:row>
    <x:row r="169">
      <x:c r="A169" s="49" t="str">
        <x:v>S-WIRE</x:v>
      </x:c>
      <x:c r="B169" s="49" t="str">
        <x:v>T-METER</x:v>
      </x:c>
      <x:c r="C169" s="49" t="str">
        <x:v>Prerequisite</x:v>
      </x:c>
      <x:c r="D169" s="49" t="str">
        <x:v>Yes</x:v>
      </x:c>
      <x:c r="E169" s="49" t="str"/>
      <x:c r="F169" s="49" t="str">
        <x:v>Required for canonical route</x:v>
      </x:c>
      <x:c r="G169" s="49" t="n">
        <x:f>COUNTIF('Craft Nodes'!$A$5:$A$250,A169)</x:f>
        <x:v>1</x:v>
      </x:c>
      <x:c r="H169" s="49" t="n">
        <x:f>COUNTIF('Craft Nodes'!$A$5:$A$250,B169)</x:f>
        <x:v>1</x:v>
      </x:c>
      <x:c r="I169" s="49" t="str">
        <x:f>IF(AND(G169=1,H169=1),"OK",IF(G169=0,"MISSING FROM","MISSING TO"))</x:f>
        <x:v>OK</x:v>
      </x:c>
    </x:row>
    <x:row r="170">
      <x:c r="A170" s="49" t="str">
        <x:v>S-RADIO</x:v>
      </x:c>
      <x:c r="B170" s="49" t="str">
        <x:v>T-METER</x:v>
      </x:c>
      <x:c r="C170" s="49" t="str">
        <x:v>Prerequisite</x:v>
      </x:c>
      <x:c r="D170" s="49" t="str">
        <x:v>Yes</x:v>
      </x:c>
      <x:c r="E170" s="49" t="str"/>
      <x:c r="F170" s="49" t="str">
        <x:v>Required for canonical route</x:v>
      </x:c>
      <x:c r="G170" s="49" t="n">
        <x:f>COUNTIF('Craft Nodes'!$A$5:$A$250,A170)</x:f>
        <x:v>1</x:v>
      </x:c>
      <x:c r="H170" s="49" t="n">
        <x:f>COUNTIF('Craft Nodes'!$A$5:$A$250,B170)</x:f>
        <x:v>1</x:v>
      </x:c>
      <x:c r="I170" s="49" t="str">
        <x:f>IF(AND(G170=1,H170=1),"OK",IF(G170=0,"MISSING FROM","MISSING TO"))</x:f>
        <x:v>OK</x:v>
      </x:c>
    </x:row>
    <x:row r="171">
      <x:c r="A171" s="49" t="str">
        <x:v>W-ELECTRICAL</x:v>
      </x:c>
      <x:c r="B171" s="49" t="str">
        <x:v>T-METER</x:v>
      </x:c>
      <x:c r="C171" s="49" t="str">
        <x:v>Workspace</x:v>
      </x:c>
      <x:c r="D171" s="49" t="str">
        <x:v>Yes</x:v>
      </x:c>
      <x:c r="E171" s="49" t="str"/>
      <x:c r="F171" s="49" t="str">
        <x:v>Declared worksite dependency</x:v>
      </x:c>
      <x:c r="G171" s="49" t="n">
        <x:f>COUNTIF('Craft Nodes'!$A$5:$A$250,A171)</x:f>
        <x:v>1</x:v>
      </x:c>
      <x:c r="H171" s="49" t="n">
        <x:f>COUNTIF('Craft Nodes'!$A$5:$A$250,B171)</x:f>
        <x:v>1</x:v>
      </x:c>
      <x:c r="I171" s="49" t="str">
        <x:f>IF(AND(G171=1,H171=1),"OK",IF(G171=0,"MISSING FROM","MISSING TO"))</x:f>
        <x:v>OK</x:v>
      </x:c>
    </x:row>
    <x:row r="172">
      <x:c r="A172" s="49" t="str">
        <x:v>P-MAT</x:v>
      </x:c>
      <x:c r="B172" s="49" t="str">
        <x:v>W-WORKMAT</x:v>
      </x:c>
      <x:c r="C172" s="49" t="str">
        <x:v>Prerequisite</x:v>
      </x:c>
      <x:c r="D172" s="49" t="str">
        <x:v>Yes</x:v>
      </x:c>
      <x:c r="E172" s="49" t="str"/>
      <x:c r="F172" s="49" t="str">
        <x:v>Required for canonical route</x:v>
      </x:c>
      <x:c r="G172" s="49" t="n">
        <x:f>COUNTIF('Craft Nodes'!$A$5:$A$250,A172)</x:f>
        <x:v>1</x:v>
      </x:c>
      <x:c r="H172" s="49" t="n">
        <x:f>COUNTIF('Craft Nodes'!$A$5:$A$250,B172)</x:f>
        <x:v>1</x:v>
      </x:c>
      <x:c r="I172" s="49" t="str">
        <x:f>IF(AND(G172=1,H172=1),"OK",IF(G172=0,"MISSING FROM","MISSING TO"))</x:f>
        <x:v>OK</x:v>
      </x:c>
    </x:row>
    <x:row r="173">
      <x:c r="A173" s="49" t="str">
        <x:v>S-STONE</x:v>
      </x:c>
      <x:c r="B173" s="49" t="str">
        <x:v>W-HEARTH</x:v>
      </x:c>
      <x:c r="C173" s="49" t="str">
        <x:v>Prerequisite</x:v>
      </x:c>
      <x:c r="D173" s="49" t="str">
        <x:v>Yes</x:v>
      </x:c>
      <x:c r="E173" s="49" t="str"/>
      <x:c r="F173" s="49" t="str">
        <x:v>Required for canonical route</x:v>
      </x:c>
      <x:c r="G173" s="49" t="n">
        <x:f>COUNTIF('Craft Nodes'!$A$5:$A$250,A173)</x:f>
        <x:v>1</x:v>
      </x:c>
      <x:c r="H173" s="49" t="n">
        <x:f>COUNTIF('Craft Nodes'!$A$5:$A$250,B173)</x:f>
        <x:v>1</x:v>
      </x:c>
      <x:c r="I173" s="49" t="str">
        <x:f>IF(AND(G173=1,H173=1),"OK",IF(G173=0,"MISSING FROM","MISSING TO"))</x:f>
        <x:v>OK</x:v>
      </x:c>
    </x:row>
    <x:row r="174">
      <x:c r="A174" s="49" t="str">
        <x:v>S-WOODFUEL</x:v>
      </x:c>
      <x:c r="B174" s="49" t="str">
        <x:v>W-HEARTH</x:v>
      </x:c>
      <x:c r="C174" s="49" t="str">
        <x:v>Prerequisite</x:v>
      </x:c>
      <x:c r="D174" s="49" t="str">
        <x:v>Yes</x:v>
      </x:c>
      <x:c r="E174" s="49" t="str"/>
      <x:c r="F174" s="49" t="str">
        <x:v>Required for canonical route</x:v>
      </x:c>
      <x:c r="G174" s="49" t="n">
        <x:f>COUNTIF('Craft Nodes'!$A$5:$A$250,A174)</x:f>
        <x:v>1</x:v>
      </x:c>
      <x:c r="H174" s="49" t="n">
        <x:f>COUNTIF('Craft Nodes'!$A$5:$A$250,B174)</x:f>
        <x:v>1</x:v>
      </x:c>
      <x:c r="I174" s="49" t="str">
        <x:f>IF(AND(G174=1,H174=1),"OK",IF(G174=0,"MISSING FROM","MISSING TO"))</x:f>
        <x:v>OK</x:v>
      </x:c>
    </x:row>
    <x:row r="175">
      <x:c r="A175" s="49" t="str">
        <x:v>P-CORD</x:v>
      </x:c>
      <x:c r="B175" s="49" t="str">
        <x:v>W-HEARTH</x:v>
      </x:c>
      <x:c r="C175" s="49" t="str">
        <x:v>Prerequisite</x:v>
      </x:c>
      <x:c r="D175" s="49" t="str">
        <x:v>Yes</x:v>
      </x:c>
      <x:c r="E175" s="49" t="str"/>
      <x:c r="F175" s="49" t="str">
        <x:v>Required for canonical route</x:v>
      </x:c>
      <x:c r="G175" s="49" t="n">
        <x:f>COUNTIF('Craft Nodes'!$A$5:$A$250,A175)</x:f>
        <x:v>1</x:v>
      </x:c>
      <x:c r="H175" s="49" t="n">
        <x:f>COUNTIF('Craft Nodes'!$A$5:$A$250,B175)</x:f>
        <x:v>1</x:v>
      </x:c>
      <x:c r="I175" s="49" t="str">
        <x:f>IF(AND(G175=1,H175=1),"OK",IF(G175=0,"MISSING FROM","MISSING TO"))</x:f>
        <x:v>OK</x:v>
      </x:c>
    </x:row>
    <x:row r="176">
      <x:c r="A176" s="49" t="str">
        <x:v>T-DIG</x:v>
      </x:c>
      <x:c r="B176" s="49" t="str">
        <x:v>W-HEARTH</x:v>
      </x:c>
      <x:c r="C176" s="49" t="str">
        <x:v>Tool</x:v>
      </x:c>
      <x:c r="D176" s="49" t="str">
        <x:v>Yes</x:v>
      </x:c>
      <x:c r="E176" s="49" t="str"/>
      <x:c r="F176" s="49" t="str">
        <x:v>Declared embodied tool use</x:v>
      </x:c>
      <x:c r="G176" s="49" t="n">
        <x:f>COUNTIF('Craft Nodes'!$A$5:$A$250,A176)</x:f>
        <x:v>1</x:v>
      </x:c>
      <x:c r="H176" s="49" t="n">
        <x:f>COUNTIF('Craft Nodes'!$A$5:$A$250,B176)</x:f>
        <x:v>1</x:v>
      </x:c>
      <x:c r="I176" s="49" t="str">
        <x:f>IF(AND(G176=1,H176=1),"OK",IF(G176=0,"MISSING FROM","MISSING TO"))</x:f>
        <x:v>OK</x:v>
      </x:c>
    </x:row>
    <x:row r="177">
      <x:c r="A177" s="49" t="str">
        <x:v>P-PLANK</x:v>
      </x:c>
      <x:c r="B177" s="49" t="str">
        <x:v>W-BENCH</x:v>
      </x:c>
      <x:c r="C177" s="49" t="str">
        <x:v>Prerequisite</x:v>
      </x:c>
      <x:c r="D177" s="49" t="str">
        <x:v>Yes</x:v>
      </x:c>
      <x:c r="E177" s="49" t="str"/>
      <x:c r="F177" s="49" t="str">
        <x:v>Required for canonical route</x:v>
      </x:c>
      <x:c r="G177" s="49" t="n">
        <x:f>COUNTIF('Craft Nodes'!$A$5:$A$250,A177)</x:f>
        <x:v>1</x:v>
      </x:c>
      <x:c r="H177" s="49" t="n">
        <x:f>COUNTIF('Craft Nodes'!$A$5:$A$250,B177)</x:f>
        <x:v>1</x:v>
      </x:c>
      <x:c r="I177" s="49" t="str">
        <x:f>IF(AND(G177=1,H177=1),"OK",IF(G177=0,"MISSING FROM","MISSING TO"))</x:f>
        <x:v>OK</x:v>
      </x:c>
    </x:row>
    <x:row r="178">
      <x:c r="A178" s="49" t="str">
        <x:v>P-STRAIGHT-POLE</x:v>
      </x:c>
      <x:c r="B178" s="49" t="str">
        <x:v>W-BENCH</x:v>
      </x:c>
      <x:c r="C178" s="49" t="str">
        <x:v>Prerequisite</x:v>
      </x:c>
      <x:c r="D178" s="49" t="str">
        <x:v>Yes</x:v>
      </x:c>
      <x:c r="E178" s="49" t="str"/>
      <x:c r="F178" s="49" t="str">
        <x:v>Required for canonical route</x:v>
      </x:c>
      <x:c r="G178" s="49" t="n">
        <x:f>COUNTIF('Craft Nodes'!$A$5:$A$250,A178)</x:f>
        <x:v>1</x:v>
      </x:c>
      <x:c r="H178" s="49" t="n">
        <x:f>COUNTIF('Craft Nodes'!$A$5:$A$250,B178)</x:f>
        <x:v>1</x:v>
      </x:c>
      <x:c r="I178" s="49" t="str">
        <x:f>IF(AND(G178=1,H178=1),"OK",IF(G178=0,"MISSING FROM","MISSING TO"))</x:f>
        <x:v>OK</x:v>
      </x:c>
    </x:row>
    <x:row r="179">
      <x:c r="A179" s="49" t="str">
        <x:v>P-PEG</x:v>
      </x:c>
      <x:c r="B179" s="49" t="str">
        <x:v>W-BENCH</x:v>
      </x:c>
      <x:c r="C179" s="49" t="str">
        <x:v>Prerequisite</x:v>
      </x:c>
      <x:c r="D179" s="49" t="str">
        <x:v>Yes</x:v>
      </x:c>
      <x:c r="E179" s="49" t="str"/>
      <x:c r="F179" s="49" t="str">
        <x:v>Required for canonical route</x:v>
      </x:c>
      <x:c r="G179" s="49" t="n">
        <x:f>COUNTIF('Craft Nodes'!$A$5:$A$250,A179)</x:f>
        <x:v>1</x:v>
      </x:c>
      <x:c r="H179" s="49" t="n">
        <x:f>COUNTIF('Craft Nodes'!$A$5:$A$250,B179)</x:f>
        <x:v>1</x:v>
      </x:c>
      <x:c r="I179" s="49" t="str">
        <x:f>IF(AND(G179=1,H179=1),"OK",IF(G179=0,"MISSING FROM","MISSING TO"))</x:f>
        <x:v>OK</x:v>
      </x:c>
    </x:row>
    <x:row r="180">
      <x:c r="A180" s="49" t="str">
        <x:v>T-MEASURE</x:v>
      </x:c>
      <x:c r="B180" s="49" t="str">
        <x:v>W-BENCH</x:v>
      </x:c>
      <x:c r="C180" s="49" t="str">
        <x:v>Tool</x:v>
      </x:c>
      <x:c r="D180" s="49" t="str">
        <x:v>Yes</x:v>
      </x:c>
      <x:c r="E180" s="49" t="str"/>
      <x:c r="F180" s="49" t="str">
        <x:v>Required for canonical route</x:v>
      </x:c>
      <x:c r="G180" s="49" t="n">
        <x:f>COUNTIF('Craft Nodes'!$A$5:$A$250,A180)</x:f>
        <x:v>1</x:v>
      </x:c>
      <x:c r="H180" s="49" t="n">
        <x:f>COUNTIF('Craft Nodes'!$A$5:$A$250,B180)</x:f>
        <x:v>1</x:v>
      </x:c>
      <x:c r="I180" s="49" t="str">
        <x:f>IF(AND(G180=1,H180=1),"OK",IF(G180=0,"MISSING FROM","MISSING TO"))</x:f>
        <x:v>OK</x:v>
      </x:c>
    </x:row>
    <x:row r="181">
      <x:c r="A181" s="49" t="str">
        <x:v>T-AXE</x:v>
      </x:c>
      <x:c r="B181" s="49" t="str">
        <x:v>W-BENCH</x:v>
      </x:c>
      <x:c r="C181" s="49" t="str">
        <x:v>Tool</x:v>
      </x:c>
      <x:c r="D181" s="49" t="str">
        <x:v>Yes</x:v>
      </x:c>
      <x:c r="E181" s="49" t="str"/>
      <x:c r="F181" s="49" t="str">
        <x:v>Declared embodied tool use</x:v>
      </x:c>
      <x:c r="G181" s="49" t="n">
        <x:f>COUNTIF('Craft Nodes'!$A$5:$A$250,A181)</x:f>
        <x:v>1</x:v>
      </x:c>
      <x:c r="H181" s="49" t="n">
        <x:f>COUNTIF('Craft Nodes'!$A$5:$A$250,B181)</x:f>
        <x:v>1</x:v>
      </x:c>
      <x:c r="I181" s="49" t="str">
        <x:f>IF(AND(G181=1,H181=1),"OK",IF(G181=0,"MISSING FROM","MISSING TO"))</x:f>
        <x:v>OK</x:v>
      </x:c>
    </x:row>
    <x:row r="182">
      <x:c r="A182" s="49" t="str">
        <x:v>S-STONE</x:v>
      </x:c>
      <x:c r="B182" s="49" t="str">
        <x:v>W-CHARCOAL</x:v>
      </x:c>
      <x:c r="C182" s="49" t="str">
        <x:v>Prerequisite</x:v>
      </x:c>
      <x:c r="D182" s="49" t="str">
        <x:v>Yes</x:v>
      </x:c>
      <x:c r="E182" s="49" t="str"/>
      <x:c r="F182" s="49" t="str">
        <x:v>Required for canonical route</x:v>
      </x:c>
      <x:c r="G182" s="49" t="n">
        <x:f>COUNTIF('Craft Nodes'!$A$5:$A$250,A182)</x:f>
        <x:v>1</x:v>
      </x:c>
      <x:c r="H182" s="49" t="n">
        <x:f>COUNTIF('Craft Nodes'!$A$5:$A$250,B182)</x:f>
        <x:v>1</x:v>
      </x:c>
      <x:c r="I182" s="49" t="str">
        <x:f>IF(AND(G182=1,H182=1),"OK",IF(G182=0,"MISSING FROM","MISSING TO"))</x:f>
        <x:v>OK</x:v>
      </x:c>
    </x:row>
    <x:row r="183">
      <x:c r="A183" s="49" t="str">
        <x:v>P-CLAY-BODY</x:v>
      </x:c>
      <x:c r="B183" s="49" t="str">
        <x:v>W-CHARCOAL</x:v>
      </x:c>
      <x:c r="C183" s="49" t="str">
        <x:v>Prerequisite</x:v>
      </x:c>
      <x:c r="D183" s="49" t="str">
        <x:v>Yes</x:v>
      </x:c>
      <x:c r="E183" s="49" t="str"/>
      <x:c r="F183" s="49" t="str">
        <x:v>Required for canonical route</x:v>
      </x:c>
      <x:c r="G183" s="49" t="n">
        <x:f>COUNTIF('Craft Nodes'!$A$5:$A$250,A183)</x:f>
        <x:v>1</x:v>
      </x:c>
      <x:c r="H183" s="49" t="n">
        <x:f>COUNTIF('Craft Nodes'!$A$5:$A$250,B183)</x:f>
        <x:v>1</x:v>
      </x:c>
      <x:c r="I183" s="49" t="str">
        <x:f>IF(AND(G183=1,H183=1),"OK",IF(G183=0,"MISSING FROM","MISSING TO"))</x:f>
        <x:v>OK</x:v>
      </x:c>
    </x:row>
    <x:row r="184">
      <x:c r="A184" s="49" t="str">
        <x:v>S-WOODFUEL</x:v>
      </x:c>
      <x:c r="B184" s="49" t="str">
        <x:v>W-CHARCOAL</x:v>
      </x:c>
      <x:c r="C184" s="49" t="str">
        <x:v>Prerequisite</x:v>
      </x:c>
      <x:c r="D184" s="49" t="str">
        <x:v>Yes</x:v>
      </x:c>
      <x:c r="E184" s="49" t="str"/>
      <x:c r="F184" s="49" t="str">
        <x:v>Required for canonical route</x:v>
      </x:c>
      <x:c r="G184" s="49" t="n">
        <x:f>COUNTIF('Craft Nodes'!$A$5:$A$250,A184)</x:f>
        <x:v>1</x:v>
      </x:c>
      <x:c r="H184" s="49" t="n">
        <x:f>COUNTIF('Craft Nodes'!$A$5:$A$250,B184)</x:f>
        <x:v>1</x:v>
      </x:c>
      <x:c r="I184" s="49" t="str">
        <x:f>IF(AND(G184=1,H184=1),"OK",IF(G184=0,"MISSING FROM","MISSING TO"))</x:f>
        <x:v>OK</x:v>
      </x:c>
    </x:row>
    <x:row r="185">
      <x:c r="A185" s="49" t="str">
        <x:v>T-DIG</x:v>
      </x:c>
      <x:c r="B185" s="49" t="str">
        <x:v>W-CHARCOAL</x:v>
      </x:c>
      <x:c r="C185" s="49" t="str">
        <x:v>Tool</x:v>
      </x:c>
      <x:c r="D185" s="49" t="str">
        <x:v>Yes</x:v>
      </x:c>
      <x:c r="E185" s="49" t="str"/>
      <x:c r="F185" s="49" t="str">
        <x:v>Declared embodied tool use</x:v>
      </x:c>
      <x:c r="G185" s="49" t="n">
        <x:f>COUNTIF('Craft Nodes'!$A$5:$A$250,A185)</x:f>
        <x:v>1</x:v>
      </x:c>
      <x:c r="H185" s="49" t="n">
        <x:f>COUNTIF('Craft Nodes'!$A$5:$A$250,B185)</x:f>
        <x:v>1</x:v>
      </x:c>
      <x:c r="I185" s="49" t="str">
        <x:f>IF(AND(G185=1,H185=1),"OK",IF(G185=0,"MISSING FROM","MISSING TO"))</x:f>
        <x:v>OK</x:v>
      </x:c>
    </x:row>
    <x:row r="186">
      <x:c r="A186" s="49" t="str">
        <x:v>P-FIRED-CERAMIC</x:v>
      </x:c>
      <x:c r="B186" s="49" t="str">
        <x:v>W-KILN</x:v>
      </x:c>
      <x:c r="C186" s="49" t="str">
        <x:v>Prerequisite</x:v>
      </x:c>
      <x:c r="D186" s="49" t="str">
        <x:v>Yes</x:v>
      </x:c>
      <x:c r="E186" s="49" t="str"/>
      <x:c r="F186" s="49" t="str">
        <x:v>Required for canonical route</x:v>
      </x:c>
      <x:c r="G186" s="49" t="n">
        <x:f>COUNTIF('Craft Nodes'!$A$5:$A$250,A186)</x:f>
        <x:v>1</x:v>
      </x:c>
      <x:c r="H186" s="49" t="n">
        <x:f>COUNTIF('Craft Nodes'!$A$5:$A$250,B186)</x:f>
        <x:v>1</x:v>
      </x:c>
      <x:c r="I186" s="49" t="str">
        <x:f>IF(AND(G186=1,H186=1),"OK",IF(G186=0,"MISSING FROM","MISSING TO"))</x:f>
        <x:v>OK</x:v>
      </x:c>
    </x:row>
    <x:row r="187">
      <x:c r="A187" s="49" t="str">
        <x:v>S-STONE</x:v>
      </x:c>
      <x:c r="B187" s="49" t="str">
        <x:v>W-KILN</x:v>
      </x:c>
      <x:c r="C187" s="49" t="str">
        <x:v>Prerequisite</x:v>
      </x:c>
      <x:c r="D187" s="49" t="str">
        <x:v>Yes</x:v>
      </x:c>
      <x:c r="E187" s="49" t="str"/>
      <x:c r="F187" s="49" t="str">
        <x:v>Required for canonical route</x:v>
      </x:c>
      <x:c r="G187" s="49" t="n">
        <x:f>COUNTIF('Craft Nodes'!$A$5:$A$250,A187)</x:f>
        <x:v>1</x:v>
      </x:c>
      <x:c r="H187" s="49" t="n">
        <x:f>COUNTIF('Craft Nodes'!$A$5:$A$250,B187)</x:f>
        <x:v>1</x:v>
      </x:c>
      <x:c r="I187" s="49" t="str">
        <x:f>IF(AND(G187=1,H187=1),"OK",IF(G187=0,"MISSING FROM","MISSING TO"))</x:f>
        <x:v>OK</x:v>
      </x:c>
    </x:row>
    <x:row r="188">
      <x:c r="A188" s="49" t="str">
        <x:v>P-CHARCOAL</x:v>
      </x:c>
      <x:c r="B188" s="49" t="str">
        <x:v>W-KILN</x:v>
      </x:c>
      <x:c r="C188" s="49" t="str">
        <x:v>Prerequisite</x:v>
      </x:c>
      <x:c r="D188" s="49" t="str">
        <x:v>Yes</x:v>
      </x:c>
      <x:c r="E188" s="49" t="str"/>
      <x:c r="F188" s="49" t="str">
        <x:v>Required for canonical route</x:v>
      </x:c>
      <x:c r="G188" s="49" t="n">
        <x:f>COUNTIF('Craft Nodes'!$A$5:$A$250,A188)</x:f>
        <x:v>1</x:v>
      </x:c>
      <x:c r="H188" s="49" t="n">
        <x:f>COUNTIF('Craft Nodes'!$A$5:$A$250,B188)</x:f>
        <x:v>1</x:v>
      </x:c>
      <x:c r="I188" s="49" t="str">
        <x:f>IF(AND(G188=1,H188=1),"OK",IF(G188=0,"MISSING FROM","MISSING TO"))</x:f>
        <x:v>OK</x:v>
      </x:c>
    </x:row>
    <x:row r="189">
      <x:c r="A189" s="49" t="str">
        <x:v>T-TONGS</x:v>
      </x:c>
      <x:c r="B189" s="49" t="str">
        <x:v>W-KILN</x:v>
      </x:c>
      <x:c r="C189" s="49" t="str">
        <x:v>Tool</x:v>
      </x:c>
      <x:c r="D189" s="49" t="str">
        <x:v>Yes</x:v>
      </x:c>
      <x:c r="E189" s="49" t="str"/>
      <x:c r="F189" s="49" t="str">
        <x:v>Declared embodied tool use</x:v>
      </x:c>
      <x:c r="G189" s="49" t="n">
        <x:f>COUNTIF('Craft Nodes'!$A$5:$A$250,A189)</x:f>
        <x:v>1</x:v>
      </x:c>
      <x:c r="H189" s="49" t="n">
        <x:f>COUNTIF('Craft Nodes'!$A$5:$A$250,B189)</x:f>
        <x:v>1</x:v>
      </x:c>
      <x:c r="I189" s="49" t="str">
        <x:f>IF(AND(G189=1,H189=1),"OK",IF(G189=0,"MISSING FROM","MISSING TO"))</x:f>
        <x:v>OK</x:v>
      </x:c>
    </x:row>
    <x:row r="190">
      <x:c r="A190" s="49" t="str">
        <x:v>P-FIRED-CERAMIC</x:v>
      </x:c>
      <x:c r="B190" s="49" t="str">
        <x:v>W-FORGE</x:v>
      </x:c>
      <x:c r="C190" s="49" t="str">
        <x:v>Prerequisite</x:v>
      </x:c>
      <x:c r="D190" s="49" t="str">
        <x:v>Yes</x:v>
      </x:c>
      <x:c r="E190" s="49" t="str"/>
      <x:c r="F190" s="49" t="str">
        <x:v>Required for canonical route</x:v>
      </x:c>
      <x:c r="G190" s="49" t="n">
        <x:f>COUNTIF('Craft Nodes'!$A$5:$A$250,A190)</x:f>
        <x:v>1</x:v>
      </x:c>
      <x:c r="H190" s="49" t="n">
        <x:f>COUNTIF('Craft Nodes'!$A$5:$A$250,B190)</x:f>
        <x:v>1</x:v>
      </x:c>
      <x:c r="I190" s="49" t="str">
        <x:f>IF(AND(G190=1,H190=1),"OK",IF(G190=0,"MISSING FROM","MISSING TO"))</x:f>
        <x:v>OK</x:v>
      </x:c>
    </x:row>
    <x:row r="191">
      <x:c r="A191" s="49" t="str">
        <x:v>P-CHARCOAL</x:v>
      </x:c>
      <x:c r="B191" s="49" t="str">
        <x:v>W-FORGE</x:v>
      </x:c>
      <x:c r="C191" s="49" t="str">
        <x:v>Prerequisite</x:v>
      </x:c>
      <x:c r="D191" s="49" t="str">
        <x:v>Yes</x:v>
      </x:c>
      <x:c r="E191" s="49" t="str"/>
      <x:c r="F191" s="49" t="str">
        <x:v>Required for canonical route</x:v>
      </x:c>
      <x:c r="G191" s="49" t="n">
        <x:f>COUNTIF('Craft Nodes'!$A$5:$A$250,A191)</x:f>
        <x:v>1</x:v>
      </x:c>
      <x:c r="H191" s="49" t="n">
        <x:f>COUNTIF('Craft Nodes'!$A$5:$A$250,B191)</x:f>
        <x:v>1</x:v>
      </x:c>
      <x:c r="I191" s="49" t="str">
        <x:f>IF(AND(G191=1,H191=1),"OK",IF(G191=0,"MISSING FROM","MISSING TO"))</x:f>
        <x:v>OK</x:v>
      </x:c>
    </x:row>
    <x:row r="192">
      <x:c r="A192" s="49" t="str">
        <x:v>T-TONGS</x:v>
      </x:c>
      <x:c r="B192" s="49" t="str">
        <x:v>W-FORGE</x:v>
      </x:c>
      <x:c r="C192" s="49" t="str">
        <x:v>Tool</x:v>
      </x:c>
      <x:c r="D192" s="49" t="str">
        <x:v>Yes</x:v>
      </x:c>
      <x:c r="E192" s="49" t="str"/>
      <x:c r="F192" s="49" t="str">
        <x:v>Required for canonical route</x:v>
      </x:c>
      <x:c r="G192" s="49" t="n">
        <x:f>COUNTIF('Craft Nodes'!$A$5:$A$250,A192)</x:f>
        <x:v>1</x:v>
      </x:c>
      <x:c r="H192" s="49" t="n">
        <x:f>COUNTIF('Craft Nodes'!$A$5:$A$250,B192)</x:f>
        <x:v>1</x:v>
      </x:c>
      <x:c r="I192" s="49" t="str">
        <x:f>IF(AND(G192=1,H192=1),"OK",IF(G192=0,"MISSING FROM","MISSING TO"))</x:f>
        <x:v>OK</x:v>
      </x:c>
    </x:row>
    <x:row r="193">
      <x:c r="A193" s="49" t="str">
        <x:v>T-HAMMER</x:v>
      </x:c>
      <x:c r="B193" s="49" t="str">
        <x:v>W-FORGE</x:v>
      </x:c>
      <x:c r="C193" s="49" t="str">
        <x:v>Tool</x:v>
      </x:c>
      <x:c r="D193" s="49" t="str">
        <x:v>Yes</x:v>
      </x:c>
      <x:c r="E193" s="49" t="str"/>
      <x:c r="F193" s="49" t="str">
        <x:v>Required for canonical route</x:v>
      </x:c>
      <x:c r="G193" s="49" t="n">
        <x:f>COUNTIF('Craft Nodes'!$A$5:$A$250,A193)</x:f>
        <x:v>1</x:v>
      </x:c>
      <x:c r="H193" s="49" t="n">
        <x:f>COUNTIF('Craft Nodes'!$A$5:$A$250,B193)</x:f>
        <x:v>1</x:v>
      </x:c>
      <x:c r="I193" s="49" t="str">
        <x:f>IF(AND(G193=1,H193=1),"OK",IF(G193=0,"MISSING FROM","MISSING TO"))</x:f>
        <x:v>OK</x:v>
      </x:c>
    </x:row>
    <x:row r="194">
      <x:c r="A194" s="49" t="str">
        <x:v>P-CLEAN-WATER</x:v>
      </x:c>
      <x:c r="B194" s="49" t="str">
        <x:v>W-CLEAN</x:v>
      </x:c>
      <x:c r="C194" s="49" t="str">
        <x:v>Prerequisite</x:v>
      </x:c>
      <x:c r="D194" s="49" t="str">
        <x:v>Yes</x:v>
      </x:c>
      <x:c r="E194" s="49" t="str"/>
      <x:c r="F194" s="49" t="str">
        <x:v>Required for canonical route</x:v>
      </x:c>
      <x:c r="G194" s="49" t="n">
        <x:f>COUNTIF('Craft Nodes'!$A$5:$A$250,A194)</x:f>
        <x:v>1</x:v>
      </x:c>
      <x:c r="H194" s="49" t="n">
        <x:f>COUNTIF('Craft Nodes'!$A$5:$A$250,B194)</x:f>
        <x:v>1</x:v>
      </x:c>
      <x:c r="I194" s="49" t="str">
        <x:f>IF(AND(G194=1,H194=1),"OK",IF(G194=0,"MISSING FROM","MISSING TO"))</x:f>
        <x:v>OK</x:v>
      </x:c>
    </x:row>
    <x:row r="195">
      <x:c r="A195" s="49" t="str">
        <x:v>P-MAT</x:v>
      </x:c>
      <x:c r="B195" s="49" t="str">
        <x:v>W-CLEAN</x:v>
      </x:c>
      <x:c r="C195" s="49" t="str">
        <x:v>Prerequisite</x:v>
      </x:c>
      <x:c r="D195" s="49" t="str">
        <x:v>Yes</x:v>
      </x:c>
      <x:c r="E195" s="49" t="str"/>
      <x:c r="F195" s="49" t="str">
        <x:v>Required for canonical route</x:v>
      </x:c>
      <x:c r="G195" s="49" t="n">
        <x:f>COUNTIF('Craft Nodes'!$A$5:$A$250,A195)</x:f>
        <x:v>1</x:v>
      </x:c>
      <x:c r="H195" s="49" t="n">
        <x:f>COUNTIF('Craft Nodes'!$A$5:$A$250,B195)</x:f>
        <x:v>1</x:v>
      </x:c>
      <x:c r="I195" s="49" t="str">
        <x:f>IF(AND(G195=1,H195=1),"OK",IF(G195=0,"MISSING FROM","MISSING TO"))</x:f>
        <x:v>OK</x:v>
      </x:c>
    </x:row>
    <x:row r="196">
      <x:c r="A196" s="49" t="str">
        <x:v>A-ROOF</x:v>
      </x:c>
      <x:c r="B196" s="49" t="str">
        <x:v>W-CLEAN</x:v>
      </x:c>
      <x:c r="C196" s="49" t="str">
        <x:v>Prerequisite</x:v>
      </x:c>
      <x:c r="D196" s="49" t="str">
        <x:v>Yes</x:v>
      </x:c>
      <x:c r="E196" s="49" t="str"/>
      <x:c r="F196" s="49" t="str">
        <x:v>Required for canonical route</x:v>
      </x:c>
      <x:c r="G196" s="49" t="n">
        <x:f>COUNTIF('Craft Nodes'!$A$5:$A$250,A196)</x:f>
        <x:v>1</x:v>
      </x:c>
      <x:c r="H196" s="49" t="n">
        <x:f>COUNTIF('Craft Nodes'!$A$5:$A$250,B196)</x:f>
        <x:v>1</x:v>
      </x:c>
      <x:c r="I196" s="49" t="str">
        <x:f>IF(AND(G196=1,H196=1),"OK",IF(G196=0,"MISSING FROM","MISSING TO"))</x:f>
        <x:v>OK</x:v>
      </x:c>
    </x:row>
    <x:row r="197">
      <x:c r="A197" s="49" t="str">
        <x:v>W-HEARTH</x:v>
      </x:c>
      <x:c r="B197" s="49" t="str">
        <x:v>W-WATER</x:v>
      </x:c>
      <x:c r="C197" s="49" t="str">
        <x:v>Workspace</x:v>
      </x:c>
      <x:c r="D197" s="49" t="str">
        <x:v>Yes</x:v>
      </x:c>
      <x:c r="E197" s="49" t="str"/>
      <x:c r="F197" s="49" t="str">
        <x:v>Required for canonical route</x:v>
      </x:c>
      <x:c r="G197" s="49" t="n">
        <x:f>COUNTIF('Craft Nodes'!$A$5:$A$250,A197)</x:f>
        <x:v>1</x:v>
      </x:c>
      <x:c r="H197" s="49" t="n">
        <x:f>COUNTIF('Craft Nodes'!$A$5:$A$250,B197)</x:f>
        <x:v>1</x:v>
      </x:c>
      <x:c r="I197" s="49" t="str">
        <x:f>IF(AND(G197=1,H197=1),"OK",IF(G197=0,"MISSING FROM","MISSING TO"))</x:f>
        <x:v>OK</x:v>
      </x:c>
    </x:row>
    <x:row r="198">
      <x:c r="A198" s="49" t="str">
        <x:v>W-CLEAN</x:v>
      </x:c>
      <x:c r="B198" s="49" t="str">
        <x:v>W-WATER</x:v>
      </x:c>
      <x:c r="C198" s="49" t="str">
        <x:v>Workspace</x:v>
      </x:c>
      <x:c r="D198" s="49" t="str">
        <x:v>Yes</x:v>
      </x:c>
      <x:c r="E198" s="49" t="str"/>
      <x:c r="F198" s="49" t="str">
        <x:v>Required for canonical route</x:v>
      </x:c>
      <x:c r="G198" s="49" t="n">
        <x:f>COUNTIF('Craft Nodes'!$A$5:$A$250,A198)</x:f>
        <x:v>1</x:v>
      </x:c>
      <x:c r="H198" s="49" t="n">
        <x:f>COUNTIF('Craft Nodes'!$A$5:$A$250,B198)</x:f>
        <x:v>1</x:v>
      </x:c>
      <x:c r="I198" s="49" t="str">
        <x:f>IF(AND(G198=1,H198=1),"OK",IF(G198=0,"MISSING FROM","MISSING TO"))</x:f>
        <x:v>OK</x:v>
      </x:c>
    </x:row>
    <x:row r="199">
      <x:c r="A199" s="49" t="str">
        <x:v>C-COVERED-STORE</x:v>
      </x:c>
      <x:c r="B199" s="49" t="str">
        <x:v>W-WATER</x:v>
      </x:c>
      <x:c r="C199" s="49" t="str">
        <x:v>Prerequisite</x:v>
      </x:c>
      <x:c r="D199" s="49" t="str">
        <x:v>Yes</x:v>
      </x:c>
      <x:c r="E199" s="49" t="str"/>
      <x:c r="F199" s="49" t="str">
        <x:v>Required for canonical route</x:v>
      </x:c>
      <x:c r="G199" s="49" t="n">
        <x:f>COUNTIF('Craft Nodes'!$A$5:$A$250,A199)</x:f>
        <x:v>1</x:v>
      </x:c>
      <x:c r="H199" s="49" t="n">
        <x:f>COUNTIF('Craft Nodes'!$A$5:$A$250,B199)</x:f>
        <x:v>1</x:v>
      </x:c>
      <x:c r="I199" s="49" t="str">
        <x:f>IF(AND(G199=1,H199=1),"OK",IF(G199=0,"MISSING FROM","MISSING TO"))</x:f>
        <x:v>OK</x:v>
      </x:c>
    </x:row>
    <x:row r="200">
      <x:c r="A200" s="49" t="str">
        <x:v>P-STRAIGHT-POLE</x:v>
      </x:c>
      <x:c r="B200" s="49" t="str">
        <x:v>A-SMOKER</x:v>
      </x:c>
      <x:c r="C200" s="49" t="str">
        <x:v>Prerequisite</x:v>
      </x:c>
      <x:c r="D200" s="49" t="str">
        <x:v>Yes</x:v>
      </x:c>
      <x:c r="E200" s="49" t="str"/>
      <x:c r="F200" s="49" t="str">
        <x:v>Required for canonical route</x:v>
      </x:c>
      <x:c r="G200" s="49" t="n">
        <x:f>COUNTIF('Craft Nodes'!$A$5:$A$250,A200)</x:f>
        <x:v>1</x:v>
      </x:c>
      <x:c r="H200" s="49" t="n">
        <x:f>COUNTIF('Craft Nodes'!$A$5:$A$250,B200)</x:f>
        <x:v>1</x:v>
      </x:c>
      <x:c r="I200" s="49" t="str">
        <x:f>IF(AND(G200=1,H200=1),"OK",IF(G200=0,"MISSING FROM","MISSING TO"))</x:f>
        <x:v>OK</x:v>
      </x:c>
    </x:row>
    <x:row r="201">
      <x:c r="A201" s="49" t="str">
        <x:v>P-MAT</x:v>
      </x:c>
      <x:c r="B201" s="49" t="str">
        <x:v>A-SMOKER</x:v>
      </x:c>
      <x:c r="C201" s="49" t="str">
        <x:v>Prerequisite</x:v>
      </x:c>
      <x:c r="D201" s="49" t="str">
        <x:v>Yes</x:v>
      </x:c>
      <x:c r="E201" s="49" t="str"/>
      <x:c r="F201" s="49" t="str">
        <x:v>Required for canonical route</x:v>
      </x:c>
      <x:c r="G201" s="49" t="n">
        <x:f>COUNTIF('Craft Nodes'!$A$5:$A$250,A201)</x:f>
        <x:v>1</x:v>
      </x:c>
      <x:c r="H201" s="49" t="n">
        <x:f>COUNTIF('Craft Nodes'!$A$5:$A$250,B201)</x:f>
        <x:v>1</x:v>
      </x:c>
      <x:c r="I201" s="49" t="str">
        <x:f>IF(AND(G201=1,H201=1),"OK",IF(G201=0,"MISSING FROM","MISSING TO"))</x:f>
        <x:v>OK</x:v>
      </x:c>
    </x:row>
    <x:row r="202">
      <x:c r="A202" s="49" t="str">
        <x:v>W-HEARTH</x:v>
      </x:c>
      <x:c r="B202" s="49" t="str">
        <x:v>A-SMOKER</x:v>
      </x:c>
      <x:c r="C202" s="49" t="str">
        <x:v>Workspace</x:v>
      </x:c>
      <x:c r="D202" s="49" t="str">
        <x:v>Yes</x:v>
      </x:c>
      <x:c r="E202" s="49" t="str"/>
      <x:c r="F202" s="49" t="str">
        <x:v>Required for canonical route</x:v>
      </x:c>
      <x:c r="G202" s="49" t="n">
        <x:f>COUNTIF('Craft Nodes'!$A$5:$A$250,A202)</x:f>
        <x:v>1</x:v>
      </x:c>
      <x:c r="H202" s="49" t="n">
        <x:f>COUNTIF('Craft Nodes'!$A$5:$A$250,B202)</x:f>
        <x:v>1</x:v>
      </x:c>
      <x:c r="I202" s="49" t="str">
        <x:f>IF(AND(G202=1,H202=1),"OK",IF(G202=0,"MISSING FROM","MISSING TO"))</x:f>
        <x:v>OK</x:v>
      </x:c>
    </x:row>
    <x:row r="203">
      <x:c r="A203" s="49" t="str">
        <x:v>T-STONE-KNIFE</x:v>
      </x:c>
      <x:c r="B203" s="49" t="str">
        <x:v>A-SMOKER</x:v>
      </x:c>
      <x:c r="C203" s="49" t="str">
        <x:v>Tool</x:v>
      </x:c>
      <x:c r="D203" s="49" t="str">
        <x:v>Yes</x:v>
      </x:c>
      <x:c r="E203" s="49" t="str"/>
      <x:c r="F203" s="49" t="str">
        <x:v>Declared embodied tool use</x:v>
      </x:c>
      <x:c r="G203" s="49" t="n">
        <x:f>COUNTIF('Craft Nodes'!$A$5:$A$250,A203)</x:f>
        <x:v>1</x:v>
      </x:c>
      <x:c r="H203" s="49" t="n">
        <x:f>COUNTIF('Craft Nodes'!$A$5:$A$250,B203)</x:f>
        <x:v>1</x:v>
      </x:c>
      <x:c r="I203" s="49" t="str">
        <x:f>IF(AND(G203=1,H203=1),"OK",IF(G203=0,"MISSING FROM","MISSING TO"))</x:f>
        <x:v>OK</x:v>
      </x:c>
    </x:row>
    <x:row r="204">
      <x:c r="A204" s="49" t="str">
        <x:v>W-CLEAN</x:v>
      </x:c>
      <x:c r="B204" s="49" t="str">
        <x:v>W-CLINIC</x:v>
      </x:c>
      <x:c r="C204" s="49" t="str">
        <x:v>Workspace</x:v>
      </x:c>
      <x:c r="D204" s="49" t="str">
        <x:v>Yes</x:v>
      </x:c>
      <x:c r="E204" s="49" t="str"/>
      <x:c r="F204" s="49" t="str">
        <x:v>Required for canonical route</x:v>
      </x:c>
      <x:c r="G204" s="49" t="n">
        <x:f>COUNTIF('Craft Nodes'!$A$5:$A$250,A204)</x:f>
        <x:v>1</x:v>
      </x:c>
      <x:c r="H204" s="49" t="n">
        <x:f>COUNTIF('Craft Nodes'!$A$5:$A$250,B204)</x:f>
        <x:v>1</x:v>
      </x:c>
      <x:c r="I204" s="49" t="str">
        <x:f>IF(AND(G204=1,H204=1),"OK",IF(G204=0,"MISSING FROM","MISSING TO"))</x:f>
        <x:v>OK</x:v>
      </x:c>
    </x:row>
    <x:row r="205">
      <x:c r="A205" s="49" t="str">
        <x:v>A-RAISED-BED</x:v>
      </x:c>
      <x:c r="B205" s="49" t="str">
        <x:v>W-CLINIC</x:v>
      </x:c>
      <x:c r="C205" s="49" t="str">
        <x:v>Prerequisite</x:v>
      </x:c>
      <x:c r="D205" s="49" t="str">
        <x:v>Yes</x:v>
      </x:c>
      <x:c r="E205" s="49" t="str"/>
      <x:c r="F205" s="49" t="str">
        <x:v>Required for canonical route</x:v>
      </x:c>
      <x:c r="G205" s="49" t="n">
        <x:f>COUNTIF('Craft Nodes'!$A$5:$A$250,A205)</x:f>
        <x:v>1</x:v>
      </x:c>
      <x:c r="H205" s="49" t="n">
        <x:f>COUNTIF('Craft Nodes'!$A$5:$A$250,B205)</x:f>
        <x:v>1</x:v>
      </x:c>
      <x:c r="I205" s="49" t="str">
        <x:f>IF(AND(G205=1,H205=1),"OK",IF(G205=0,"MISSING FROM","MISSING TO"))</x:f>
        <x:v>OK</x:v>
      </x:c>
    </x:row>
    <x:row r="206">
      <x:c r="A206" s="49" t="str">
        <x:v>A-COVERED-STORE</x:v>
      </x:c>
      <x:c r="B206" s="49" t="str">
        <x:v>W-CLINIC</x:v>
      </x:c>
      <x:c r="C206" s="49" t="str">
        <x:v>Prerequisite</x:v>
      </x:c>
      <x:c r="D206" s="49" t="str">
        <x:v>Yes</x:v>
      </x:c>
      <x:c r="E206" s="49" t="str"/>
      <x:c r="F206" s="49" t="str">
        <x:v>Required for canonical route</x:v>
      </x:c>
      <x:c r="G206" s="49" t="n">
        <x:f>COUNTIF('Craft Nodes'!$A$5:$A$250,A206)</x:f>
        <x:v>1</x:v>
      </x:c>
      <x:c r="H206" s="49" t="n">
        <x:f>COUNTIF('Craft Nodes'!$A$5:$A$250,B206)</x:f>
        <x:v>1</x:v>
      </x:c>
      <x:c r="I206" s="49" t="str">
        <x:f>IF(AND(G206=1,H206=1),"OK",IF(G206=0,"MISSING FROM","MISSING TO"))</x:f>
        <x:v>OK</x:v>
      </x:c>
    </x:row>
    <x:row r="207">
      <x:c r="A207" s="49" t="str">
        <x:v>A-LAMP</x:v>
      </x:c>
      <x:c r="B207" s="49" t="str">
        <x:v>W-CLINIC</x:v>
      </x:c>
      <x:c r="C207" s="49" t="str">
        <x:v>Prerequisite</x:v>
      </x:c>
      <x:c r="D207" s="49" t="str">
        <x:v>Yes</x:v>
      </x:c>
      <x:c r="E207" s="49" t="str"/>
      <x:c r="F207" s="49" t="str">
        <x:v>Required for canonical route</x:v>
      </x:c>
      <x:c r="G207" s="49" t="n">
        <x:f>COUNTIF('Craft Nodes'!$A$5:$A$250,A207)</x:f>
        <x:v>1</x:v>
      </x:c>
      <x:c r="H207" s="49" t="n">
        <x:f>COUNTIF('Craft Nodes'!$A$5:$A$250,B207)</x:f>
        <x:v>1</x:v>
      </x:c>
      <x:c r="I207" s="49" t="str">
        <x:f>IF(AND(G207=1,H207=1),"OK",IF(G207=0,"MISSING FROM","MISSING TO"))</x:f>
        <x:v>OK</x:v>
      </x:c>
    </x:row>
    <x:row r="208">
      <x:c r="A208" s="49" t="str">
        <x:v>W-BENCH</x:v>
      </x:c>
      <x:c r="B208" s="49" t="str">
        <x:v>W-BOATYARD</x:v>
      </x:c>
      <x:c r="C208" s="49" t="str">
        <x:v>Workspace</x:v>
      </x:c>
      <x:c r="D208" s="49" t="str">
        <x:v>Yes</x:v>
      </x:c>
      <x:c r="E208" s="49" t="str"/>
      <x:c r="F208" s="49" t="str">
        <x:v>Required for canonical route</x:v>
      </x:c>
      <x:c r="G208" s="49" t="n">
        <x:f>COUNTIF('Craft Nodes'!$A$5:$A$250,A208)</x:f>
        <x:v>1</x:v>
      </x:c>
      <x:c r="H208" s="49" t="n">
        <x:f>COUNTIF('Craft Nodes'!$A$5:$A$250,B208)</x:f>
        <x:v>1</x:v>
      </x:c>
      <x:c r="I208" s="49" t="str">
        <x:f>IF(AND(G208=1,H208=1),"OK",IF(G208=0,"MISSING FROM","MISSING TO"))</x:f>
        <x:v>OK</x:v>
      </x:c>
    </x:row>
    <x:row r="209">
      <x:c r="A209" s="49" t="str">
        <x:v>A-TRIPOD</x:v>
      </x:c>
      <x:c r="B209" s="49" t="str">
        <x:v>W-BOATYARD</x:v>
      </x:c>
      <x:c r="C209" s="49" t="str">
        <x:v>Prerequisite</x:v>
      </x:c>
      <x:c r="D209" s="49" t="str">
        <x:v>Yes</x:v>
      </x:c>
      <x:c r="E209" s="49" t="str"/>
      <x:c r="F209" s="49" t="str">
        <x:v>Required for canonical route</x:v>
      </x:c>
      <x:c r="G209" s="49" t="n">
        <x:f>COUNTIF('Craft Nodes'!$A$5:$A$250,A209)</x:f>
        <x:v>1</x:v>
      </x:c>
      <x:c r="H209" s="49" t="n">
        <x:f>COUNTIF('Craft Nodes'!$A$5:$A$250,B209)</x:f>
        <x:v>1</x:v>
      </x:c>
      <x:c r="I209" s="49" t="str">
        <x:f>IF(AND(G209=1,H209=1),"OK",IF(G209=0,"MISSING FROM","MISSING TO"))</x:f>
        <x:v>OK</x:v>
      </x:c>
    </x:row>
    <x:row r="210">
      <x:c r="A210" s="49" t="str">
        <x:v>A-DOCK</x:v>
      </x:c>
      <x:c r="B210" s="49" t="str">
        <x:v>W-BOATYARD</x:v>
      </x:c>
      <x:c r="C210" s="49" t="str">
        <x:v>Prerequisite</x:v>
      </x:c>
      <x:c r="D210" s="49" t="str">
        <x:v>Yes</x:v>
      </x:c>
      <x:c r="E210" s="49" t="str"/>
      <x:c r="F210" s="49" t="str">
        <x:v>Required for canonical route</x:v>
      </x:c>
      <x:c r="G210" s="49" t="n">
        <x:f>COUNTIF('Craft Nodes'!$A$5:$A$250,A210)</x:f>
        <x:v>1</x:v>
      </x:c>
      <x:c r="H210" s="49" t="n">
        <x:f>COUNTIF('Craft Nodes'!$A$5:$A$250,B210)</x:f>
        <x:v>1</x:v>
      </x:c>
      <x:c r="I210" s="49" t="str">
        <x:f>IF(AND(G210=1,H210=1),"OK",IF(G210=0,"MISSING FROM","MISSING TO"))</x:f>
        <x:v>OK</x:v>
      </x:c>
    </x:row>
    <x:row r="211">
      <x:c r="A211" s="49" t="str">
        <x:v>W-ARCHIVE</x:v>
      </x:c>
      <x:c r="B211" s="49" t="str">
        <x:v>W-BOATYARD</x:v>
      </x:c>
      <x:c r="C211" s="49" t="str">
        <x:v>Workspace</x:v>
      </x:c>
      <x:c r="D211" s="49" t="str">
        <x:v>Yes</x:v>
      </x:c>
      <x:c r="E211" s="49" t="str"/>
      <x:c r="F211" s="49" t="str">
        <x:v>Required for canonical route</x:v>
      </x:c>
      <x:c r="G211" s="49" t="n">
        <x:f>COUNTIF('Craft Nodes'!$A$5:$A$250,A211)</x:f>
        <x:v>1</x:v>
      </x:c>
      <x:c r="H211" s="49" t="n">
        <x:f>COUNTIF('Craft Nodes'!$A$5:$A$250,B211)</x:f>
        <x:v>1</x:v>
      </x:c>
      <x:c r="I211" s="49" t="str">
        <x:f>IF(AND(G211=1,H211=1),"OK",IF(G211=0,"MISSING FROM","MISSING TO"))</x:f>
        <x:v>OK</x:v>
      </x:c>
    </x:row>
    <x:row r="212">
      <x:c r="A212" s="49" t="str">
        <x:v>T-MEASURE</x:v>
      </x:c>
      <x:c r="B212" s="49" t="str">
        <x:v>W-BOATYARD</x:v>
      </x:c>
      <x:c r="C212" s="49" t="str">
        <x:v>Tool</x:v>
      </x:c>
      <x:c r="D212" s="49" t="str">
        <x:v>Yes</x:v>
      </x:c>
      <x:c r="E212" s="49" t="str"/>
      <x:c r="F212" s="49" t="str">
        <x:v>Declared embodied tool use</x:v>
      </x:c>
      <x:c r="G212" s="49" t="n">
        <x:f>COUNTIF('Craft Nodes'!$A$5:$A$250,A212)</x:f>
        <x:v>1</x:v>
      </x:c>
      <x:c r="H212" s="49" t="n">
        <x:f>COUNTIF('Craft Nodes'!$A$5:$A$250,B212)</x:f>
        <x:v>1</x:v>
      </x:c>
      <x:c r="I212" s="49" t="str">
        <x:f>IF(AND(G212=1,H212=1),"OK",IF(G212=0,"MISSING FROM","MISSING TO"))</x:f>
        <x:v>OK</x:v>
      </x:c>
    </x:row>
    <x:row r="213">
      <x:c r="A213" s="49" t="str">
        <x:v>W-BENCH</x:v>
      </x:c>
      <x:c r="B213" s="49" t="str">
        <x:v>W-ELECTRICAL</x:v>
      </x:c>
      <x:c r="C213" s="49" t="str">
        <x:v>Workspace</x:v>
      </x:c>
      <x:c r="D213" s="49" t="str">
        <x:v>Yes</x:v>
      </x:c>
      <x:c r="E213" s="49" t="str"/>
      <x:c r="F213" s="49" t="str">
        <x:v>Required for canonical route</x:v>
      </x:c>
      <x:c r="G213" s="49" t="n">
        <x:f>COUNTIF('Craft Nodes'!$A$5:$A$250,A213)</x:f>
        <x:v>1</x:v>
      </x:c>
      <x:c r="H213" s="49" t="n">
        <x:f>COUNTIF('Craft Nodes'!$A$5:$A$250,B213)</x:f>
        <x:v>1</x:v>
      </x:c>
      <x:c r="I213" s="49" t="str">
        <x:f>IF(AND(G213=1,H213=1),"OK",IF(G213=0,"MISSING FROM","MISSING TO"))</x:f>
        <x:v>OK</x:v>
      </x:c>
    </x:row>
    <x:row r="214">
      <x:c r="A214" s="49" t="str">
        <x:v>A-ROOF</x:v>
      </x:c>
      <x:c r="B214" s="49" t="str">
        <x:v>W-ELECTRICAL</x:v>
      </x:c>
      <x:c r="C214" s="49" t="str">
        <x:v>Prerequisite</x:v>
      </x:c>
      <x:c r="D214" s="49" t="str">
        <x:v>Yes</x:v>
      </x:c>
      <x:c r="E214" s="49" t="str"/>
      <x:c r="F214" s="49" t="str">
        <x:v>Required for canonical route</x:v>
      </x:c>
      <x:c r="G214" s="49" t="n">
        <x:f>COUNTIF('Craft Nodes'!$A$5:$A$250,A214)</x:f>
        <x:v>1</x:v>
      </x:c>
      <x:c r="H214" s="49" t="n">
        <x:f>COUNTIF('Craft Nodes'!$A$5:$A$250,B214)</x:f>
        <x:v>1</x:v>
      </x:c>
      <x:c r="I214" s="49" t="str">
        <x:f>IF(AND(G214=1,H214=1),"OK",IF(G214=0,"MISSING FROM","MISSING TO"))</x:f>
        <x:v>OK</x:v>
      </x:c>
    </x:row>
    <x:row r="215">
      <x:c r="A215" s="49" t="str">
        <x:v>T-METER</x:v>
      </x:c>
      <x:c r="B215" s="49" t="str">
        <x:v>W-ELECTRICAL</x:v>
      </x:c>
      <x:c r="C215" s="49" t="str">
        <x:v>Tool</x:v>
      </x:c>
      <x:c r="D215" s="49" t="str">
        <x:v>Yes</x:v>
      </x:c>
      <x:c r="E215" s="49" t="str"/>
      <x:c r="F215" s="49" t="str">
        <x:v>Required for canonical route</x:v>
      </x:c>
      <x:c r="G215" s="49" t="n">
        <x:f>COUNTIF('Craft Nodes'!$A$5:$A$250,A215)</x:f>
        <x:v>1</x:v>
      </x:c>
      <x:c r="H215" s="49" t="n">
        <x:f>COUNTIF('Craft Nodes'!$A$5:$A$250,B215)</x:f>
        <x:v>1</x:v>
      </x:c>
      <x:c r="I215" s="49" t="str">
        <x:f>IF(AND(G215=1,H215=1),"OK",IF(G215=0,"MISSING FROM","MISSING TO"))</x:f>
        <x:v>OK</x:v>
      </x:c>
    </x:row>
    <x:row r="216">
      <x:c r="A216" s="49" t="str">
        <x:v>P-CONDUCTOR</x:v>
      </x:c>
      <x:c r="B216" s="49" t="str">
        <x:v>W-ELECTRICAL</x:v>
      </x:c>
      <x:c r="C216" s="49" t="str">
        <x:v>Prerequisite</x:v>
      </x:c>
      <x:c r="D216" s="49" t="str">
        <x:v>Yes</x:v>
      </x:c>
      <x:c r="E216" s="49" t="str"/>
      <x:c r="F216" s="49" t="str">
        <x:v>Required for canonical route</x:v>
      </x:c>
      <x:c r="G216" s="49" t="n">
        <x:f>COUNTIF('Craft Nodes'!$A$5:$A$250,A216)</x:f>
        <x:v>1</x:v>
      </x:c>
      <x:c r="H216" s="49" t="n">
        <x:f>COUNTIF('Craft Nodes'!$A$5:$A$250,B216)</x:f>
        <x:v>1</x:v>
      </x:c>
      <x:c r="I216" s="49" t="str">
        <x:f>IF(AND(G216=1,H216=1),"OK",IF(G216=0,"MISSING FROM","MISSING TO"))</x:f>
        <x:v>OK</x:v>
      </x:c>
    </x:row>
    <x:row r="217">
      <x:c r="A217" s="49" t="str">
        <x:v>A-COVERED-STORE</x:v>
      </x:c>
      <x:c r="B217" s="49" t="str">
        <x:v>W-ARCHIVE</x:v>
      </x:c>
      <x:c r="C217" s="49" t="str">
        <x:v>Prerequisite</x:v>
      </x:c>
      <x:c r="D217" s="49" t="str">
        <x:v>Yes</x:v>
      </x:c>
      <x:c r="E217" s="49" t="str"/>
      <x:c r="F217" s="49" t="str">
        <x:v>Required for canonical route</x:v>
      </x:c>
      <x:c r="G217" s="49" t="n">
        <x:f>COUNTIF('Craft Nodes'!$A$5:$A$250,A217)</x:f>
        <x:v>1</x:v>
      </x:c>
      <x:c r="H217" s="49" t="n">
        <x:f>COUNTIF('Craft Nodes'!$A$5:$A$250,B217)</x:f>
        <x:v>1</x:v>
      </x:c>
      <x:c r="I217" s="49" t="str">
        <x:f>IF(AND(G217=1,H217=1),"OK",IF(G217=0,"MISSING FROM","MISSING TO"))</x:f>
        <x:v>OK</x:v>
      </x:c>
    </x:row>
    <x:row r="218">
      <x:c r="A218" s="49" t="str">
        <x:v>S-MANUAL</x:v>
      </x:c>
      <x:c r="B218" s="49" t="str">
        <x:v>W-ARCHIVE</x:v>
      </x:c>
      <x:c r="C218" s="49" t="str">
        <x:v>Prerequisite</x:v>
      </x:c>
      <x:c r="D218" s="49" t="str">
        <x:v>Yes</x:v>
      </x:c>
      <x:c r="E218" s="49" t="str"/>
      <x:c r="F218" s="49" t="str">
        <x:v>Required for canonical route</x:v>
      </x:c>
      <x:c r="G218" s="49" t="n">
        <x:f>COUNTIF('Craft Nodes'!$A$5:$A$250,A218)</x:f>
        <x:v>1</x:v>
      </x:c>
      <x:c r="H218" s="49" t="n">
        <x:f>COUNTIF('Craft Nodes'!$A$5:$A$250,B218)</x:f>
        <x:v>1</x:v>
      </x:c>
      <x:c r="I218" s="49" t="str">
        <x:f>IF(AND(G218=1,H218=1),"OK",IF(G218=0,"MISSING FROM","MISSING TO"))</x:f>
        <x:v>OK</x:v>
      </x:c>
    </x:row>
    <x:row r="219">
      <x:c r="A219" s="49" t="str">
        <x:v>T-MEASURE</x:v>
      </x:c>
      <x:c r="B219" s="49" t="str">
        <x:v>W-ARCHIVE</x:v>
      </x:c>
      <x:c r="C219" s="49" t="str">
        <x:v>Tool</x:v>
      </x:c>
      <x:c r="D219" s="49" t="str">
        <x:v>Yes</x:v>
      </x:c>
      <x:c r="E219" s="49" t="str"/>
      <x:c r="F219" s="49" t="str">
        <x:v>Required for canonical route</x:v>
      </x:c>
      <x:c r="G219" s="49" t="n">
        <x:f>COUNTIF('Craft Nodes'!$A$5:$A$250,A219)</x:f>
        <x:v>1</x:v>
      </x:c>
      <x:c r="H219" s="49" t="n">
        <x:f>COUNTIF('Craft Nodes'!$A$5:$A$250,B219)</x:f>
        <x:v>1</x:v>
      </x:c>
      <x:c r="I219" s="49" t="str">
        <x:f>IF(AND(G219=1,H219=1),"OK",IF(G219=0,"MISSING FROM","MISSING TO"))</x:f>
        <x:v>OK</x:v>
      </x:c>
    </x:row>
    <x:row r="220">
      <x:c r="A220" s="49" t="str">
        <x:v>S-COCONUT</x:v>
      </x:c>
      <x:c r="B220" s="49" t="str">
        <x:v>C-COCONUT-CUP</x:v>
      </x:c>
      <x:c r="C220" s="49" t="str">
        <x:v>Prerequisite</x:v>
      </x:c>
      <x:c r="D220" s="49" t="str">
        <x:v>Yes</x:v>
      </x:c>
      <x:c r="E220" s="49" t="str"/>
      <x:c r="F220" s="49" t="str">
        <x:v>Required for canonical route</x:v>
      </x:c>
      <x:c r="G220" s="49" t="n">
        <x:f>COUNTIF('Craft Nodes'!$A$5:$A$250,A220)</x:f>
        <x:v>1</x:v>
      </x:c>
      <x:c r="H220" s="49" t="n">
        <x:f>COUNTIF('Craft Nodes'!$A$5:$A$250,B220)</x:f>
        <x:v>1</x:v>
      </x:c>
      <x:c r="I220" s="49" t="str">
        <x:f>IF(AND(G220=1,H220=1),"OK",IF(G220=0,"MISSING FROM","MISSING TO"))</x:f>
        <x:v>OK</x:v>
      </x:c>
    </x:row>
    <x:row r="221">
      <x:c r="A221" s="49" t="str">
        <x:v>T-STONE-KNIFE</x:v>
      </x:c>
      <x:c r="B221" s="49" t="str">
        <x:v>C-COCONUT-CUP</x:v>
      </x:c>
      <x:c r="C221" s="49" t="str">
        <x:v>Tool</x:v>
      </x:c>
      <x:c r="D221" s="49" t="str">
        <x:v>Yes</x:v>
      </x:c>
      <x:c r="E221" s="49" t="str"/>
      <x:c r="F221" s="49" t="str">
        <x:v>Required for canonical route</x:v>
      </x:c>
      <x:c r="G221" s="49" t="n">
        <x:f>COUNTIF('Craft Nodes'!$A$5:$A$250,A221)</x:f>
        <x:v>1</x:v>
      </x:c>
      <x:c r="H221" s="49" t="n">
        <x:f>COUNTIF('Craft Nodes'!$A$5:$A$250,B221)</x:f>
        <x:v>1</x:v>
      </x:c>
      <x:c r="I221" s="49" t="str">
        <x:f>IF(AND(G221=1,H221=1),"OK",IF(G221=0,"MISSING FROM","MISSING TO"))</x:f>
        <x:v>OK</x:v>
      </x:c>
    </x:row>
    <x:row r="222">
      <x:c r="A222" s="49" t="str">
        <x:v>W-WORKMAT</x:v>
      </x:c>
      <x:c r="B222" s="49" t="str">
        <x:v>C-COCONUT-CUP</x:v>
      </x:c>
      <x:c r="C222" s="49" t="str">
        <x:v>Workspace</x:v>
      </x:c>
      <x:c r="D222" s="49" t="str">
        <x:v>Yes</x:v>
      </x:c>
      <x:c r="E222" s="49" t="str"/>
      <x:c r="F222" s="49" t="str">
        <x:v>Declared worksite dependency</x:v>
      </x:c>
      <x:c r="G222" s="49" t="n">
        <x:f>COUNTIF('Craft Nodes'!$A$5:$A$250,A222)</x:f>
        <x:v>1</x:v>
      </x:c>
      <x:c r="H222" s="49" t="n">
        <x:f>COUNTIF('Craft Nodes'!$A$5:$A$250,B222)</x:f>
        <x:v>1</x:v>
      </x:c>
      <x:c r="I222" s="49" t="str">
        <x:f>IF(AND(G222=1,H222=1),"OK",IF(G222=0,"MISSING FROM","MISSING TO"))</x:f>
        <x:v>OK</x:v>
      </x:c>
    </x:row>
    <x:row r="223">
      <x:c r="A223" s="49" t="str">
        <x:v>C-COCONUT-CUP</x:v>
      </x:c>
      <x:c r="B223" s="49" t="str">
        <x:v>C-COCONUT-BOILER</x:v>
      </x:c>
      <x:c r="C223" s="49" t="str">
        <x:v>Prerequisite</x:v>
      </x:c>
      <x:c r="D223" s="49" t="str">
        <x:v>Yes</x:v>
      </x:c>
      <x:c r="E223" s="49" t="str"/>
      <x:c r="F223" s="49" t="str">
        <x:v>Required for canonical route</x:v>
      </x:c>
      <x:c r="G223" s="49" t="n">
        <x:f>COUNTIF('Craft Nodes'!$A$5:$A$250,A223)</x:f>
        <x:v>1</x:v>
      </x:c>
      <x:c r="H223" s="49" t="n">
        <x:f>COUNTIF('Craft Nodes'!$A$5:$A$250,B223)</x:f>
        <x:v>1</x:v>
      </x:c>
      <x:c r="I223" s="49" t="str">
        <x:f>IF(AND(G223=1,H223=1),"OK",IF(G223=0,"MISSING FROM","MISSING TO"))</x:f>
        <x:v>OK</x:v>
      </x:c>
    </x:row>
    <x:row r="224">
      <x:c r="A224" s="49" t="str">
        <x:v>W-HEARTH</x:v>
      </x:c>
      <x:c r="B224" s="49" t="str">
        <x:v>C-COCONUT-BOILER</x:v>
      </x:c>
      <x:c r="C224" s="49" t="str">
        <x:v>Workspace</x:v>
      </x:c>
      <x:c r="D224" s="49" t="str">
        <x:v>Yes</x:v>
      </x:c>
      <x:c r="E224" s="49" t="str"/>
      <x:c r="F224" s="49" t="str">
        <x:v>Required for canonical route</x:v>
      </x:c>
      <x:c r="G224" s="49" t="n">
        <x:f>COUNTIF('Craft Nodes'!$A$5:$A$250,A224)</x:f>
        <x:v>1</x:v>
      </x:c>
      <x:c r="H224" s="49" t="n">
        <x:f>COUNTIF('Craft Nodes'!$A$5:$A$250,B224)</x:f>
        <x:v>1</x:v>
      </x:c>
      <x:c r="I224" s="49" t="str">
        <x:f>IF(AND(G224=1,H224=1),"OK",IF(G224=0,"MISSING FROM","MISSING TO"))</x:f>
        <x:v>OK</x:v>
      </x:c>
    </x:row>
    <x:row r="225">
      <x:c r="A225" s="49" t="str">
        <x:v>S-STONE</x:v>
      </x:c>
      <x:c r="B225" s="49" t="str">
        <x:v>C-COCONUT-BOILER</x:v>
      </x:c>
      <x:c r="C225" s="49" t="str">
        <x:v>Prerequisite</x:v>
      </x:c>
      <x:c r="D225" s="49" t="str">
        <x:v>Yes</x:v>
      </x:c>
      <x:c r="E225" s="49" t="str"/>
      <x:c r="F225" s="49" t="str">
        <x:v>Required for canonical route</x:v>
      </x:c>
      <x:c r="G225" s="49" t="n">
        <x:f>COUNTIF('Craft Nodes'!$A$5:$A$250,A225)</x:f>
        <x:v>1</x:v>
      </x:c>
      <x:c r="H225" s="49" t="n">
        <x:f>COUNTIF('Craft Nodes'!$A$5:$A$250,B225)</x:f>
        <x:v>1</x:v>
      </x:c>
      <x:c r="I225" s="49" t="str">
        <x:f>IF(AND(G225=1,H225=1),"OK",IF(G225=0,"MISSING FROM","MISSING TO"))</x:f>
        <x:v>OK</x:v>
      </x:c>
    </x:row>
    <x:row r="226">
      <x:c r="A226" s="49" t="str">
        <x:v>T-TONGS</x:v>
      </x:c>
      <x:c r="B226" s="49" t="str">
        <x:v>C-COCONUT-BOILER</x:v>
      </x:c>
      <x:c r="C226" s="49" t="str">
        <x:v>Tool</x:v>
      </x:c>
      <x:c r="D226" s="49" t="str">
        <x:v>Yes</x:v>
      </x:c>
      <x:c r="E226" s="49" t="str"/>
      <x:c r="F226" s="49" t="str">
        <x:v>Declared embodied tool use</x:v>
      </x:c>
      <x:c r="G226" s="49" t="n">
        <x:f>COUNTIF('Craft Nodes'!$A$5:$A$250,A226)</x:f>
        <x:v>1</x:v>
      </x:c>
      <x:c r="H226" s="49" t="n">
        <x:f>COUNTIF('Craft Nodes'!$A$5:$A$250,B226)</x:f>
        <x:v>1</x:v>
      </x:c>
      <x:c r="I226" s="49" t="str">
        <x:f>IF(AND(G226=1,H226=1),"OK",IF(G226=0,"MISSING FROM","MISSING TO"))</x:f>
        <x:v>OK</x:v>
      </x:c>
    </x:row>
    <x:row r="227">
      <x:c r="A227" s="49" t="str">
        <x:v>S-HIDE</x:v>
      </x:c>
      <x:c r="B227" s="49" t="str">
        <x:v>C-HIDE-POUCH</x:v>
      </x:c>
      <x:c r="C227" s="49" t="str">
        <x:v>Prerequisite</x:v>
      </x:c>
      <x:c r="D227" s="49" t="str">
        <x:v>Yes</x:v>
      </x:c>
      <x:c r="E227" s="49" t="str"/>
      <x:c r="F227" s="49" t="str">
        <x:v>Required for canonical route</x:v>
      </x:c>
      <x:c r="G227" s="49" t="n">
        <x:f>COUNTIF('Craft Nodes'!$A$5:$A$250,A227)</x:f>
        <x:v>1</x:v>
      </x:c>
      <x:c r="H227" s="49" t="n">
        <x:f>COUNTIF('Craft Nodes'!$A$5:$A$250,B227)</x:f>
        <x:v>1</x:v>
      </x:c>
      <x:c r="I227" s="49" t="str">
        <x:f>IF(AND(G227=1,H227=1),"OK",IF(G227=0,"MISSING FROM","MISSING TO"))</x:f>
        <x:v>OK</x:v>
      </x:c>
    </x:row>
    <x:row r="228">
      <x:c r="A228" s="49" t="str">
        <x:v>P-CORD</x:v>
      </x:c>
      <x:c r="B228" s="49" t="str">
        <x:v>C-HIDE-POUCH</x:v>
      </x:c>
      <x:c r="C228" s="49" t="str">
        <x:v>Prerequisite</x:v>
      </x:c>
      <x:c r="D228" s="49" t="str">
        <x:v>Yes</x:v>
      </x:c>
      <x:c r="E228" s="49" t="str"/>
      <x:c r="F228" s="49" t="str">
        <x:v>Required for canonical route</x:v>
      </x:c>
      <x:c r="G228" s="49" t="n">
        <x:f>COUNTIF('Craft Nodes'!$A$5:$A$250,A228)</x:f>
        <x:v>1</x:v>
      </x:c>
      <x:c r="H228" s="49" t="n">
        <x:f>COUNTIF('Craft Nodes'!$A$5:$A$250,B228)</x:f>
        <x:v>1</x:v>
      </x:c>
      <x:c r="I228" s="49" t="str">
        <x:f>IF(AND(G228=1,H228=1),"OK",IF(G228=0,"MISSING FROM","MISSING TO"))</x:f>
        <x:v>OK</x:v>
      </x:c>
    </x:row>
    <x:row r="229">
      <x:c r="A229" s="49" t="str">
        <x:v>T-NEEDLE</x:v>
      </x:c>
      <x:c r="B229" s="49" t="str">
        <x:v>C-HIDE-POUCH</x:v>
      </x:c>
      <x:c r="C229" s="49" t="str">
        <x:v>Tool</x:v>
      </x:c>
      <x:c r="D229" s="49" t="str">
        <x:v>Yes</x:v>
      </x:c>
      <x:c r="E229" s="49" t="str"/>
      <x:c r="F229" s="49" t="str">
        <x:v>Required for canonical route</x:v>
      </x:c>
      <x:c r="G229" s="49" t="n">
        <x:f>COUNTIF('Craft Nodes'!$A$5:$A$250,A229)</x:f>
        <x:v>1</x:v>
      </x:c>
      <x:c r="H229" s="49" t="n">
        <x:f>COUNTIF('Craft Nodes'!$A$5:$A$250,B229)</x:f>
        <x:v>1</x:v>
      </x:c>
      <x:c r="I229" s="49" t="str">
        <x:f>IF(AND(G229=1,H229=1),"OK",IF(G229=0,"MISSING FROM","MISSING TO"))</x:f>
        <x:v>OK</x:v>
      </x:c>
    </x:row>
    <x:row r="230">
      <x:c r="A230" s="49" t="str">
        <x:v>W-CLEAN</x:v>
      </x:c>
      <x:c r="B230" s="49" t="str">
        <x:v>C-HIDE-POUCH</x:v>
      </x:c>
      <x:c r="C230" s="49" t="str">
        <x:v>Workspace</x:v>
      </x:c>
      <x:c r="D230" s="49" t="str">
        <x:v>Yes</x:v>
      </x:c>
      <x:c r="E230" s="49" t="str"/>
      <x:c r="F230" s="49" t="str">
        <x:v>Declared worksite dependency</x:v>
      </x:c>
      <x:c r="G230" s="49" t="n">
        <x:f>COUNTIF('Craft Nodes'!$A$5:$A$250,A230)</x:f>
        <x:v>1</x:v>
      </x:c>
      <x:c r="H230" s="49" t="n">
        <x:f>COUNTIF('Craft Nodes'!$A$5:$A$250,B230)</x:f>
        <x:v>1</x:v>
      </x:c>
      <x:c r="I230" s="49" t="str">
        <x:f>IF(AND(G230=1,H230=1),"OK",IF(G230=0,"MISSING FROM","MISSING TO"))</x:f>
        <x:v>OK</x:v>
      </x:c>
    </x:row>
    <x:row r="231">
      <x:c r="A231" s="49" t="str">
        <x:v>S-PAN</x:v>
      </x:c>
      <x:c r="B231" s="49" t="str">
        <x:v>C-FOUND-PAN</x:v>
      </x:c>
      <x:c r="C231" s="49" t="str">
        <x:v>Prerequisite</x:v>
      </x:c>
      <x:c r="D231" s="49" t="str">
        <x:v>Yes</x:v>
      </x:c>
      <x:c r="E231" s="49" t="str"/>
      <x:c r="F231" s="49" t="str">
        <x:v>Required for canonical route</x:v>
      </x:c>
      <x:c r="G231" s="49" t="n">
        <x:f>COUNTIF('Craft Nodes'!$A$5:$A$250,A231)</x:f>
        <x:v>1</x:v>
      </x:c>
      <x:c r="H231" s="49" t="n">
        <x:f>COUNTIF('Craft Nodes'!$A$5:$A$250,B231)</x:f>
        <x:v>1</x:v>
      </x:c>
      <x:c r="I231" s="49" t="str">
        <x:f>IF(AND(G231=1,H231=1),"OK",IF(G231=0,"MISSING FROM","MISSING TO"))</x:f>
        <x:v>OK</x:v>
      </x:c>
    </x:row>
    <x:row r="232">
      <x:c r="A232" s="49" t="str">
        <x:v>P-CLEAN-WATER</x:v>
      </x:c>
      <x:c r="B232" s="49" t="str">
        <x:v>C-FOUND-PAN</x:v>
      </x:c>
      <x:c r="C232" s="49" t="str">
        <x:v>Prerequisite</x:v>
      </x:c>
      <x:c r="D232" s="49" t="str">
        <x:v>Yes</x:v>
      </x:c>
      <x:c r="E232" s="49" t="str"/>
      <x:c r="F232" s="49" t="str">
        <x:v>Required for canonical route</x:v>
      </x:c>
      <x:c r="G232" s="49" t="n">
        <x:f>COUNTIF('Craft Nodes'!$A$5:$A$250,A232)</x:f>
        <x:v>1</x:v>
      </x:c>
      <x:c r="H232" s="49" t="n">
        <x:f>COUNTIF('Craft Nodes'!$A$5:$A$250,B232)</x:f>
        <x:v>1</x:v>
      </x:c>
      <x:c r="I232" s="49" t="str">
        <x:f>IF(AND(G232=1,H232=1),"OK",IF(G232=0,"MISSING FROM","MISSING TO"))</x:f>
        <x:v>OK</x:v>
      </x:c>
    </x:row>
    <x:row r="233">
      <x:c r="A233" s="49" t="str">
        <x:v>T-STONE-KNIFE</x:v>
      </x:c>
      <x:c r="B233" s="49" t="str">
        <x:v>C-FOUND-PAN</x:v>
      </x:c>
      <x:c r="C233" s="49" t="str">
        <x:v>Tool</x:v>
      </x:c>
      <x:c r="D233" s="49" t="str">
        <x:v>Yes</x:v>
      </x:c>
      <x:c r="E233" s="49" t="str"/>
      <x:c r="F233" s="49" t="str">
        <x:v>Declared embodied tool use</x:v>
      </x:c>
      <x:c r="G233" s="49" t="n">
        <x:f>COUNTIF('Craft Nodes'!$A$5:$A$250,A233)</x:f>
        <x:v>1</x:v>
      </x:c>
      <x:c r="H233" s="49" t="n">
        <x:f>COUNTIF('Craft Nodes'!$A$5:$A$250,B233)</x:f>
        <x:v>1</x:v>
      </x:c>
      <x:c r="I233" s="49" t="str">
        <x:f>IF(AND(G233=1,H233=1),"OK",IF(G233=0,"MISSING FROM","MISSING TO"))</x:f>
        <x:v>OK</x:v>
      </x:c>
    </x:row>
    <x:row r="234">
      <x:c r="A234" s="49" t="str">
        <x:v>W-CLEAN</x:v>
      </x:c>
      <x:c r="B234" s="49" t="str">
        <x:v>C-FOUND-PAN</x:v>
      </x:c>
      <x:c r="C234" s="49" t="str">
        <x:v>Workspace</x:v>
      </x:c>
      <x:c r="D234" s="49" t="str">
        <x:v>Yes</x:v>
      </x:c>
      <x:c r="E234" s="49" t="str"/>
      <x:c r="F234" s="49" t="str">
        <x:v>Declared worksite dependency</x:v>
      </x:c>
      <x:c r="G234" s="49" t="n">
        <x:f>COUNTIF('Craft Nodes'!$A$5:$A$250,A234)</x:f>
        <x:v>1</x:v>
      </x:c>
      <x:c r="H234" s="49" t="n">
        <x:f>COUNTIF('Craft Nodes'!$A$5:$A$250,B234)</x:f>
        <x:v>1</x:v>
      </x:c>
      <x:c r="I234" s="49" t="str">
        <x:f>IF(AND(G234=1,H234=1),"OK",IF(G234=0,"MISSING FROM","MISSING TO"))</x:f>
        <x:v>OK</x:v>
      </x:c>
    </x:row>
    <x:row r="235">
      <x:c r="A235" s="49" t="str">
        <x:v>P-FIRED-CERAMIC</x:v>
      </x:c>
      <x:c r="B235" s="49" t="str">
        <x:v>C-CLAY-POT</x:v>
      </x:c>
      <x:c r="C235" s="49" t="str">
        <x:v>Prerequisite</x:v>
      </x:c>
      <x:c r="D235" s="49" t="str">
        <x:v>Yes</x:v>
      </x:c>
      <x:c r="E235" s="49" t="str"/>
      <x:c r="F235" s="49" t="str">
        <x:v>Required for canonical route</x:v>
      </x:c>
      <x:c r="G235" s="49" t="n">
        <x:f>COUNTIF('Craft Nodes'!$A$5:$A$250,A235)</x:f>
        <x:v>1</x:v>
      </x:c>
      <x:c r="H235" s="49" t="n">
        <x:f>COUNTIF('Craft Nodes'!$A$5:$A$250,B235)</x:f>
        <x:v>1</x:v>
      </x:c>
      <x:c r="I235" s="49" t="str">
        <x:f>IF(AND(G235=1,H235=1),"OK",IF(G235=0,"MISSING FROM","MISSING TO"))</x:f>
        <x:v>OK</x:v>
      </x:c>
    </x:row>
    <x:row r="236">
      <x:c r="A236" s="49" t="str">
        <x:v>T-TONGS</x:v>
      </x:c>
      <x:c r="B236" s="49" t="str">
        <x:v>C-CLAY-POT</x:v>
      </x:c>
      <x:c r="C236" s="49" t="str">
        <x:v>Tool</x:v>
      </x:c>
      <x:c r="D236" s="49" t="str">
        <x:v>Yes</x:v>
      </x:c>
      <x:c r="E236" s="49" t="str"/>
      <x:c r="F236" s="49" t="str">
        <x:v>Declared embodied tool use</x:v>
      </x:c>
      <x:c r="G236" s="49" t="n">
        <x:f>COUNTIF('Craft Nodes'!$A$5:$A$250,A236)</x:f>
        <x:v>1</x:v>
      </x:c>
      <x:c r="H236" s="49" t="n">
        <x:f>COUNTIF('Craft Nodes'!$A$5:$A$250,B236)</x:f>
        <x:v>1</x:v>
      </x:c>
      <x:c r="I236" s="49" t="str">
        <x:f>IF(AND(G236=1,H236=1),"OK",IF(G236=0,"MISSING FROM","MISSING TO"))</x:f>
        <x:v>OK</x:v>
      </x:c>
    </x:row>
    <x:row r="237">
      <x:c r="A237" s="49" t="str">
        <x:v>W-KILN</x:v>
      </x:c>
      <x:c r="B237" s="49" t="str">
        <x:v>C-CLAY-POT</x:v>
      </x:c>
      <x:c r="C237" s="49" t="str">
        <x:v>Workspace</x:v>
      </x:c>
      <x:c r="D237" s="49" t="str">
        <x:v>Yes</x:v>
      </x:c>
      <x:c r="E237" s="49" t="str"/>
      <x:c r="F237" s="49" t="str">
        <x:v>Declared worksite dependency</x:v>
      </x:c>
      <x:c r="G237" s="49" t="n">
        <x:f>COUNTIF('Craft Nodes'!$A$5:$A$250,A237)</x:f>
        <x:v>1</x:v>
      </x:c>
      <x:c r="H237" s="49" t="n">
        <x:f>COUNTIF('Craft Nodes'!$A$5:$A$250,B237)</x:f>
        <x:v>1</x:v>
      </x:c>
      <x:c r="I237" s="49" t="str">
        <x:f>IF(AND(G237=1,H237=1),"OK",IF(G237=0,"MISSING FROM","MISSING TO"))</x:f>
        <x:v>OK</x:v>
      </x:c>
    </x:row>
    <x:row r="238">
      <x:c r="A238" s="49" t="str">
        <x:v>P-DEBURRED-AL</x:v>
      </x:c>
      <x:c r="B238" s="49" t="str">
        <x:v>C-AL-POT</x:v>
      </x:c>
      <x:c r="C238" s="49" t="str">
        <x:v>Prerequisite</x:v>
      </x:c>
      <x:c r="D238" s="49" t="str">
        <x:v>Yes</x:v>
      </x:c>
      <x:c r="E238" s="49" t="str"/>
      <x:c r="F238" s="49" t="str">
        <x:v>Required for canonical route</x:v>
      </x:c>
      <x:c r="G238" s="49" t="n">
        <x:f>COUNTIF('Craft Nodes'!$A$5:$A$250,A238)</x:f>
        <x:v>1</x:v>
      </x:c>
      <x:c r="H238" s="49" t="n">
        <x:f>COUNTIF('Craft Nodes'!$A$5:$A$250,B238)</x:f>
        <x:v>1</x:v>
      </x:c>
      <x:c r="I238" s="49" t="str">
        <x:f>IF(AND(G238=1,H238=1),"OK",IF(G238=0,"MISSING FROM","MISSING TO"))</x:f>
        <x:v>OK</x:v>
      </x:c>
    </x:row>
    <x:row r="239">
      <x:c r="A239" s="49" t="str">
        <x:v>P-RIVET</x:v>
      </x:c>
      <x:c r="B239" s="49" t="str">
        <x:v>C-AL-POT</x:v>
      </x:c>
      <x:c r="C239" s="49" t="str">
        <x:v>Prerequisite</x:v>
      </x:c>
      <x:c r="D239" s="49" t="str">
        <x:v>Yes</x:v>
      </x:c>
      <x:c r="E239" s="49" t="str"/>
      <x:c r="F239" s="49" t="str">
        <x:v>Required for canonical route</x:v>
      </x:c>
      <x:c r="G239" s="49" t="n">
        <x:f>COUNTIF('Craft Nodes'!$A$5:$A$250,A239)</x:f>
        <x:v>1</x:v>
      </x:c>
      <x:c r="H239" s="49" t="n">
        <x:f>COUNTIF('Craft Nodes'!$A$5:$A$250,B239)</x:f>
        <x:v>1</x:v>
      </x:c>
      <x:c r="I239" s="49" t="str">
        <x:f>IF(AND(G239=1,H239=1),"OK",IF(G239=0,"MISSING FROM","MISSING TO"))</x:f>
        <x:v>OK</x:v>
      </x:c>
    </x:row>
    <x:row r="240">
      <x:c r="A240" s="49" t="str">
        <x:v>T-PUNCH</x:v>
      </x:c>
      <x:c r="B240" s="49" t="str">
        <x:v>C-AL-POT</x:v>
      </x:c>
      <x:c r="C240" s="49" t="str">
        <x:v>Tool</x:v>
      </x:c>
      <x:c r="D240" s="49" t="str">
        <x:v>Yes</x:v>
      </x:c>
      <x:c r="E240" s="49" t="str"/>
      <x:c r="F240" s="49" t="str">
        <x:v>Required for canonical route</x:v>
      </x:c>
      <x:c r="G240" s="49" t="n">
        <x:f>COUNTIF('Craft Nodes'!$A$5:$A$250,A240)</x:f>
        <x:v>1</x:v>
      </x:c>
      <x:c r="H240" s="49" t="n">
        <x:f>COUNTIF('Craft Nodes'!$A$5:$A$250,B240)</x:f>
        <x:v>1</x:v>
      </x:c>
      <x:c r="I240" s="49" t="str">
        <x:f>IF(AND(G240=1,H240=1),"OK",IF(G240=0,"MISSING FROM","MISSING TO"))</x:f>
        <x:v>OK</x:v>
      </x:c>
    </x:row>
    <x:row r="241">
      <x:c r="A241" s="49" t="str">
        <x:v>T-CLAMP</x:v>
      </x:c>
      <x:c r="B241" s="49" t="str">
        <x:v>C-AL-POT</x:v>
      </x:c>
      <x:c r="C241" s="49" t="str">
        <x:v>Tool</x:v>
      </x:c>
      <x:c r="D241" s="49" t="str">
        <x:v>Yes</x:v>
      </x:c>
      <x:c r="E241" s="49" t="str"/>
      <x:c r="F241" s="49" t="str">
        <x:v>Required for canonical route</x:v>
      </x:c>
      <x:c r="G241" s="49" t="n">
        <x:f>COUNTIF('Craft Nodes'!$A$5:$A$250,A241)</x:f>
        <x:v>1</x:v>
      </x:c>
      <x:c r="H241" s="49" t="n">
        <x:f>COUNTIF('Craft Nodes'!$A$5:$A$250,B241)</x:f>
        <x:v>1</x:v>
      </x:c>
      <x:c r="I241" s="49" t="str">
        <x:f>IF(AND(G241=1,H241=1),"OK",IF(G241=0,"MISSING FROM","MISSING TO"))</x:f>
        <x:v>OK</x:v>
      </x:c>
    </x:row>
    <x:row r="242">
      <x:c r="A242" s="49" t="str">
        <x:v>T-SNIPS</x:v>
      </x:c>
      <x:c r="B242" s="49" t="str">
        <x:v>C-AL-POT</x:v>
      </x:c>
      <x:c r="C242" s="49" t="str">
        <x:v>Tool</x:v>
      </x:c>
      <x:c r="D242" s="49" t="str">
        <x:v>Yes</x:v>
      </x:c>
      <x:c r="E242" s="49" t="str"/>
      <x:c r="F242" s="49" t="str">
        <x:v>Declared embodied tool use</x:v>
      </x:c>
      <x:c r="G242" s="49" t="n">
        <x:f>COUNTIF('Craft Nodes'!$A$5:$A$250,A242)</x:f>
        <x:v>1</x:v>
      </x:c>
      <x:c r="H242" s="49" t="n">
        <x:f>COUNTIF('Craft Nodes'!$A$5:$A$250,B242)</x:f>
        <x:v>1</x:v>
      </x:c>
      <x:c r="I242" s="49" t="str">
        <x:f>IF(AND(G242=1,H242=1),"OK",IF(G242=0,"MISSING FROM","MISSING TO"))</x:f>
        <x:v>OK</x:v>
      </x:c>
    </x:row>
    <x:row r="243">
      <x:c r="A243" s="49" t="str">
        <x:v>T-FILE</x:v>
      </x:c>
      <x:c r="B243" s="49" t="str">
        <x:v>C-AL-POT</x:v>
      </x:c>
      <x:c r="C243" s="49" t="str">
        <x:v>Tool</x:v>
      </x:c>
      <x:c r="D243" s="49" t="str">
        <x:v>Yes</x:v>
      </x:c>
      <x:c r="E243" s="49" t="str"/>
      <x:c r="F243" s="49" t="str">
        <x:v>Declared embodied tool use</x:v>
      </x:c>
      <x:c r="G243" s="49" t="n">
        <x:f>COUNTIF('Craft Nodes'!$A$5:$A$250,A243)</x:f>
        <x:v>1</x:v>
      </x:c>
      <x:c r="H243" s="49" t="n">
        <x:f>COUNTIF('Craft Nodes'!$A$5:$A$250,B243)</x:f>
        <x:v>1</x:v>
      </x:c>
      <x:c r="I243" s="49" t="str">
        <x:f>IF(AND(G243=1,H243=1),"OK",IF(G243=0,"MISSING FROM","MISSING TO"))</x:f>
        <x:v>OK</x:v>
      </x:c>
    </x:row>
    <x:row r="244">
      <x:c r="A244" s="49" t="str">
        <x:v>W-BENCH</x:v>
      </x:c>
      <x:c r="B244" s="49" t="str">
        <x:v>C-AL-POT</x:v>
      </x:c>
      <x:c r="C244" s="49" t="str">
        <x:v>Workspace</x:v>
      </x:c>
      <x:c r="D244" s="49" t="str">
        <x:v>Yes</x:v>
      </x:c>
      <x:c r="E244" s="49" t="str"/>
      <x:c r="F244" s="49" t="str">
        <x:v>Declared worksite dependency</x:v>
      </x:c>
      <x:c r="G244" s="49" t="n">
        <x:f>COUNTIF('Craft Nodes'!$A$5:$A$250,A244)</x:f>
        <x:v>1</x:v>
      </x:c>
      <x:c r="H244" s="49" t="n">
        <x:f>COUNTIF('Craft Nodes'!$A$5:$A$250,B244)</x:f>
        <x:v>1</x:v>
      </x:c>
      <x:c r="I244" s="49" t="str">
        <x:f>IF(AND(G244=1,H244=1),"OK",IF(G244=0,"MISSING FROM","MISSING TO"))</x:f>
        <x:v>OK</x:v>
      </x:c>
    </x:row>
    <x:row r="245">
      <x:c r="A245" s="49" t="str">
        <x:v>C-FOUND-PAN</x:v>
      </x:c>
      <x:c r="B245" s="49" t="str">
        <x:v>C-COVERED-STORE</x:v>
      </x:c>
      <x:c r="C245" s="49" t="str">
        <x:v>Prerequisite</x:v>
      </x:c>
      <x:c r="D245" s="49" t="str">
        <x:v>Yes</x:v>
      </x:c>
      <x:c r="E245" s="49" t="str"/>
      <x:c r="F245" s="49" t="str">
        <x:v>Required for canonical route</x:v>
      </x:c>
      <x:c r="G245" s="49" t="n">
        <x:f>COUNTIF('Craft Nodes'!$A$5:$A$250,A245)</x:f>
        <x:v>1</x:v>
      </x:c>
      <x:c r="H245" s="49" t="n">
        <x:f>COUNTIF('Craft Nodes'!$A$5:$A$250,B245)</x:f>
        <x:v>1</x:v>
      </x:c>
      <x:c r="I245" s="49" t="str">
        <x:f>IF(AND(G245=1,H245=1),"OK",IF(G245=0,"MISSING FROM","MISSING TO"))</x:f>
        <x:v>OK</x:v>
      </x:c>
    </x:row>
    <x:row r="246">
      <x:c r="A246" s="49" t="str">
        <x:v>P-MAT</x:v>
      </x:c>
      <x:c r="B246" s="49" t="str">
        <x:v>C-COVERED-STORE</x:v>
      </x:c>
      <x:c r="C246" s="49" t="str">
        <x:v>Prerequisite</x:v>
      </x:c>
      <x:c r="D246" s="49" t="str">
        <x:v>Yes</x:v>
      </x:c>
      <x:c r="E246" s="49" t="str"/>
      <x:c r="F246" s="49" t="str">
        <x:v>Required for canonical route</x:v>
      </x:c>
      <x:c r="G246" s="49" t="n">
        <x:f>COUNTIF('Craft Nodes'!$A$5:$A$250,A246)</x:f>
        <x:v>1</x:v>
      </x:c>
      <x:c r="H246" s="49" t="n">
        <x:f>COUNTIF('Craft Nodes'!$A$5:$A$250,B246)</x:f>
        <x:v>1</x:v>
      </x:c>
      <x:c r="I246" s="49" t="str">
        <x:f>IF(AND(G246=1,H246=1),"OK",IF(G246=0,"MISSING FROM","MISSING TO"))</x:f>
        <x:v>OK</x:v>
      </x:c>
    </x:row>
    <x:row r="247">
      <x:c r="A247" s="49" t="str">
        <x:v>P-CORD</x:v>
      </x:c>
      <x:c r="B247" s="49" t="str">
        <x:v>C-COVERED-STORE</x:v>
      </x:c>
      <x:c r="C247" s="49" t="str">
        <x:v>Prerequisite</x:v>
      </x:c>
      <x:c r="D247" s="49" t="str">
        <x:v>Yes</x:v>
      </x:c>
      <x:c r="E247" s="49" t="str"/>
      <x:c r="F247" s="49" t="str">
        <x:v>Required for canonical route</x:v>
      </x:c>
      <x:c r="G247" s="49" t="n">
        <x:f>COUNTIF('Craft Nodes'!$A$5:$A$250,A247)</x:f>
        <x:v>1</x:v>
      </x:c>
      <x:c r="H247" s="49" t="n">
        <x:f>COUNTIF('Craft Nodes'!$A$5:$A$250,B247)</x:f>
        <x:v>1</x:v>
      </x:c>
      <x:c r="I247" s="49" t="str">
        <x:f>IF(AND(G247=1,H247=1),"OK",IF(G247=0,"MISSING FROM","MISSING TO"))</x:f>
        <x:v>OK</x:v>
      </x:c>
    </x:row>
    <x:row r="248">
      <x:c r="A248" s="49" t="str">
        <x:v>W-CLEAN</x:v>
      </x:c>
      <x:c r="B248" s="49" t="str">
        <x:v>C-COVERED-STORE</x:v>
      </x:c>
      <x:c r="C248" s="49" t="str">
        <x:v>Workspace</x:v>
      </x:c>
      <x:c r="D248" s="49" t="str">
        <x:v>Yes</x:v>
      </x:c>
      <x:c r="E248" s="49" t="str"/>
      <x:c r="F248" s="49" t="str">
        <x:v>Declared worksite dependency</x:v>
      </x:c>
      <x:c r="G248" s="49" t="n">
        <x:f>COUNTIF('Craft Nodes'!$A$5:$A$250,A248)</x:f>
        <x:v>1</x:v>
      </x:c>
      <x:c r="H248" s="49" t="n">
        <x:f>COUNTIF('Craft Nodes'!$A$5:$A$250,B248)</x:f>
        <x:v>1</x:v>
      </x:c>
      <x:c r="I248" s="49" t="str">
        <x:f>IF(AND(G248=1,H248=1),"OK",IF(G248=0,"MISSING FROM","MISSING TO"))</x:f>
        <x:v>OK</x:v>
      </x:c>
    </x:row>
    <x:row r="249">
      <x:c r="A249" s="49" t="str">
        <x:v>S-CANVAS</x:v>
      </x:c>
      <x:c r="B249" s="49" t="str">
        <x:v>A-GUTTER</x:v>
      </x:c>
      <x:c r="C249" s="49" t="str">
        <x:v>Prerequisite</x:v>
      </x:c>
      <x:c r="D249" s="49" t="str">
        <x:v>Yes</x:v>
      </x:c>
      <x:c r="E249" s="49" t="str"/>
      <x:c r="F249" s="49" t="str">
        <x:v>Required for canonical route</x:v>
      </x:c>
      <x:c r="G249" s="49" t="n">
        <x:f>COUNTIF('Craft Nodes'!$A$5:$A$250,A249)</x:f>
        <x:v>1</x:v>
      </x:c>
      <x:c r="H249" s="49" t="n">
        <x:f>COUNTIF('Craft Nodes'!$A$5:$A$250,B249)</x:f>
        <x:v>1</x:v>
      </x:c>
      <x:c r="I249" s="49" t="str">
        <x:f>IF(AND(G249=1,H249=1),"OK",IF(G249=0,"MISSING FROM","MISSING TO"))</x:f>
        <x:v>OK</x:v>
      </x:c>
    </x:row>
    <x:row r="250">
      <x:c r="A250" s="49" t="str">
        <x:v>P-STRAIGHT-POLE</x:v>
      </x:c>
      <x:c r="B250" s="49" t="str">
        <x:v>A-GUTTER</x:v>
      </x:c>
      <x:c r="C250" s="49" t="str">
        <x:v>Prerequisite</x:v>
      </x:c>
      <x:c r="D250" s="49" t="str">
        <x:v>Yes</x:v>
      </x:c>
      <x:c r="E250" s="49" t="str"/>
      <x:c r="F250" s="49" t="str">
        <x:v>Required for canonical route</x:v>
      </x:c>
      <x:c r="G250" s="49" t="n">
        <x:f>COUNTIF('Craft Nodes'!$A$5:$A$250,A250)</x:f>
        <x:v>1</x:v>
      </x:c>
      <x:c r="H250" s="49" t="n">
        <x:f>COUNTIF('Craft Nodes'!$A$5:$A$250,B250)</x:f>
        <x:v>1</x:v>
      </x:c>
      <x:c r="I250" s="49" t="str">
        <x:f>IF(AND(G250=1,H250=1),"OK",IF(G250=0,"MISSING FROM","MISSING TO"))</x:f>
        <x:v>OK</x:v>
      </x:c>
    </x:row>
    <x:row r="251">
      <x:c r="A251" s="49" t="str">
        <x:v>P-CORD</x:v>
      </x:c>
      <x:c r="B251" s="49" t="str">
        <x:v>A-GUTTER</x:v>
      </x:c>
      <x:c r="C251" s="49" t="str">
        <x:v>Prerequisite</x:v>
      </x:c>
      <x:c r="D251" s="49" t="str">
        <x:v>Yes</x:v>
      </x:c>
      <x:c r="E251" s="49" t="str"/>
      <x:c r="F251" s="49" t="str">
        <x:v>Required for canonical route</x:v>
      </x:c>
      <x:c r="G251" s="49" t="n">
        <x:f>COUNTIF('Craft Nodes'!$A$5:$A$250,A251)</x:f>
        <x:v>1</x:v>
      </x:c>
      <x:c r="H251" s="49" t="n">
        <x:f>COUNTIF('Craft Nodes'!$A$5:$A$250,B251)</x:f>
        <x:v>1</x:v>
      </x:c>
      <x:c r="I251" s="49" t="str">
        <x:f>IF(AND(G251=1,H251=1),"OK",IF(G251=0,"MISSING FROM","MISSING TO"))</x:f>
        <x:v>OK</x:v>
      </x:c>
    </x:row>
    <x:row r="252">
      <x:c r="A252" s="49" t="str">
        <x:v>T-MEASURE</x:v>
      </x:c>
      <x:c r="B252" s="49" t="str">
        <x:v>A-GUTTER</x:v>
      </x:c>
      <x:c r="C252" s="49" t="str">
        <x:v>Tool</x:v>
      </x:c>
      <x:c r="D252" s="49" t="str">
        <x:v>Yes</x:v>
      </x:c>
      <x:c r="E252" s="49" t="str"/>
      <x:c r="F252" s="49" t="str">
        <x:v>Required for canonical route</x:v>
      </x:c>
      <x:c r="G252" s="49" t="n">
        <x:f>COUNTIF('Craft Nodes'!$A$5:$A$250,A252)</x:f>
        <x:v>1</x:v>
      </x:c>
      <x:c r="H252" s="49" t="n">
        <x:f>COUNTIF('Craft Nodes'!$A$5:$A$250,B252)</x:f>
        <x:v>1</x:v>
      </x:c>
      <x:c r="I252" s="49" t="str">
        <x:f>IF(AND(G252=1,H252=1),"OK",IF(G252=0,"MISSING FROM","MISSING TO"))</x:f>
        <x:v>OK</x:v>
      </x:c>
    </x:row>
    <x:row r="253">
      <x:c r="A253" s="49" t="str">
        <x:v>A-ROOF</x:v>
      </x:c>
      <x:c r="B253" s="49" t="str">
        <x:v>A-GUTTER</x:v>
      </x:c>
      <x:c r="C253" s="49" t="str">
        <x:v>Workspace</x:v>
      </x:c>
      <x:c r="D253" s="49" t="str">
        <x:v>Yes</x:v>
      </x:c>
      <x:c r="E253" s="49" t="str"/>
      <x:c r="F253" s="49" t="str">
        <x:v>Declared worksite dependency</x:v>
      </x:c>
      <x:c r="G253" s="49" t="n">
        <x:f>COUNTIF('Craft Nodes'!$A$5:$A$250,A253)</x:f>
        <x:v>1</x:v>
      </x:c>
      <x:c r="H253" s="49" t="n">
        <x:f>COUNTIF('Craft Nodes'!$A$5:$A$250,B253)</x:f>
        <x:v>1</x:v>
      </x:c>
      <x:c r="I253" s="49" t="str">
        <x:f>IF(AND(G253=1,H253=1),"OK",IF(G253=0,"MISSING FROM","MISSING TO"))</x:f>
        <x:v>OK</x:v>
      </x:c>
    </x:row>
    <x:row r="254">
      <x:c r="A254" s="49" t="str">
        <x:v>A-GUTTER</x:v>
      </x:c>
      <x:c r="B254" s="49" t="str">
        <x:v>A-FIRST-FLUSH</x:v>
      </x:c>
      <x:c r="C254" s="49" t="str">
        <x:v>Prerequisite</x:v>
      </x:c>
      <x:c r="D254" s="49" t="str">
        <x:v>Yes</x:v>
      </x:c>
      <x:c r="E254" s="49" t="str"/>
      <x:c r="F254" s="49" t="str">
        <x:v>Required for canonical route</x:v>
      </x:c>
      <x:c r="G254" s="49" t="n">
        <x:f>COUNTIF('Craft Nodes'!$A$5:$A$250,A254)</x:f>
        <x:v>1</x:v>
      </x:c>
      <x:c r="H254" s="49" t="n">
        <x:f>COUNTIF('Craft Nodes'!$A$5:$A$250,B254)</x:f>
        <x:v>1</x:v>
      </x:c>
      <x:c r="I254" s="49" t="str">
        <x:f>IF(AND(G254=1,H254=1),"OK",IF(G254=0,"MISSING FROM","MISSING TO"))</x:f>
        <x:v>OK</x:v>
      </x:c>
    </x:row>
    <x:row r="255">
      <x:c r="A255" s="49" t="str">
        <x:v>S-BOTTLE</x:v>
      </x:c>
      <x:c r="B255" s="49" t="str">
        <x:v>A-FIRST-FLUSH</x:v>
      </x:c>
      <x:c r="C255" s="49" t="str">
        <x:v>Prerequisite</x:v>
      </x:c>
      <x:c r="D255" s="49" t="str">
        <x:v>Yes</x:v>
      </x:c>
      <x:c r="E255" s="49" t="str"/>
      <x:c r="F255" s="49" t="str">
        <x:v>Required for canonical route</x:v>
      </x:c>
      <x:c r="G255" s="49" t="n">
        <x:f>COUNTIF('Craft Nodes'!$A$5:$A$250,A255)</x:f>
        <x:v>1</x:v>
      </x:c>
      <x:c r="H255" s="49" t="n">
        <x:f>COUNTIF('Craft Nodes'!$A$5:$A$250,B255)</x:f>
        <x:v>1</x:v>
      </x:c>
      <x:c r="I255" s="49" t="str">
        <x:f>IF(AND(G255=1,H255=1),"OK",IF(G255=0,"MISSING FROM","MISSING TO"))</x:f>
        <x:v>OK</x:v>
      </x:c>
    </x:row>
    <x:row r="256">
      <x:c r="A256" s="49" t="str">
        <x:v>P-CORD</x:v>
      </x:c>
      <x:c r="B256" s="49" t="str">
        <x:v>A-FIRST-FLUSH</x:v>
      </x:c>
      <x:c r="C256" s="49" t="str">
        <x:v>Prerequisite</x:v>
      </x:c>
      <x:c r="D256" s="49" t="str">
        <x:v>Yes</x:v>
      </x:c>
      <x:c r="E256" s="49" t="str"/>
      <x:c r="F256" s="49" t="str">
        <x:v>Required for canonical route</x:v>
      </x:c>
      <x:c r="G256" s="49" t="n">
        <x:f>COUNTIF('Craft Nodes'!$A$5:$A$250,A256)</x:f>
        <x:v>1</x:v>
      </x:c>
      <x:c r="H256" s="49" t="n">
        <x:f>COUNTIF('Craft Nodes'!$A$5:$A$250,B256)</x:f>
        <x:v>1</x:v>
      </x:c>
      <x:c r="I256" s="49" t="str">
        <x:f>IF(AND(G256=1,H256=1),"OK",IF(G256=0,"MISSING FROM","MISSING TO"))</x:f>
        <x:v>OK</x:v>
      </x:c>
    </x:row>
    <x:row r="257">
      <x:c r="A257" s="49" t="str">
        <x:v>T-MEASURE</x:v>
      </x:c>
      <x:c r="B257" s="49" t="str">
        <x:v>A-FIRST-FLUSH</x:v>
      </x:c>
      <x:c r="C257" s="49" t="str">
        <x:v>Tool</x:v>
      </x:c>
      <x:c r="D257" s="49" t="str">
        <x:v>Yes</x:v>
      </x:c>
      <x:c r="E257" s="49" t="str"/>
      <x:c r="F257" s="49" t="str">
        <x:v>Declared embodied tool use</x:v>
      </x:c>
      <x:c r="G257" s="49" t="n">
        <x:f>COUNTIF('Craft Nodes'!$A$5:$A$250,A257)</x:f>
        <x:v>1</x:v>
      </x:c>
      <x:c r="H257" s="49" t="n">
        <x:f>COUNTIF('Craft Nodes'!$A$5:$A$250,B257)</x:f>
        <x:v>1</x:v>
      </x:c>
      <x:c r="I257" s="49" t="str">
        <x:f>IF(AND(G257=1,H257=1),"OK",IF(G257=0,"MISSING FROM","MISSING TO"))</x:f>
        <x:v>OK</x:v>
      </x:c>
    </x:row>
    <x:row r="258">
      <x:c r="A258" s="49" t="str">
        <x:v>A-ROOF</x:v>
      </x:c>
      <x:c r="B258" s="49" t="str">
        <x:v>A-FIRST-FLUSH</x:v>
      </x:c>
      <x:c r="C258" s="49" t="str">
        <x:v>Workspace</x:v>
      </x:c>
      <x:c r="D258" s="49" t="str">
        <x:v>Yes</x:v>
      </x:c>
      <x:c r="E258" s="49" t="str"/>
      <x:c r="F258" s="49" t="str">
        <x:v>Declared worksite dependency</x:v>
      </x:c>
      <x:c r="G258" s="49" t="n">
        <x:f>COUNTIF('Craft Nodes'!$A$5:$A$250,A258)</x:f>
        <x:v>1</x:v>
      </x:c>
      <x:c r="H258" s="49" t="n">
        <x:f>COUNTIF('Craft Nodes'!$A$5:$A$250,B258)</x:f>
        <x:v>1</x:v>
      </x:c>
      <x:c r="I258" s="49" t="str">
        <x:f>IF(AND(G258=1,H258=1),"OK",IF(G258=0,"MISSING FROM","MISSING TO"))</x:f>
        <x:v>OK</x:v>
      </x:c>
    </x:row>
    <x:row r="259">
      <x:c r="A259" s="49" t="str">
        <x:v>P-FIRED-CERAMIC</x:v>
      </x:c>
      <x:c r="B259" s="49" t="str">
        <x:v>A-CISTERN</x:v>
      </x:c>
      <x:c r="C259" s="49" t="str">
        <x:v>Prerequisite</x:v>
      </x:c>
      <x:c r="D259" s="49" t="str">
        <x:v>Yes</x:v>
      </x:c>
      <x:c r="E259" s="49" t="str"/>
      <x:c r="F259" s="49" t="str">
        <x:v>Required for canonical route</x:v>
      </x:c>
      <x:c r="G259" s="49" t="n">
        <x:f>COUNTIF('Craft Nodes'!$A$5:$A$250,A259)</x:f>
        <x:v>1</x:v>
      </x:c>
      <x:c r="H259" s="49" t="n">
        <x:f>COUNTIF('Craft Nodes'!$A$5:$A$250,B259)</x:f>
        <x:v>1</x:v>
      </x:c>
      <x:c r="I259" s="49" t="str">
        <x:f>IF(AND(G259=1,H259=1),"OK",IF(G259=0,"MISSING FROM","MISSING TO"))</x:f>
        <x:v>OK</x:v>
      </x:c>
    </x:row>
    <x:row r="260">
      <x:c r="A260" s="49" t="str">
        <x:v>A-GUTTER</x:v>
      </x:c>
      <x:c r="B260" s="49" t="str">
        <x:v>A-CISTERN</x:v>
      </x:c>
      <x:c r="C260" s="49" t="str">
        <x:v>Prerequisite</x:v>
      </x:c>
      <x:c r="D260" s="49" t="str">
        <x:v>Yes</x:v>
      </x:c>
      <x:c r="E260" s="49" t="str"/>
      <x:c r="F260" s="49" t="str">
        <x:v>Required for canonical route</x:v>
      </x:c>
      <x:c r="G260" s="49" t="n">
        <x:f>COUNTIF('Craft Nodes'!$A$5:$A$250,A260)</x:f>
        <x:v>1</x:v>
      </x:c>
      <x:c r="H260" s="49" t="n">
        <x:f>COUNTIF('Craft Nodes'!$A$5:$A$250,B260)</x:f>
        <x:v>1</x:v>
      </x:c>
      <x:c r="I260" s="49" t="str">
        <x:f>IF(AND(G260=1,H260=1),"OK",IF(G260=0,"MISSING FROM","MISSING TO"))</x:f>
        <x:v>OK</x:v>
      </x:c>
    </x:row>
    <x:row r="261">
      <x:c r="A261" s="49" t="str">
        <x:v>A-FIRST-FLUSH</x:v>
      </x:c>
      <x:c r="B261" s="49" t="str">
        <x:v>A-CISTERN</x:v>
      </x:c>
      <x:c r="C261" s="49" t="str">
        <x:v>Prerequisite</x:v>
      </x:c>
      <x:c r="D261" s="49" t="str">
        <x:v>Yes</x:v>
      </x:c>
      <x:c r="E261" s="49" t="str"/>
      <x:c r="F261" s="49" t="str">
        <x:v>Required for canonical route</x:v>
      </x:c>
      <x:c r="G261" s="49" t="n">
        <x:f>COUNTIF('Craft Nodes'!$A$5:$A$250,A261)</x:f>
        <x:v>1</x:v>
      </x:c>
      <x:c r="H261" s="49" t="n">
        <x:f>COUNTIF('Craft Nodes'!$A$5:$A$250,B261)</x:f>
        <x:v>1</x:v>
      </x:c>
      <x:c r="I261" s="49" t="str">
        <x:f>IF(AND(G261=1,H261=1),"OK",IF(G261=0,"MISSING FROM","MISSING TO"))</x:f>
        <x:v>OK</x:v>
      </x:c>
    </x:row>
    <x:row r="262">
      <x:c r="A262" s="49" t="str">
        <x:v>P-PITCH</x:v>
      </x:c>
      <x:c r="B262" s="49" t="str">
        <x:v>A-CISTERN</x:v>
      </x:c>
      <x:c r="C262" s="49" t="str">
        <x:v>Prerequisite</x:v>
      </x:c>
      <x:c r="D262" s="49" t="str">
        <x:v>Yes</x:v>
      </x:c>
      <x:c r="E262" s="49" t="str"/>
      <x:c r="F262" s="49" t="str">
        <x:v>Required for canonical route</x:v>
      </x:c>
      <x:c r="G262" s="49" t="n">
        <x:f>COUNTIF('Craft Nodes'!$A$5:$A$250,A262)</x:f>
        <x:v>1</x:v>
      </x:c>
      <x:c r="H262" s="49" t="n">
        <x:f>COUNTIF('Craft Nodes'!$A$5:$A$250,B262)</x:f>
        <x:v>1</x:v>
      </x:c>
      <x:c r="I262" s="49" t="str">
        <x:f>IF(AND(G262=1,H262=1),"OK",IF(G262=0,"MISSING FROM","MISSING TO"))</x:f>
        <x:v>OK</x:v>
      </x:c>
    </x:row>
    <x:row r="263">
      <x:c r="A263" s="49" t="str">
        <x:v>T-MEASURE</x:v>
      </x:c>
      <x:c r="B263" s="49" t="str">
        <x:v>A-CISTERN</x:v>
      </x:c>
      <x:c r="C263" s="49" t="str">
        <x:v>Tool</x:v>
      </x:c>
      <x:c r="D263" s="49" t="str">
        <x:v>Yes</x:v>
      </x:c>
      <x:c r="E263" s="49" t="str"/>
      <x:c r="F263" s="49" t="str">
        <x:v>Declared embodied tool use</x:v>
      </x:c>
      <x:c r="G263" s="49" t="n">
        <x:f>COUNTIF('Craft Nodes'!$A$5:$A$250,A263)</x:f>
        <x:v>1</x:v>
      </x:c>
      <x:c r="H263" s="49" t="n">
        <x:f>COUNTIF('Craft Nodes'!$A$5:$A$250,B263)</x:f>
        <x:v>1</x:v>
      </x:c>
      <x:c r="I263" s="49" t="str">
        <x:f>IF(AND(G263=1,H263=1),"OK",IF(G263=0,"MISSING FROM","MISSING TO"))</x:f>
        <x:v>OK</x:v>
      </x:c>
    </x:row>
    <x:row r="264">
      <x:c r="A264" s="49" t="str">
        <x:v>S-SAND</x:v>
      </x:c>
      <x:c r="B264" s="49" t="str">
        <x:v>A-FILTER</x:v>
      </x:c>
      <x:c r="C264" s="49" t="str">
        <x:v>Prerequisite</x:v>
      </x:c>
      <x:c r="D264" s="49" t="str">
        <x:v>Yes</x:v>
      </x:c>
      <x:c r="E264" s="49" t="str"/>
      <x:c r="F264" s="49" t="str">
        <x:v>Required for canonical route</x:v>
      </x:c>
      <x:c r="G264" s="49" t="n">
        <x:f>COUNTIF('Craft Nodes'!$A$5:$A$250,A264)</x:f>
        <x:v>1</x:v>
      </x:c>
      <x:c r="H264" s="49" t="n">
        <x:f>COUNTIF('Craft Nodes'!$A$5:$A$250,B264)</x:f>
        <x:v>1</x:v>
      </x:c>
      <x:c r="I264" s="49" t="str">
        <x:f>IF(AND(G264=1,H264=1),"OK",IF(G264=0,"MISSING FROM","MISSING TO"))</x:f>
        <x:v>OK</x:v>
      </x:c>
    </x:row>
    <x:row r="265">
      <x:c r="A265" s="49" t="str">
        <x:v>P-CHARCOAL</x:v>
      </x:c>
      <x:c r="B265" s="49" t="str">
        <x:v>A-FILTER</x:v>
      </x:c>
      <x:c r="C265" s="49" t="str">
        <x:v>Prerequisite</x:v>
      </x:c>
      <x:c r="D265" s="49" t="str">
        <x:v>Yes</x:v>
      </x:c>
      <x:c r="E265" s="49" t="str"/>
      <x:c r="F265" s="49" t="str">
        <x:v>Required for canonical route</x:v>
      </x:c>
      <x:c r="G265" s="49" t="n">
        <x:f>COUNTIF('Craft Nodes'!$A$5:$A$250,A265)</x:f>
        <x:v>1</x:v>
      </x:c>
      <x:c r="H265" s="49" t="n">
        <x:f>COUNTIF('Craft Nodes'!$A$5:$A$250,B265)</x:f>
        <x:v>1</x:v>
      </x:c>
      <x:c r="I265" s="49" t="str">
        <x:f>IF(AND(G265=1,H265=1),"OK",IF(G265=0,"MISSING FROM","MISSING TO"))</x:f>
        <x:v>OK</x:v>
      </x:c>
    </x:row>
    <x:row r="266">
      <x:c r="A266" s="49" t="str">
        <x:v>P-MAT</x:v>
      </x:c>
      <x:c r="B266" s="49" t="str">
        <x:v>A-FILTER</x:v>
      </x:c>
      <x:c r="C266" s="49" t="str">
        <x:v>Prerequisite</x:v>
      </x:c>
      <x:c r="D266" s="49" t="str">
        <x:v>Yes</x:v>
      </x:c>
      <x:c r="E266" s="49" t="str"/>
      <x:c r="F266" s="49" t="str">
        <x:v>Required for canonical route</x:v>
      </x:c>
      <x:c r="G266" s="49" t="n">
        <x:f>COUNTIF('Craft Nodes'!$A$5:$A$250,A266)</x:f>
        <x:v>1</x:v>
      </x:c>
      <x:c r="H266" s="49" t="n">
        <x:f>COUNTIF('Craft Nodes'!$A$5:$A$250,B266)</x:f>
        <x:v>1</x:v>
      </x:c>
      <x:c r="I266" s="49" t="str">
        <x:f>IF(AND(G266=1,H266=1),"OK",IF(G266=0,"MISSING FROM","MISSING TO"))</x:f>
        <x:v>OK</x:v>
      </x:c>
    </x:row>
    <x:row r="267">
      <x:c r="A267" s="49" t="str">
        <x:v>C-COVERED-STORE</x:v>
      </x:c>
      <x:c r="B267" s="49" t="str">
        <x:v>A-FILTER</x:v>
      </x:c>
      <x:c r="C267" s="49" t="str">
        <x:v>Prerequisite</x:v>
      </x:c>
      <x:c r="D267" s="49" t="str">
        <x:v>Yes</x:v>
      </x:c>
      <x:c r="E267" s="49" t="str"/>
      <x:c r="F267" s="49" t="str">
        <x:v>Required for canonical route</x:v>
      </x:c>
      <x:c r="G267" s="49" t="n">
        <x:f>COUNTIF('Craft Nodes'!$A$5:$A$250,A267)</x:f>
        <x:v>1</x:v>
      </x:c>
      <x:c r="H267" s="49" t="n">
        <x:f>COUNTIF('Craft Nodes'!$A$5:$A$250,B267)</x:f>
        <x:v>1</x:v>
      </x:c>
      <x:c r="I267" s="49" t="str">
        <x:f>IF(AND(G267=1,H267=1),"OK",IF(G267=0,"MISSING FROM","MISSING TO"))</x:f>
        <x:v>OK</x:v>
      </x:c>
    </x:row>
    <x:row r="268">
      <x:c r="A268" s="49" t="str">
        <x:v>T-MEASURE</x:v>
      </x:c>
      <x:c r="B268" s="49" t="str">
        <x:v>A-FILTER</x:v>
      </x:c>
      <x:c r="C268" s="49" t="str">
        <x:v>Tool</x:v>
      </x:c>
      <x:c r="D268" s="49" t="str">
        <x:v>Yes</x:v>
      </x:c>
      <x:c r="E268" s="49" t="str"/>
      <x:c r="F268" s="49" t="str">
        <x:v>Declared embodied tool use</x:v>
      </x:c>
      <x:c r="G268" s="49" t="n">
        <x:f>COUNTIF('Craft Nodes'!$A$5:$A$250,A268)</x:f>
        <x:v>1</x:v>
      </x:c>
      <x:c r="H268" s="49" t="n">
        <x:f>COUNTIF('Craft Nodes'!$A$5:$A$250,B268)</x:f>
        <x:v>1</x:v>
      </x:c>
      <x:c r="I268" s="49" t="str">
        <x:f>IF(AND(G268=1,H268=1),"OK",IF(G268=0,"MISSING FROM","MISSING TO"))</x:f>
        <x:v>OK</x:v>
      </x:c>
    </x:row>
    <x:row r="269">
      <x:c r="A269" s="49" t="str">
        <x:v>W-WATER</x:v>
      </x:c>
      <x:c r="B269" s="49" t="str">
        <x:v>A-FILTER</x:v>
      </x:c>
      <x:c r="C269" s="49" t="str">
        <x:v>Workspace</x:v>
      </x:c>
      <x:c r="D269" s="49" t="str">
        <x:v>Yes</x:v>
      </x:c>
      <x:c r="E269" s="49" t="str"/>
      <x:c r="F269" s="49" t="str">
        <x:v>Declared worksite dependency</x:v>
      </x:c>
      <x:c r="G269" s="49" t="n">
        <x:f>COUNTIF('Craft Nodes'!$A$5:$A$250,A269)</x:f>
        <x:v>1</x:v>
      </x:c>
      <x:c r="H269" s="49" t="n">
        <x:f>COUNTIF('Craft Nodes'!$A$5:$A$250,B269)</x:f>
        <x:v>1</x:v>
      </x:c>
      <x:c r="I269" s="49" t="str">
        <x:f>IF(AND(G269=1,H269=1),"OK",IF(G269=0,"MISSING FROM","MISSING TO"))</x:f>
        <x:v>OK</x:v>
      </x:c>
    </x:row>
    <x:row r="270">
      <x:c r="A270" s="49" t="str">
        <x:v>C-AL-POT</x:v>
      </x:c>
      <x:c r="B270" s="49" t="str">
        <x:v>A-DISTILLER</x:v>
      </x:c>
      <x:c r="C270" s="49" t="str">
        <x:v>Prerequisite</x:v>
      </x:c>
      <x:c r="D270" s="49" t="str">
        <x:v>Yes</x:v>
      </x:c>
      <x:c r="E270" s="49" t="str"/>
      <x:c r="F270" s="49" t="str">
        <x:v>Required for canonical route</x:v>
      </x:c>
      <x:c r="G270" s="49" t="n">
        <x:f>COUNTIF('Craft Nodes'!$A$5:$A$250,A270)</x:f>
        <x:v>1</x:v>
      </x:c>
      <x:c r="H270" s="49" t="n">
        <x:f>COUNTIF('Craft Nodes'!$A$5:$A$250,B270)</x:f>
        <x:v>1</x:v>
      </x:c>
      <x:c r="I270" s="49" t="str">
        <x:f>IF(AND(G270=1,H270=1),"OK",IF(G270=0,"MISSING FROM","MISSING TO"))</x:f>
        <x:v>OK</x:v>
      </x:c>
    </x:row>
    <x:row r="271">
      <x:c r="A271" s="49" t="str">
        <x:v>S-COPPER</x:v>
      </x:c>
      <x:c r="B271" s="49" t="str">
        <x:v>A-DISTILLER</x:v>
      </x:c>
      <x:c r="C271" s="49" t="str">
        <x:v>Prerequisite</x:v>
      </x:c>
      <x:c r="D271" s="49" t="str">
        <x:v>Yes</x:v>
      </x:c>
      <x:c r="E271" s="49" t="str"/>
      <x:c r="F271" s="49" t="str">
        <x:v>Required for canonical route</x:v>
      </x:c>
      <x:c r="G271" s="49" t="n">
        <x:f>COUNTIF('Craft Nodes'!$A$5:$A$250,A271)</x:f>
        <x:v>1</x:v>
      </x:c>
      <x:c r="H271" s="49" t="n">
        <x:f>COUNTIF('Craft Nodes'!$A$5:$A$250,B271)</x:f>
        <x:v>1</x:v>
      </x:c>
      <x:c r="I271" s="49" t="str">
        <x:f>IF(AND(G271=1,H271=1),"OK",IF(G271=0,"MISSING FROM","MISSING TO"))</x:f>
        <x:v>OK</x:v>
      </x:c>
    </x:row>
    <x:row r="272">
      <x:c r="A272" s="49" t="str">
        <x:v>P-GASKET</x:v>
      </x:c>
      <x:c r="B272" s="49" t="str">
        <x:v>A-DISTILLER</x:v>
      </x:c>
      <x:c r="C272" s="49" t="str">
        <x:v>Prerequisite</x:v>
      </x:c>
      <x:c r="D272" s="49" t="str">
        <x:v>Yes</x:v>
      </x:c>
      <x:c r="E272" s="49" t="str"/>
      <x:c r="F272" s="49" t="str">
        <x:v>Required for canonical route</x:v>
      </x:c>
      <x:c r="G272" s="49" t="n">
        <x:f>COUNTIF('Craft Nodes'!$A$5:$A$250,A272)</x:f>
        <x:v>1</x:v>
      </x:c>
      <x:c r="H272" s="49" t="n">
        <x:f>COUNTIF('Craft Nodes'!$A$5:$A$250,B272)</x:f>
        <x:v>1</x:v>
      </x:c>
      <x:c r="I272" s="49" t="str">
        <x:f>IF(AND(G272=1,H272=1),"OK",IF(G272=0,"MISSING FROM","MISSING TO"))</x:f>
        <x:v>OK</x:v>
      </x:c>
    </x:row>
    <x:row r="273">
      <x:c r="A273" s="49" t="str">
        <x:v>C-COVERED-STORE</x:v>
      </x:c>
      <x:c r="B273" s="49" t="str">
        <x:v>A-DISTILLER</x:v>
      </x:c>
      <x:c r="C273" s="49" t="str">
        <x:v>Prerequisite</x:v>
      </x:c>
      <x:c r="D273" s="49" t="str">
        <x:v>Yes</x:v>
      </x:c>
      <x:c r="E273" s="49" t="str"/>
      <x:c r="F273" s="49" t="str">
        <x:v>Required for canonical route</x:v>
      </x:c>
      <x:c r="G273" s="49" t="n">
        <x:f>COUNTIF('Craft Nodes'!$A$5:$A$250,A273)</x:f>
        <x:v>1</x:v>
      </x:c>
      <x:c r="H273" s="49" t="n">
        <x:f>COUNTIF('Craft Nodes'!$A$5:$A$250,B273)</x:f>
        <x:v>1</x:v>
      </x:c>
      <x:c r="I273" s="49" t="str">
        <x:f>IF(AND(G273=1,H273=1),"OK",IF(G273=0,"MISSING FROM","MISSING TO"))</x:f>
        <x:v>OK</x:v>
      </x:c>
    </x:row>
    <x:row r="274">
      <x:c r="A274" s="49" t="str">
        <x:v>W-HEARTH</x:v>
      </x:c>
      <x:c r="B274" s="49" t="str">
        <x:v>A-DISTILLER</x:v>
      </x:c>
      <x:c r="C274" s="49" t="str">
        <x:v>Workspace</x:v>
      </x:c>
      <x:c r="D274" s="49" t="str">
        <x:v>Yes</x:v>
      </x:c>
      <x:c r="E274" s="49" t="str"/>
      <x:c r="F274" s="49" t="str">
        <x:v>Required for canonical route</x:v>
      </x:c>
      <x:c r="G274" s="49" t="n">
        <x:f>COUNTIF('Craft Nodes'!$A$5:$A$250,A274)</x:f>
        <x:v>1</x:v>
      </x:c>
      <x:c r="H274" s="49" t="n">
        <x:f>COUNTIF('Craft Nodes'!$A$5:$A$250,B274)</x:f>
        <x:v>1</x:v>
      </x:c>
      <x:c r="I274" s="49" t="str">
        <x:f>IF(AND(G274=1,H274=1),"OK",IF(G274=0,"MISSING FROM","MISSING TO"))</x:f>
        <x:v>OK</x:v>
      </x:c>
    </x:row>
    <x:row r="275">
      <x:c r="A275" s="49" t="str">
        <x:v>T-MEASURE</x:v>
      </x:c>
      <x:c r="B275" s="49" t="str">
        <x:v>A-DISTILLER</x:v>
      </x:c>
      <x:c r="C275" s="49" t="str">
        <x:v>Tool</x:v>
      </x:c>
      <x:c r="D275" s="49" t="str">
        <x:v>Yes</x:v>
      </x:c>
      <x:c r="E275" s="49" t="str"/>
      <x:c r="F275" s="49" t="str">
        <x:v>Declared embodied tool use</x:v>
      </x:c>
      <x:c r="G275" s="49" t="n">
        <x:f>COUNTIF('Craft Nodes'!$A$5:$A$250,A275)</x:f>
        <x:v>1</x:v>
      </x:c>
      <x:c r="H275" s="49" t="n">
        <x:f>COUNTIF('Craft Nodes'!$A$5:$A$250,B275)</x:f>
        <x:v>1</x:v>
      </x:c>
      <x:c r="I275" s="49" t="str">
        <x:f>IF(AND(G275=1,H275=1),"OK",IF(G275=0,"MISSING FROM","MISSING TO"))</x:f>
        <x:v>OK</x:v>
      </x:c>
    </x:row>
    <x:row r="276">
      <x:c r="A276" s="49" t="str">
        <x:v>S-RUBBER</x:v>
      </x:c>
      <x:c r="B276" s="49" t="str">
        <x:v>A-PIPE</x:v>
      </x:c>
      <x:c r="C276" s="49" t="str">
        <x:v>Prerequisite</x:v>
      </x:c>
      <x:c r="D276" s="49" t="str">
        <x:v>Yes</x:v>
      </x:c>
      <x:c r="E276" s="49" t="str"/>
      <x:c r="F276" s="49" t="str">
        <x:v>Required for canonical route</x:v>
      </x:c>
      <x:c r="G276" s="49" t="n">
        <x:f>COUNTIF('Craft Nodes'!$A$5:$A$250,A276)</x:f>
        <x:v>1</x:v>
      </x:c>
      <x:c r="H276" s="49" t="n">
        <x:f>COUNTIF('Craft Nodes'!$A$5:$A$250,B276)</x:f>
        <x:v>1</x:v>
      </x:c>
      <x:c r="I276" s="49" t="str">
        <x:f>IF(AND(G276=1,H276=1),"OK",IF(G276=0,"MISSING FROM","MISSING TO"))</x:f>
        <x:v>OK</x:v>
      </x:c>
    </x:row>
    <x:row r="277">
      <x:c r="A277" s="49" t="str">
        <x:v>S-COPPER</x:v>
      </x:c>
      <x:c r="B277" s="49" t="str">
        <x:v>A-PIPE</x:v>
      </x:c>
      <x:c r="C277" s="49" t="str">
        <x:v>Prerequisite</x:v>
      </x:c>
      <x:c r="D277" s="49" t="str">
        <x:v>Yes</x:v>
      </x:c>
      <x:c r="E277" s="49" t="str"/>
      <x:c r="F277" s="49" t="str">
        <x:v>Required for canonical route</x:v>
      </x:c>
      <x:c r="G277" s="49" t="n">
        <x:f>COUNTIF('Craft Nodes'!$A$5:$A$250,A277)</x:f>
        <x:v>1</x:v>
      </x:c>
      <x:c r="H277" s="49" t="n">
        <x:f>COUNTIF('Craft Nodes'!$A$5:$A$250,B277)</x:f>
        <x:v>1</x:v>
      </x:c>
      <x:c r="I277" s="49" t="str">
        <x:f>IF(AND(G277=1,H277=1),"OK",IF(G277=0,"MISSING FROM","MISSING TO"))</x:f>
        <x:v>OK</x:v>
      </x:c>
    </x:row>
    <x:row r="278">
      <x:c r="A278" s="49" t="str">
        <x:v>P-GASKET</x:v>
      </x:c>
      <x:c r="B278" s="49" t="str">
        <x:v>A-PIPE</x:v>
      </x:c>
      <x:c r="C278" s="49" t="str">
        <x:v>Prerequisite</x:v>
      </x:c>
      <x:c r="D278" s="49" t="str">
        <x:v>Yes</x:v>
      </x:c>
      <x:c r="E278" s="49" t="str"/>
      <x:c r="F278" s="49" t="str">
        <x:v>Required for canonical route</x:v>
      </x:c>
      <x:c r="G278" s="49" t="n">
        <x:f>COUNTIF('Craft Nodes'!$A$5:$A$250,A278)</x:f>
        <x:v>1</x:v>
      </x:c>
      <x:c r="H278" s="49" t="n">
        <x:f>COUNTIF('Craft Nodes'!$A$5:$A$250,B278)</x:f>
        <x:v>1</x:v>
      </x:c>
      <x:c r="I278" s="49" t="str">
        <x:f>IF(AND(G278=1,H278=1),"OK",IF(G278=0,"MISSING FROM","MISSING TO"))</x:f>
        <x:v>OK</x:v>
      </x:c>
    </x:row>
    <x:row r="279">
      <x:c r="A279" s="49" t="str">
        <x:v>T-STONE-KNIFE</x:v>
      </x:c>
      <x:c r="B279" s="49" t="str">
        <x:v>A-PIPE</x:v>
      </x:c>
      <x:c r="C279" s="49" t="str">
        <x:v>Tool</x:v>
      </x:c>
      <x:c r="D279" s="49" t="str">
        <x:v>Yes</x:v>
      </x:c>
      <x:c r="E279" s="49" t="str"/>
      <x:c r="F279" s="49" t="str">
        <x:v>Declared embodied tool use</x:v>
      </x:c>
      <x:c r="G279" s="49" t="n">
        <x:f>COUNTIF('Craft Nodes'!$A$5:$A$250,A279)</x:f>
        <x:v>1</x:v>
      </x:c>
      <x:c r="H279" s="49" t="n">
        <x:f>COUNTIF('Craft Nodes'!$A$5:$A$250,B279)</x:f>
        <x:v>1</x:v>
      </x:c>
      <x:c r="I279" s="49" t="str">
        <x:f>IF(AND(G279=1,H279=1),"OK",IF(G279=0,"MISSING FROM","MISSING TO"))</x:f>
        <x:v>OK</x:v>
      </x:c>
    </x:row>
    <x:row r="280">
      <x:c r="A280" s="49" t="str">
        <x:v>W-BENCH</x:v>
      </x:c>
      <x:c r="B280" s="49" t="str">
        <x:v>A-PIPE</x:v>
      </x:c>
      <x:c r="C280" s="49" t="str">
        <x:v>Workspace</x:v>
      </x:c>
      <x:c r="D280" s="49" t="str">
        <x:v>Yes</x:v>
      </x:c>
      <x:c r="E280" s="49" t="str"/>
      <x:c r="F280" s="49" t="str">
        <x:v>Declared worksite dependency</x:v>
      </x:c>
      <x:c r="G280" s="49" t="n">
        <x:f>COUNTIF('Craft Nodes'!$A$5:$A$250,A280)</x:f>
        <x:v>1</x:v>
      </x:c>
      <x:c r="H280" s="49" t="n">
        <x:f>COUNTIF('Craft Nodes'!$A$5:$A$250,B280)</x:f>
        <x:v>1</x:v>
      </x:c>
      <x:c r="I280" s="49" t="str">
        <x:f>IF(AND(G280=1,H280=1),"OK",IF(G280=0,"MISSING FROM","MISSING TO"))</x:f>
        <x:v>OK</x:v>
      </x:c>
    </x:row>
    <x:row r="281">
      <x:c r="A281" s="49" t="str">
        <x:v>S-BRASS</x:v>
      </x:c>
      <x:c r="B281" s="49" t="str">
        <x:v>A-VALVE</x:v>
      </x:c>
      <x:c r="C281" s="49" t="str">
        <x:v>Prerequisite</x:v>
      </x:c>
      <x:c r="D281" s="49" t="str">
        <x:v>Yes</x:v>
      </x:c>
      <x:c r="E281" s="49" t="str"/>
      <x:c r="F281" s="49" t="str">
        <x:v>Required for canonical route</x:v>
      </x:c>
      <x:c r="G281" s="49" t="n">
        <x:f>COUNTIF('Craft Nodes'!$A$5:$A$250,A281)</x:f>
        <x:v>1</x:v>
      </x:c>
      <x:c r="H281" s="49" t="n">
        <x:f>COUNTIF('Craft Nodes'!$A$5:$A$250,B281)</x:f>
        <x:v>1</x:v>
      </x:c>
      <x:c r="I281" s="49" t="str">
        <x:f>IF(AND(G281=1,H281=1),"OK",IF(G281=0,"MISSING FROM","MISSING TO"))</x:f>
        <x:v>OK</x:v>
      </x:c>
    </x:row>
    <x:row r="282">
      <x:c r="A282" s="49" t="str">
        <x:v>P-GASKET</x:v>
      </x:c>
      <x:c r="B282" s="49" t="str">
        <x:v>A-VALVE</x:v>
      </x:c>
      <x:c r="C282" s="49" t="str">
        <x:v>Prerequisite</x:v>
      </x:c>
      <x:c r="D282" s="49" t="str">
        <x:v>Yes</x:v>
      </x:c>
      <x:c r="E282" s="49" t="str"/>
      <x:c r="F282" s="49" t="str">
        <x:v>Required for canonical route</x:v>
      </x:c>
      <x:c r="G282" s="49" t="n">
        <x:f>COUNTIF('Craft Nodes'!$A$5:$A$250,A282)</x:f>
        <x:v>1</x:v>
      </x:c>
      <x:c r="H282" s="49" t="n">
        <x:f>COUNTIF('Craft Nodes'!$A$5:$A$250,B282)</x:f>
        <x:v>1</x:v>
      </x:c>
      <x:c r="I282" s="49" t="str">
        <x:f>IF(AND(G282=1,H282=1),"OK",IF(G282=0,"MISSING FROM","MISSING TO"))</x:f>
        <x:v>OK</x:v>
      </x:c>
    </x:row>
    <x:row r="283">
      <x:c r="A283" s="49" t="str">
        <x:v>A-PIPE</x:v>
      </x:c>
      <x:c r="B283" s="49" t="str">
        <x:v>A-VALVE</x:v>
      </x:c>
      <x:c r="C283" s="49" t="str">
        <x:v>Prerequisite</x:v>
      </x:c>
      <x:c r="D283" s="49" t="str">
        <x:v>Yes</x:v>
      </x:c>
      <x:c r="E283" s="49" t="str"/>
      <x:c r="F283" s="49" t="str">
        <x:v>Required for canonical route</x:v>
      </x:c>
      <x:c r="G283" s="49" t="n">
        <x:f>COUNTIF('Craft Nodes'!$A$5:$A$250,A283)</x:f>
        <x:v>1</x:v>
      </x:c>
      <x:c r="H283" s="49" t="n">
        <x:f>COUNTIF('Craft Nodes'!$A$5:$A$250,B283)</x:f>
        <x:v>1</x:v>
      </x:c>
      <x:c r="I283" s="49" t="str">
        <x:f>IF(AND(G283=1,H283=1),"OK",IF(G283=0,"MISSING FROM","MISSING TO"))</x:f>
        <x:v>OK</x:v>
      </x:c>
    </x:row>
    <x:row r="284">
      <x:c r="A284" s="49" t="str">
        <x:v>T-PRY</x:v>
      </x:c>
      <x:c r="B284" s="49" t="str">
        <x:v>A-VALVE</x:v>
      </x:c>
      <x:c r="C284" s="49" t="str">
        <x:v>Tool</x:v>
      </x:c>
      <x:c r="D284" s="49" t="str">
        <x:v>Yes</x:v>
      </x:c>
      <x:c r="E284" s="49" t="str"/>
      <x:c r="F284" s="49" t="str">
        <x:v>Declared embodied tool use</x:v>
      </x:c>
      <x:c r="G284" s="49" t="n">
        <x:f>COUNTIF('Craft Nodes'!$A$5:$A$250,A284)</x:f>
        <x:v>1</x:v>
      </x:c>
      <x:c r="H284" s="49" t="n">
        <x:f>COUNTIF('Craft Nodes'!$A$5:$A$250,B284)</x:f>
        <x:v>1</x:v>
      </x:c>
      <x:c r="I284" s="49" t="str">
        <x:f>IF(AND(G284=1,H284=1),"OK",IF(G284=0,"MISSING FROM","MISSING TO"))</x:f>
        <x:v>OK</x:v>
      </x:c>
    </x:row>
    <x:row r="285">
      <x:c r="A285" s="49" t="str">
        <x:v>W-BENCH</x:v>
      </x:c>
      <x:c r="B285" s="49" t="str">
        <x:v>A-VALVE</x:v>
      </x:c>
      <x:c r="C285" s="49" t="str">
        <x:v>Workspace</x:v>
      </x:c>
      <x:c r="D285" s="49" t="str">
        <x:v>Yes</x:v>
      </x:c>
      <x:c r="E285" s="49" t="str"/>
      <x:c r="F285" s="49" t="str">
        <x:v>Declared worksite dependency</x:v>
      </x:c>
      <x:c r="G285" s="49" t="n">
        <x:f>COUNTIF('Craft Nodes'!$A$5:$A$250,A285)</x:f>
        <x:v>1</x:v>
      </x:c>
      <x:c r="H285" s="49" t="n">
        <x:f>COUNTIF('Craft Nodes'!$A$5:$A$250,B285)</x:f>
        <x:v>1</x:v>
      </x:c>
      <x:c r="I285" s="49" t="str">
        <x:f>IF(AND(G285=1,H285=1),"OK",IF(G285=0,"MISSING FROM","MISSING TO"))</x:f>
        <x:v>OK</x:v>
      </x:c>
    </x:row>
    <x:row r="286">
      <x:c r="A286" s="49" t="str">
        <x:v>S-BEARING</x:v>
      </x:c>
      <x:c r="B286" s="49" t="str">
        <x:v>A-PUMP</x:v>
      </x:c>
      <x:c r="C286" s="49" t="str">
        <x:v>Prerequisite</x:v>
      </x:c>
      <x:c r="D286" s="49" t="str">
        <x:v>Yes</x:v>
      </x:c>
      <x:c r="E286" s="49" t="str"/>
      <x:c r="F286" s="49" t="str">
        <x:v>Required for canonical route</x:v>
      </x:c>
      <x:c r="G286" s="49" t="n">
        <x:f>COUNTIF('Craft Nodes'!$A$5:$A$250,A286)</x:f>
        <x:v>1</x:v>
      </x:c>
      <x:c r="H286" s="49" t="n">
        <x:f>COUNTIF('Craft Nodes'!$A$5:$A$250,B286)</x:f>
        <x:v>1</x:v>
      </x:c>
      <x:c r="I286" s="49" t="str">
        <x:f>IF(AND(G286=1,H286=1),"OK",IF(G286=0,"MISSING FROM","MISSING TO"))</x:f>
        <x:v>OK</x:v>
      </x:c>
    </x:row>
    <x:row r="287">
      <x:c r="A287" s="49" t="str">
        <x:v>A-PIPE</x:v>
      </x:c>
      <x:c r="B287" s="49" t="str">
        <x:v>A-PUMP</x:v>
      </x:c>
      <x:c r="C287" s="49" t="str">
        <x:v>Prerequisite</x:v>
      </x:c>
      <x:c r="D287" s="49" t="str">
        <x:v>Yes</x:v>
      </x:c>
      <x:c r="E287" s="49" t="str"/>
      <x:c r="F287" s="49" t="str">
        <x:v>Required for canonical route</x:v>
      </x:c>
      <x:c r="G287" s="49" t="n">
        <x:f>COUNTIF('Craft Nodes'!$A$5:$A$250,A287)</x:f>
        <x:v>1</x:v>
      </x:c>
      <x:c r="H287" s="49" t="n">
        <x:f>COUNTIF('Craft Nodes'!$A$5:$A$250,B287)</x:f>
        <x:v>1</x:v>
      </x:c>
      <x:c r="I287" s="49" t="str">
        <x:f>IF(AND(G287=1,H287=1),"OK",IF(G287=0,"MISSING FROM","MISSING TO"))</x:f>
        <x:v>OK</x:v>
      </x:c>
    </x:row>
    <x:row r="288">
      <x:c r="A288" s="49" t="str">
        <x:v>A-VALVE</x:v>
      </x:c>
      <x:c r="B288" s="49" t="str">
        <x:v>A-PUMP</x:v>
      </x:c>
      <x:c r="C288" s="49" t="str">
        <x:v>Prerequisite</x:v>
      </x:c>
      <x:c r="D288" s="49" t="str">
        <x:v>Yes</x:v>
      </x:c>
      <x:c r="E288" s="49" t="str"/>
      <x:c r="F288" s="49" t="str">
        <x:v>Required for canonical route</x:v>
      </x:c>
      <x:c r="G288" s="49" t="n">
        <x:f>COUNTIF('Craft Nodes'!$A$5:$A$250,A288)</x:f>
        <x:v>1</x:v>
      </x:c>
      <x:c r="H288" s="49" t="n">
        <x:f>COUNTIF('Craft Nodes'!$A$5:$A$250,B288)</x:f>
        <x:v>1</x:v>
      </x:c>
      <x:c r="I288" s="49" t="str">
        <x:f>IF(AND(G288=1,H288=1),"OK",IF(G288=0,"MISSING FROM","MISSING TO"))</x:f>
        <x:v>OK</x:v>
      </x:c>
    </x:row>
    <x:row r="289">
      <x:c r="A289" s="49" t="str">
        <x:v>P-GASKET</x:v>
      </x:c>
      <x:c r="B289" s="49" t="str">
        <x:v>A-PUMP</x:v>
      </x:c>
      <x:c r="C289" s="49" t="str">
        <x:v>Prerequisite</x:v>
      </x:c>
      <x:c r="D289" s="49" t="str">
        <x:v>Yes</x:v>
      </x:c>
      <x:c r="E289" s="49" t="str"/>
      <x:c r="F289" s="49" t="str">
        <x:v>Required for canonical route</x:v>
      </x:c>
      <x:c r="G289" s="49" t="n">
        <x:f>COUNTIF('Craft Nodes'!$A$5:$A$250,A289)</x:f>
        <x:v>1</x:v>
      </x:c>
      <x:c r="H289" s="49" t="n">
        <x:f>COUNTIF('Craft Nodes'!$A$5:$A$250,B289)</x:f>
        <x:v>1</x:v>
      </x:c>
      <x:c r="I289" s="49" t="str">
        <x:f>IF(AND(G289=1,H289=1),"OK",IF(G289=0,"MISSING FROM","MISSING TO"))</x:f>
        <x:v>OK</x:v>
      </x:c>
    </x:row>
    <x:row r="290">
      <x:c r="A290" s="49" t="str">
        <x:v>T-MEASURE</x:v>
      </x:c>
      <x:c r="B290" s="49" t="str">
        <x:v>A-PUMP</x:v>
      </x:c>
      <x:c r="C290" s="49" t="str">
        <x:v>Tool</x:v>
      </x:c>
      <x:c r="D290" s="49" t="str">
        <x:v>Yes</x:v>
      </x:c>
      <x:c r="E290" s="49" t="str"/>
      <x:c r="F290" s="49" t="str">
        <x:v>Declared embodied tool use</x:v>
      </x:c>
      <x:c r="G290" s="49" t="n">
        <x:f>COUNTIF('Craft Nodes'!$A$5:$A$250,A290)</x:f>
        <x:v>1</x:v>
      </x:c>
      <x:c r="H290" s="49" t="n">
        <x:f>COUNTIF('Craft Nodes'!$A$5:$A$250,B290)</x:f>
        <x:v>1</x:v>
      </x:c>
      <x:c r="I290" s="49" t="str">
        <x:f>IF(AND(G290=1,H290=1),"OK",IF(G290=0,"MISSING FROM","MISSING TO"))</x:f>
        <x:v>OK</x:v>
      </x:c>
    </x:row>
    <x:row r="291">
      <x:c r="A291" s="49" t="str">
        <x:v>W-BENCH</x:v>
      </x:c>
      <x:c r="B291" s="49" t="str">
        <x:v>A-PUMP</x:v>
      </x:c>
      <x:c r="C291" s="49" t="str">
        <x:v>Workspace</x:v>
      </x:c>
      <x:c r="D291" s="49" t="str">
        <x:v>Yes</x:v>
      </x:c>
      <x:c r="E291" s="49" t="str"/>
      <x:c r="F291" s="49" t="str">
        <x:v>Declared worksite dependency</x:v>
      </x:c>
      <x:c r="G291" s="49" t="n">
        <x:f>COUNTIF('Craft Nodes'!$A$5:$A$250,A291)</x:f>
        <x:v>1</x:v>
      </x:c>
      <x:c r="H291" s="49" t="n">
        <x:f>COUNTIF('Craft Nodes'!$A$5:$A$250,B291)</x:f>
        <x:v>1</x:v>
      </x:c>
      <x:c r="I291" s="49" t="str">
        <x:f>IF(AND(G291=1,H291=1),"OK",IF(G291=0,"MISSING FROM","MISSING TO"))</x:f>
        <x:v>OK</x:v>
      </x:c>
    </x:row>
    <x:row r="292">
      <x:c r="A292" s="49" t="str">
        <x:v>P-STRAIGHT-POLE</x:v>
      </x:c>
      <x:c r="B292" s="49" t="str">
        <x:v>A-WINDBREAK</x:v>
      </x:c>
      <x:c r="C292" s="49" t="str">
        <x:v>Prerequisite</x:v>
      </x:c>
      <x:c r="D292" s="49" t="str">
        <x:v>Yes</x:v>
      </x:c>
      <x:c r="E292" s="49" t="str"/>
      <x:c r="F292" s="49" t="str">
        <x:v>Required for canonical route</x:v>
      </x:c>
      <x:c r="G292" s="49" t="n">
        <x:f>COUNTIF('Craft Nodes'!$A$5:$A$250,A292)</x:f>
        <x:v>1</x:v>
      </x:c>
      <x:c r="H292" s="49" t="n">
        <x:f>COUNTIF('Craft Nodes'!$A$5:$A$250,B292)</x:f>
        <x:v>1</x:v>
      </x:c>
      <x:c r="I292" s="49" t="str">
        <x:f>IF(AND(G292=1,H292=1),"OK",IF(G292=0,"MISSING FROM","MISSING TO"))</x:f>
        <x:v>OK</x:v>
      </x:c>
    </x:row>
    <x:row r="293">
      <x:c r="A293" s="49" t="str">
        <x:v>P-MAT</x:v>
      </x:c>
      <x:c r="B293" s="49" t="str">
        <x:v>A-WINDBREAK</x:v>
      </x:c>
      <x:c r="C293" s="49" t="str">
        <x:v>Prerequisite</x:v>
      </x:c>
      <x:c r="D293" s="49" t="str">
        <x:v>Yes</x:v>
      </x:c>
      <x:c r="E293" s="49" t="str"/>
      <x:c r="F293" s="49" t="str">
        <x:v>Required for canonical route</x:v>
      </x:c>
      <x:c r="G293" s="49" t="n">
        <x:f>COUNTIF('Craft Nodes'!$A$5:$A$250,A293)</x:f>
        <x:v>1</x:v>
      </x:c>
      <x:c r="H293" s="49" t="n">
        <x:f>COUNTIF('Craft Nodes'!$A$5:$A$250,B293)</x:f>
        <x:v>1</x:v>
      </x:c>
      <x:c r="I293" s="49" t="str">
        <x:f>IF(AND(G293=1,H293=1),"OK",IF(G293=0,"MISSING FROM","MISSING TO"))</x:f>
        <x:v>OK</x:v>
      </x:c>
    </x:row>
    <x:row r="294">
      <x:c r="A294" s="49" t="str">
        <x:v>P-CORD</x:v>
      </x:c>
      <x:c r="B294" s="49" t="str">
        <x:v>A-WINDBREAK</x:v>
      </x:c>
      <x:c r="C294" s="49" t="str">
        <x:v>Prerequisite</x:v>
      </x:c>
      <x:c r="D294" s="49" t="str">
        <x:v>Yes</x:v>
      </x:c>
      <x:c r="E294" s="49" t="str"/>
      <x:c r="F294" s="49" t="str">
        <x:v>Required for canonical route</x:v>
      </x:c>
      <x:c r="G294" s="49" t="n">
        <x:f>COUNTIF('Craft Nodes'!$A$5:$A$250,A294)</x:f>
        <x:v>1</x:v>
      </x:c>
      <x:c r="H294" s="49" t="n">
        <x:f>COUNTIF('Craft Nodes'!$A$5:$A$250,B294)</x:f>
        <x:v>1</x:v>
      </x:c>
      <x:c r="I294" s="49" t="str">
        <x:f>IF(AND(G294=1,H294=1),"OK",IF(G294=0,"MISSING FROM","MISSING TO"))</x:f>
        <x:v>OK</x:v>
      </x:c>
    </x:row>
    <x:row r="295">
      <x:c r="A295" s="49" t="str">
        <x:v>T-DIG</x:v>
      </x:c>
      <x:c r="B295" s="49" t="str">
        <x:v>A-WINDBREAK</x:v>
      </x:c>
      <x:c r="C295" s="49" t="str">
        <x:v>Tool</x:v>
      </x:c>
      <x:c r="D295" s="49" t="str">
        <x:v>Yes</x:v>
      </x:c>
      <x:c r="E295" s="49" t="str"/>
      <x:c r="F295" s="49" t="str">
        <x:v>Declared embodied tool use</x:v>
      </x:c>
      <x:c r="G295" s="49" t="n">
        <x:f>COUNTIF('Craft Nodes'!$A$5:$A$250,A295)</x:f>
        <x:v>1</x:v>
      </x:c>
      <x:c r="H295" s="49" t="n">
        <x:f>COUNTIF('Craft Nodes'!$A$5:$A$250,B295)</x:f>
        <x:v>1</x:v>
      </x:c>
      <x:c r="I295" s="49" t="str">
        <x:f>IF(AND(G295=1,H295=1),"OK",IF(G295=0,"MISSING FROM","MISSING TO"))</x:f>
        <x:v>OK</x:v>
      </x:c>
    </x:row>
    <x:row r="296">
      <x:c r="A296" s="49" t="str">
        <x:v>P-STRAIGHT-POLE</x:v>
      </x:c>
      <x:c r="B296" s="49" t="str">
        <x:v>A-ROOF</x:v>
      </x:c>
      <x:c r="C296" s="49" t="str">
        <x:v>Prerequisite</x:v>
      </x:c>
      <x:c r="D296" s="49" t="str">
        <x:v>Yes</x:v>
      </x:c>
      <x:c r="E296" s="49" t="str"/>
      <x:c r="F296" s="49" t="str">
        <x:v>Required for canonical route</x:v>
      </x:c>
      <x:c r="G296" s="49" t="n">
        <x:f>COUNTIF('Craft Nodes'!$A$5:$A$250,A296)</x:f>
        <x:v>1</x:v>
      </x:c>
      <x:c r="H296" s="49" t="n">
        <x:f>COUNTIF('Craft Nodes'!$A$5:$A$250,B296)</x:f>
        <x:v>1</x:v>
      </x:c>
      <x:c r="I296" s="49" t="str">
        <x:f>IF(AND(G296=1,H296=1),"OK",IF(G296=0,"MISSING FROM","MISSING TO"))</x:f>
        <x:v>OK</x:v>
      </x:c>
    </x:row>
    <x:row r="297">
      <x:c r="A297" s="49" t="str">
        <x:v>P-MAT</x:v>
      </x:c>
      <x:c r="B297" s="49" t="str">
        <x:v>A-ROOF</x:v>
      </x:c>
      <x:c r="C297" s="49" t="str">
        <x:v>Prerequisite</x:v>
      </x:c>
      <x:c r="D297" s="49" t="str">
        <x:v>Yes</x:v>
      </x:c>
      <x:c r="E297" s="49" t="str"/>
      <x:c r="F297" s="49" t="str">
        <x:v>Required for canonical route</x:v>
      </x:c>
      <x:c r="G297" s="49" t="n">
        <x:f>COUNTIF('Craft Nodes'!$A$5:$A$250,A297)</x:f>
        <x:v>1</x:v>
      </x:c>
      <x:c r="H297" s="49" t="n">
        <x:f>COUNTIF('Craft Nodes'!$A$5:$A$250,B297)</x:f>
        <x:v>1</x:v>
      </x:c>
      <x:c r="I297" s="49" t="str">
        <x:f>IF(AND(G297=1,H297=1),"OK",IF(G297=0,"MISSING FROM","MISSING TO"))</x:f>
        <x:v>OK</x:v>
      </x:c>
    </x:row>
    <x:row r="298">
      <x:c r="A298" s="49" t="str">
        <x:v>P-CORD</x:v>
      </x:c>
      <x:c r="B298" s="49" t="str">
        <x:v>A-ROOF</x:v>
      </x:c>
      <x:c r="C298" s="49" t="str">
        <x:v>Prerequisite</x:v>
      </x:c>
      <x:c r="D298" s="49" t="str">
        <x:v>Yes</x:v>
      </x:c>
      <x:c r="E298" s="49" t="str"/>
      <x:c r="F298" s="49" t="str">
        <x:v>Required for canonical route</x:v>
      </x:c>
      <x:c r="G298" s="49" t="n">
        <x:f>COUNTIF('Craft Nodes'!$A$5:$A$250,A298)</x:f>
        <x:v>1</x:v>
      </x:c>
      <x:c r="H298" s="49" t="n">
        <x:f>COUNTIF('Craft Nodes'!$A$5:$A$250,B298)</x:f>
        <x:v>1</x:v>
      </x:c>
      <x:c r="I298" s="49" t="str">
        <x:f>IF(AND(G298=1,H298=1),"OK",IF(G298=0,"MISSING FROM","MISSING TO"))</x:f>
        <x:v>OK</x:v>
      </x:c>
    </x:row>
    <x:row r="299">
      <x:c r="A299" s="49" t="str">
        <x:v>T-MEASURE</x:v>
      </x:c>
      <x:c r="B299" s="49" t="str">
        <x:v>A-ROOF</x:v>
      </x:c>
      <x:c r="C299" s="49" t="str">
        <x:v>Tool</x:v>
      </x:c>
      <x:c r="D299" s="49" t="str">
        <x:v>Yes</x:v>
      </x:c>
      <x:c r="E299" s="49" t="str"/>
      <x:c r="F299" s="49" t="str">
        <x:v>Declared embodied tool use</x:v>
      </x:c>
      <x:c r="G299" s="49" t="n">
        <x:f>COUNTIF('Craft Nodes'!$A$5:$A$250,A299)</x:f>
        <x:v>1</x:v>
      </x:c>
      <x:c r="H299" s="49" t="n">
        <x:f>COUNTIF('Craft Nodes'!$A$5:$A$250,B299)</x:f>
        <x:v>1</x:v>
      </x:c>
      <x:c r="I299" s="49" t="str">
        <x:f>IF(AND(G299=1,H299=1),"OK",IF(G299=0,"MISSING FROM","MISSING TO"))</x:f>
        <x:v>OK</x:v>
      </x:c>
    </x:row>
    <x:row r="300">
      <x:c r="A300" s="49" t="str">
        <x:v>P-STRAIGHT-POLE</x:v>
      </x:c>
      <x:c r="B300" s="49" t="str">
        <x:v>A-RAISED-BED</x:v>
      </x:c>
      <x:c r="C300" s="49" t="str">
        <x:v>Prerequisite</x:v>
      </x:c>
      <x:c r="D300" s="49" t="str">
        <x:v>Yes</x:v>
      </x:c>
      <x:c r="E300" s="49" t="str"/>
      <x:c r="F300" s="49" t="str">
        <x:v>Required for canonical route</x:v>
      </x:c>
      <x:c r="G300" s="49" t="n">
        <x:f>COUNTIF('Craft Nodes'!$A$5:$A$250,A300)</x:f>
        <x:v>1</x:v>
      </x:c>
      <x:c r="H300" s="49" t="n">
        <x:f>COUNTIF('Craft Nodes'!$A$5:$A$250,B300)</x:f>
        <x:v>1</x:v>
      </x:c>
      <x:c r="I300" s="49" t="str">
        <x:f>IF(AND(G300=1,H300=1),"OK",IF(G300=0,"MISSING FROM","MISSING TO"))</x:f>
        <x:v>OK</x:v>
      </x:c>
    </x:row>
    <x:row r="301">
      <x:c r="A301" s="49" t="str">
        <x:v>P-MAT</x:v>
      </x:c>
      <x:c r="B301" s="49" t="str">
        <x:v>A-RAISED-BED</x:v>
      </x:c>
      <x:c r="C301" s="49" t="str">
        <x:v>Prerequisite</x:v>
      </x:c>
      <x:c r="D301" s="49" t="str">
        <x:v>Yes</x:v>
      </x:c>
      <x:c r="E301" s="49" t="str"/>
      <x:c r="F301" s="49" t="str">
        <x:v>Required for canonical route</x:v>
      </x:c>
      <x:c r="G301" s="49" t="n">
        <x:f>COUNTIF('Craft Nodes'!$A$5:$A$250,A301)</x:f>
        <x:v>1</x:v>
      </x:c>
      <x:c r="H301" s="49" t="n">
        <x:f>COUNTIF('Craft Nodes'!$A$5:$A$250,B301)</x:f>
        <x:v>1</x:v>
      </x:c>
      <x:c r="I301" s="49" t="str">
        <x:f>IF(AND(G301=1,H301=1),"OK",IF(G301=0,"MISSING FROM","MISSING TO"))</x:f>
        <x:v>OK</x:v>
      </x:c>
    </x:row>
    <x:row r="302">
      <x:c r="A302" s="49" t="str">
        <x:v>P-CORD</x:v>
      </x:c>
      <x:c r="B302" s="49" t="str">
        <x:v>A-RAISED-BED</x:v>
      </x:c>
      <x:c r="C302" s="49" t="str">
        <x:v>Prerequisite</x:v>
      </x:c>
      <x:c r="D302" s="49" t="str">
        <x:v>Yes</x:v>
      </x:c>
      <x:c r="E302" s="49" t="str"/>
      <x:c r="F302" s="49" t="str">
        <x:v>Required for canonical route</x:v>
      </x:c>
      <x:c r="G302" s="49" t="n">
        <x:f>COUNTIF('Craft Nodes'!$A$5:$A$250,A302)</x:f>
        <x:v>1</x:v>
      </x:c>
      <x:c r="H302" s="49" t="n">
        <x:f>COUNTIF('Craft Nodes'!$A$5:$A$250,B302)</x:f>
        <x:v>1</x:v>
      </x:c>
      <x:c r="I302" s="49" t="str">
        <x:f>IF(AND(G302=1,H302=1),"OK",IF(G302=0,"MISSING FROM","MISSING TO"))</x:f>
        <x:v>OK</x:v>
      </x:c>
    </x:row>
    <x:row r="303">
      <x:c r="A303" s="49" t="str">
        <x:v>T-MEASURE</x:v>
      </x:c>
      <x:c r="B303" s="49" t="str">
        <x:v>A-RAISED-BED</x:v>
      </x:c>
      <x:c r="C303" s="49" t="str">
        <x:v>Tool</x:v>
      </x:c>
      <x:c r="D303" s="49" t="str">
        <x:v>Yes</x:v>
      </x:c>
      <x:c r="E303" s="49" t="str"/>
      <x:c r="F303" s="49" t="str">
        <x:v>Declared embodied tool use</x:v>
      </x:c>
      <x:c r="G303" s="49" t="n">
        <x:f>COUNTIF('Craft Nodes'!$A$5:$A$250,A303)</x:f>
        <x:v>1</x:v>
      </x:c>
      <x:c r="H303" s="49" t="n">
        <x:f>COUNTIF('Craft Nodes'!$A$5:$A$250,B303)</x:f>
        <x:v>1</x:v>
      </x:c>
      <x:c r="I303" s="49" t="str">
        <x:f>IF(AND(G303=1,H303=1),"OK",IF(G303=0,"MISSING FROM","MISSING TO"))</x:f>
        <x:v>OK</x:v>
      </x:c>
    </x:row>
    <x:row r="304">
      <x:c r="A304" s="49" t="str">
        <x:v>A-ROOF</x:v>
      </x:c>
      <x:c r="B304" s="49" t="str">
        <x:v>A-RAISED-BED</x:v>
      </x:c>
      <x:c r="C304" s="49" t="str">
        <x:v>Workspace</x:v>
      </x:c>
      <x:c r="D304" s="49" t="str">
        <x:v>Yes</x:v>
      </x:c>
      <x:c r="E304" s="49" t="str"/>
      <x:c r="F304" s="49" t="str">
        <x:v>Declared worksite dependency</x:v>
      </x:c>
      <x:c r="G304" s="49" t="n">
        <x:f>COUNTIF('Craft Nodes'!$A$5:$A$250,A304)</x:f>
        <x:v>1</x:v>
      </x:c>
      <x:c r="H304" s="49" t="n">
        <x:f>COUNTIF('Craft Nodes'!$A$5:$A$250,B304)</x:f>
        <x:v>1</x:v>
      </x:c>
      <x:c r="I304" s="49" t="str">
        <x:f>IF(AND(G304=1,H304=1),"OK",IF(G304=0,"MISSING FROM","MISSING TO"))</x:f>
        <x:v>OK</x:v>
      </x:c>
    </x:row>
    <x:row r="305">
      <x:c r="A305" s="49" t="str">
        <x:v>A-WINDBREAK</x:v>
      </x:c>
      <x:c r="B305" s="49" t="str">
        <x:v>A-REFUGE</x:v>
      </x:c>
      <x:c r="C305" s="49" t="str">
        <x:v>Prerequisite</x:v>
      </x:c>
      <x:c r="D305" s="49" t="str">
        <x:v>Yes</x:v>
      </x:c>
      <x:c r="E305" s="49" t="str"/>
      <x:c r="F305" s="49" t="str">
        <x:v>Required for canonical route</x:v>
      </x:c>
      <x:c r="G305" s="49" t="n">
        <x:f>COUNTIF('Craft Nodes'!$A$5:$A$250,A305)</x:f>
        <x:v>1</x:v>
      </x:c>
      <x:c r="H305" s="49" t="n">
        <x:f>COUNTIF('Craft Nodes'!$A$5:$A$250,B305)</x:f>
        <x:v>1</x:v>
      </x:c>
      <x:c r="I305" s="49" t="str">
        <x:f>IF(AND(G305=1,H305=1),"OK",IF(G305=0,"MISSING FROM","MISSING TO"))</x:f>
        <x:v>OK</x:v>
      </x:c>
    </x:row>
    <x:row r="306">
      <x:c r="A306" s="49" t="str">
        <x:v>A-ROOF</x:v>
      </x:c>
      <x:c r="B306" s="49" t="str">
        <x:v>A-REFUGE</x:v>
      </x:c>
      <x:c r="C306" s="49" t="str">
        <x:v>Prerequisite</x:v>
      </x:c>
      <x:c r="D306" s="49" t="str">
        <x:v>Yes</x:v>
      </x:c>
      <x:c r="E306" s="49" t="str"/>
      <x:c r="F306" s="49" t="str">
        <x:v>Required for canonical route</x:v>
      </x:c>
      <x:c r="G306" s="49" t="n">
        <x:f>COUNTIF('Craft Nodes'!$A$5:$A$250,A306)</x:f>
        <x:v>1</x:v>
      </x:c>
      <x:c r="H306" s="49" t="n">
        <x:f>COUNTIF('Craft Nodes'!$A$5:$A$250,B306)</x:f>
        <x:v>1</x:v>
      </x:c>
      <x:c r="I306" s="49" t="str">
        <x:f>IF(AND(G306=1,H306=1),"OK",IF(G306=0,"MISSING FROM","MISSING TO"))</x:f>
        <x:v>OK</x:v>
      </x:c>
    </x:row>
    <x:row r="307">
      <x:c r="A307" s="49" t="str">
        <x:v>A-RAISED-BED</x:v>
      </x:c>
      <x:c r="B307" s="49" t="str">
        <x:v>A-REFUGE</x:v>
      </x:c>
      <x:c r="C307" s="49" t="str">
        <x:v>Prerequisite</x:v>
      </x:c>
      <x:c r="D307" s="49" t="str">
        <x:v>Yes</x:v>
      </x:c>
      <x:c r="E307" s="49" t="str"/>
      <x:c r="F307" s="49" t="str">
        <x:v>Required for canonical route</x:v>
      </x:c>
      <x:c r="G307" s="49" t="n">
        <x:f>COUNTIF('Craft Nodes'!$A$5:$A$250,A307)</x:f>
        <x:v>1</x:v>
      </x:c>
      <x:c r="H307" s="49" t="n">
        <x:f>COUNTIF('Craft Nodes'!$A$5:$A$250,B307)</x:f>
        <x:v>1</x:v>
      </x:c>
      <x:c r="I307" s="49" t="str">
        <x:f>IF(AND(G307=1,H307=1),"OK",IF(G307=0,"MISSING FROM","MISSING TO"))</x:f>
        <x:v>OK</x:v>
      </x:c>
    </x:row>
    <x:row r="308">
      <x:c r="A308" s="49" t="str">
        <x:v>W-HEARTH</x:v>
      </x:c>
      <x:c r="B308" s="49" t="str">
        <x:v>A-REFUGE</x:v>
      </x:c>
      <x:c r="C308" s="49" t="str">
        <x:v>Workspace</x:v>
      </x:c>
      <x:c r="D308" s="49" t="str">
        <x:v>Yes</x:v>
      </x:c>
      <x:c r="E308" s="49" t="str"/>
      <x:c r="F308" s="49" t="str">
        <x:v>Required for canonical route</x:v>
      </x:c>
      <x:c r="G308" s="49" t="n">
        <x:f>COUNTIF('Craft Nodes'!$A$5:$A$250,A308)</x:f>
        <x:v>1</x:v>
      </x:c>
      <x:c r="H308" s="49" t="n">
        <x:f>COUNTIF('Craft Nodes'!$A$5:$A$250,B308)</x:f>
        <x:v>1</x:v>
      </x:c>
      <x:c r="I308" s="49" t="str">
        <x:f>IF(AND(G308=1,H308=1),"OK",IF(G308=0,"MISSING FROM","MISSING TO"))</x:f>
        <x:v>OK</x:v>
      </x:c>
    </x:row>
    <x:row r="309">
      <x:c r="A309" s="49" t="str">
        <x:v>P-MAT</x:v>
      </x:c>
      <x:c r="B309" s="49" t="str">
        <x:v>A-COVERED-STORE</x:v>
      </x:c>
      <x:c r="C309" s="49" t="str">
        <x:v>Prerequisite</x:v>
      </x:c>
      <x:c r="D309" s="49" t="str">
        <x:v>Yes</x:v>
      </x:c>
      <x:c r="E309" s="49" t="str"/>
      <x:c r="F309" s="49" t="str">
        <x:v>Required for canonical route</x:v>
      </x:c>
      <x:c r="G309" s="49" t="n">
        <x:f>COUNTIF('Craft Nodes'!$A$5:$A$250,A309)</x:f>
        <x:v>1</x:v>
      </x:c>
      <x:c r="H309" s="49" t="n">
        <x:f>COUNTIF('Craft Nodes'!$A$5:$A$250,B309)</x:f>
        <x:v>1</x:v>
      </x:c>
      <x:c r="I309" s="49" t="str">
        <x:f>IF(AND(G309=1,H309=1),"OK",IF(G309=0,"MISSING FROM","MISSING TO"))</x:f>
        <x:v>OK</x:v>
      </x:c>
    </x:row>
    <x:row r="310">
      <x:c r="A310" s="49" t="str">
        <x:v>P-STRAIGHT-POLE</x:v>
      </x:c>
      <x:c r="B310" s="49" t="str">
        <x:v>A-COVERED-STORE</x:v>
      </x:c>
      <x:c r="C310" s="49" t="str">
        <x:v>Prerequisite</x:v>
      </x:c>
      <x:c r="D310" s="49" t="str">
        <x:v>Yes</x:v>
      </x:c>
      <x:c r="E310" s="49" t="str"/>
      <x:c r="F310" s="49" t="str">
        <x:v>Required for canonical route</x:v>
      </x:c>
      <x:c r="G310" s="49" t="n">
        <x:f>COUNTIF('Craft Nodes'!$A$5:$A$250,A310)</x:f>
        <x:v>1</x:v>
      </x:c>
      <x:c r="H310" s="49" t="n">
        <x:f>COUNTIF('Craft Nodes'!$A$5:$A$250,B310)</x:f>
        <x:v>1</x:v>
      </x:c>
      <x:c r="I310" s="49" t="str">
        <x:f>IF(AND(G310=1,H310=1),"OK",IF(G310=0,"MISSING FROM","MISSING TO"))</x:f>
        <x:v>OK</x:v>
      </x:c>
    </x:row>
    <x:row r="311">
      <x:c r="A311" s="49" t="str">
        <x:v>P-CORD</x:v>
      </x:c>
      <x:c r="B311" s="49" t="str">
        <x:v>A-COVERED-STORE</x:v>
      </x:c>
      <x:c r="C311" s="49" t="str">
        <x:v>Prerequisite</x:v>
      </x:c>
      <x:c r="D311" s="49" t="str">
        <x:v>Yes</x:v>
      </x:c>
      <x:c r="E311" s="49" t="str"/>
      <x:c r="F311" s="49" t="str">
        <x:v>Required for canonical route</x:v>
      </x:c>
      <x:c r="G311" s="49" t="n">
        <x:f>COUNTIF('Craft Nodes'!$A$5:$A$250,A311)</x:f>
        <x:v>1</x:v>
      </x:c>
      <x:c r="H311" s="49" t="n">
        <x:f>COUNTIF('Craft Nodes'!$A$5:$A$250,B311)</x:f>
        <x:v>1</x:v>
      </x:c>
      <x:c r="I311" s="49" t="str">
        <x:f>IF(AND(G311=1,H311=1),"OK",IF(G311=0,"MISSING FROM","MISSING TO"))</x:f>
        <x:v>OK</x:v>
      </x:c>
    </x:row>
    <x:row r="312">
      <x:c r="A312" s="49" t="str">
        <x:v>A-ROOF</x:v>
      </x:c>
      <x:c r="B312" s="49" t="str">
        <x:v>A-COVERED-STORE</x:v>
      </x:c>
      <x:c r="C312" s="49" t="str">
        <x:v>Prerequisite</x:v>
      </x:c>
      <x:c r="D312" s="49" t="str">
        <x:v>Yes</x:v>
      </x:c>
      <x:c r="E312" s="49" t="str"/>
      <x:c r="F312" s="49" t="str">
        <x:v>Required for canonical route</x:v>
      </x:c>
      <x:c r="G312" s="49" t="n">
        <x:f>COUNTIF('Craft Nodes'!$A$5:$A$250,A312)</x:f>
        <x:v>1</x:v>
      </x:c>
      <x:c r="H312" s="49" t="n">
        <x:f>COUNTIF('Craft Nodes'!$A$5:$A$250,B312)</x:f>
        <x:v>1</x:v>
      </x:c>
      <x:c r="I312" s="49" t="str">
        <x:f>IF(AND(G312=1,H312=1),"OK",IF(G312=0,"MISSING FROM","MISSING TO"))</x:f>
        <x:v>OK</x:v>
      </x:c>
    </x:row>
    <x:row r="313">
      <x:c r="A313" s="49" t="str">
        <x:v>T-STONE-KNIFE</x:v>
      </x:c>
      <x:c r="B313" s="49" t="str">
        <x:v>A-COVERED-STORE</x:v>
      </x:c>
      <x:c r="C313" s="49" t="str">
        <x:v>Tool</x:v>
      </x:c>
      <x:c r="D313" s="49" t="str">
        <x:v>Yes</x:v>
      </x:c>
      <x:c r="E313" s="49" t="str"/>
      <x:c r="F313" s="49" t="str">
        <x:v>Declared embodied tool use</x:v>
      </x:c>
      <x:c r="G313" s="49" t="n">
        <x:f>COUNTIF('Craft Nodes'!$A$5:$A$250,A313)</x:f>
        <x:v>1</x:v>
      </x:c>
      <x:c r="H313" s="49" t="n">
        <x:f>COUNTIF('Craft Nodes'!$A$5:$A$250,B313)</x:f>
        <x:v>1</x:v>
      </x:c>
      <x:c r="I313" s="49" t="str">
        <x:f>IF(AND(G313=1,H313=1),"OK",IF(G313=0,"MISSING FROM","MISSING TO"))</x:f>
        <x:v>OK</x:v>
      </x:c>
    </x:row>
    <x:row r="314">
      <x:c r="A314" s="49" t="str">
        <x:v>A-REFUGE</x:v>
      </x:c>
      <x:c r="B314" s="49" t="str">
        <x:v>A-COVERED-STORE</x:v>
      </x:c>
      <x:c r="C314" s="49" t="str">
        <x:v>Workspace</x:v>
      </x:c>
      <x:c r="D314" s="49" t="str">
        <x:v>Yes</x:v>
      </x:c>
      <x:c r="E314" s="49" t="str"/>
      <x:c r="F314" s="49" t="str">
        <x:v>Declared worksite dependency</x:v>
      </x:c>
      <x:c r="G314" s="49" t="n">
        <x:f>COUNTIF('Craft Nodes'!$A$5:$A$250,A314)</x:f>
        <x:v>1</x:v>
      </x:c>
      <x:c r="H314" s="49" t="n">
        <x:f>COUNTIF('Craft Nodes'!$A$5:$A$250,B314)</x:f>
        <x:v>1</x:v>
      </x:c>
      <x:c r="I314" s="49" t="str">
        <x:f>IF(AND(G314=1,H314=1),"OK",IF(G314=0,"MISSING FROM","MISSING TO"))</x:f>
        <x:v>OK</x:v>
      </x:c>
    </x:row>
    <x:row r="315">
      <x:c r="A315" s="49" t="str">
        <x:v>S-BATTERY</x:v>
      </x:c>
      <x:c r="B315" s="49" t="str">
        <x:v>A-LAMP</x:v>
      </x:c>
      <x:c r="C315" s="49" t="str">
        <x:v>Prerequisite</x:v>
      </x:c>
      <x:c r="D315" s="49" t="str">
        <x:v>Yes</x:v>
      </x:c>
      <x:c r="E315" s="49" t="str"/>
      <x:c r="F315" s="49" t="str">
        <x:v>Required for canonical route</x:v>
      </x:c>
      <x:c r="G315" s="49" t="n">
        <x:f>COUNTIF('Craft Nodes'!$A$5:$A$250,A315)</x:f>
        <x:v>1</x:v>
      </x:c>
      <x:c r="H315" s="49" t="n">
        <x:f>COUNTIF('Craft Nodes'!$A$5:$A$250,B315)</x:f>
        <x:v>1</x:v>
      </x:c>
      <x:c r="I315" s="49" t="str">
        <x:f>IF(AND(G315=1,H315=1),"OK",IF(G315=0,"MISSING FROM","MISSING TO"))</x:f>
        <x:v>OK</x:v>
      </x:c>
    </x:row>
    <x:row r="316">
      <x:c r="A316" s="49" t="str">
        <x:v>S-WIRE</x:v>
      </x:c>
      <x:c r="B316" s="49" t="str">
        <x:v>A-LAMP</x:v>
      </x:c>
      <x:c r="C316" s="49" t="str">
        <x:v>Prerequisite</x:v>
      </x:c>
      <x:c r="D316" s="49" t="str">
        <x:v>Yes</x:v>
      </x:c>
      <x:c r="E316" s="49" t="str"/>
      <x:c r="F316" s="49" t="str">
        <x:v>Required for canonical route</x:v>
      </x:c>
      <x:c r="G316" s="49" t="n">
        <x:f>COUNTIF('Craft Nodes'!$A$5:$A$250,A316)</x:f>
        <x:v>1</x:v>
      </x:c>
      <x:c r="H316" s="49" t="n">
        <x:f>COUNTIF('Craft Nodes'!$A$5:$A$250,B316)</x:f>
        <x:v>1</x:v>
      </x:c>
      <x:c r="I316" s="49" t="str">
        <x:f>IF(AND(G316=1,H316=1),"OK",IF(G316=0,"MISSING FROM","MISSING TO"))</x:f>
        <x:v>OK</x:v>
      </x:c>
    </x:row>
    <x:row r="317">
      <x:c r="A317" s="49" t="str">
        <x:v>S-GLASS</x:v>
      </x:c>
      <x:c r="B317" s="49" t="str">
        <x:v>A-LAMP</x:v>
      </x:c>
      <x:c r="C317" s="49" t="str">
        <x:v>Prerequisite</x:v>
      </x:c>
      <x:c r="D317" s="49" t="str">
        <x:v>Yes</x:v>
      </x:c>
      <x:c r="E317" s="49" t="str"/>
      <x:c r="F317" s="49" t="str">
        <x:v>Required for canonical route</x:v>
      </x:c>
      <x:c r="G317" s="49" t="n">
        <x:f>COUNTIF('Craft Nodes'!$A$5:$A$250,A317)</x:f>
        <x:v>1</x:v>
      </x:c>
      <x:c r="H317" s="49" t="n">
        <x:f>COUNTIF('Craft Nodes'!$A$5:$A$250,B317)</x:f>
        <x:v>1</x:v>
      </x:c>
      <x:c r="I317" s="49" t="str">
        <x:f>IF(AND(G317=1,H317=1),"OK",IF(G317=0,"MISSING FROM","MISSING TO"))</x:f>
        <x:v>OK</x:v>
      </x:c>
    </x:row>
    <x:row r="318">
      <x:c r="A318" s="49" t="str">
        <x:v>T-METER</x:v>
      </x:c>
      <x:c r="B318" s="49" t="str">
        <x:v>A-LAMP</x:v>
      </x:c>
      <x:c r="C318" s="49" t="str">
        <x:v>Tool</x:v>
      </x:c>
      <x:c r="D318" s="49" t="str">
        <x:v>Yes</x:v>
      </x:c>
      <x:c r="E318" s="49" t="str"/>
      <x:c r="F318" s="49" t="str">
        <x:v>Declared embodied tool use</x:v>
      </x:c>
      <x:c r="G318" s="49" t="n">
        <x:f>COUNTIF('Craft Nodes'!$A$5:$A$250,A318)</x:f>
        <x:v>1</x:v>
      </x:c>
      <x:c r="H318" s="49" t="n">
        <x:f>COUNTIF('Craft Nodes'!$A$5:$A$250,B318)</x:f>
        <x:v>1</x:v>
      </x:c>
      <x:c r="I318" s="49" t="str">
        <x:f>IF(AND(G318=1,H318=1),"OK",IF(G318=0,"MISSING FROM","MISSING TO"))</x:f>
        <x:v>OK</x:v>
      </x:c>
    </x:row>
    <x:row r="319">
      <x:c r="A319" s="49" t="str">
        <x:v>W-ELECTRICAL</x:v>
      </x:c>
      <x:c r="B319" s="49" t="str">
        <x:v>A-LAMP</x:v>
      </x:c>
      <x:c r="C319" s="49" t="str">
        <x:v>Workspace</x:v>
      </x:c>
      <x:c r="D319" s="49" t="str">
        <x:v>Yes</x:v>
      </x:c>
      <x:c r="E319" s="49" t="str"/>
      <x:c r="F319" s="49" t="str">
        <x:v>Declared worksite dependency</x:v>
      </x:c>
      <x:c r="G319" s="49" t="n">
        <x:f>COUNTIF('Craft Nodes'!$A$5:$A$250,A319)</x:f>
        <x:v>1</x:v>
      </x:c>
      <x:c r="H319" s="49" t="n">
        <x:f>COUNTIF('Craft Nodes'!$A$5:$A$250,B319)</x:f>
        <x:v>1</x:v>
      </x:c>
      <x:c r="I319" s="49" t="str">
        <x:f>IF(AND(G319=1,H319=1),"OK",IF(G319=0,"MISSING FROM","MISSING TO"))</x:f>
        <x:v>OK</x:v>
      </x:c>
    </x:row>
    <x:row r="320">
      <x:c r="A320" s="49" t="str">
        <x:v>A-REFUGE</x:v>
      </x:c>
      <x:c r="B320" s="49" t="str">
        <x:v>A-WORKING-HOME</x:v>
      </x:c>
      <x:c r="C320" s="49" t="str">
        <x:v>Prerequisite</x:v>
      </x:c>
      <x:c r="D320" s="49" t="str">
        <x:v>Yes</x:v>
      </x:c>
      <x:c r="E320" s="49" t="str"/>
      <x:c r="F320" s="49" t="str">
        <x:v>Required for canonical route</x:v>
      </x:c>
      <x:c r="G320" s="49" t="n">
        <x:f>COUNTIF('Craft Nodes'!$A$5:$A$250,A320)</x:f>
        <x:v>1</x:v>
      </x:c>
      <x:c r="H320" s="49" t="n">
        <x:f>COUNTIF('Craft Nodes'!$A$5:$A$250,B320)</x:f>
        <x:v>1</x:v>
      </x:c>
      <x:c r="I320" s="49" t="str">
        <x:f>IF(AND(G320=1,H320=1),"OK",IF(G320=0,"MISSING FROM","MISSING TO"))</x:f>
        <x:v>OK</x:v>
      </x:c>
    </x:row>
    <x:row r="321">
      <x:c r="A321" s="49" t="str">
        <x:v>A-CISTERN</x:v>
      </x:c>
      <x:c r="B321" s="49" t="str">
        <x:v>A-WORKING-HOME</x:v>
      </x:c>
      <x:c r="C321" s="49" t="str">
        <x:v>Prerequisite</x:v>
      </x:c>
      <x:c r="D321" s="49" t="str">
        <x:v>Yes</x:v>
      </x:c>
      <x:c r="E321" s="49" t="str"/>
      <x:c r="F321" s="49" t="str">
        <x:v>Required for canonical route</x:v>
      </x:c>
      <x:c r="G321" s="49" t="n">
        <x:f>COUNTIF('Craft Nodes'!$A$5:$A$250,A321)</x:f>
        <x:v>1</x:v>
      </x:c>
      <x:c r="H321" s="49" t="n">
        <x:f>COUNTIF('Craft Nodes'!$A$5:$A$250,B321)</x:f>
        <x:v>1</x:v>
      </x:c>
      <x:c r="I321" s="49" t="str">
        <x:f>IF(AND(G321=1,H321=1),"OK",IF(G321=0,"MISSING FROM","MISSING TO"))</x:f>
        <x:v>OK</x:v>
      </x:c>
    </x:row>
    <x:row r="322">
      <x:c r="A322" s="49" t="str">
        <x:v>A-COVERED-STORE</x:v>
      </x:c>
      <x:c r="B322" s="49" t="str">
        <x:v>A-WORKING-HOME</x:v>
      </x:c>
      <x:c r="C322" s="49" t="str">
        <x:v>Prerequisite</x:v>
      </x:c>
      <x:c r="D322" s="49" t="str">
        <x:v>Yes</x:v>
      </x:c>
      <x:c r="E322" s="49" t="str"/>
      <x:c r="F322" s="49" t="str">
        <x:v>Required for canonical route</x:v>
      </x:c>
      <x:c r="G322" s="49" t="n">
        <x:f>COUNTIF('Craft Nodes'!$A$5:$A$250,A322)</x:f>
        <x:v>1</x:v>
      </x:c>
      <x:c r="H322" s="49" t="n">
        <x:f>COUNTIF('Craft Nodes'!$A$5:$A$250,B322)</x:f>
        <x:v>1</x:v>
      </x:c>
      <x:c r="I322" s="49" t="str">
        <x:f>IF(AND(G322=1,H322=1),"OK",IF(G322=0,"MISSING FROM","MISSING TO"))</x:f>
        <x:v>OK</x:v>
      </x:c>
    </x:row>
    <x:row r="323">
      <x:c r="A323" s="49" t="str">
        <x:v>W-BENCH</x:v>
      </x:c>
      <x:c r="B323" s="49" t="str">
        <x:v>A-WORKING-HOME</x:v>
      </x:c>
      <x:c r="C323" s="49" t="str">
        <x:v>Workspace</x:v>
      </x:c>
      <x:c r="D323" s="49" t="str">
        <x:v>Yes</x:v>
      </x:c>
      <x:c r="E323" s="49" t="str"/>
      <x:c r="F323" s="49" t="str">
        <x:v>Required for canonical route</x:v>
      </x:c>
      <x:c r="G323" s="49" t="n">
        <x:f>COUNTIF('Craft Nodes'!$A$5:$A$250,A323)</x:f>
        <x:v>1</x:v>
      </x:c>
      <x:c r="H323" s="49" t="n">
        <x:f>COUNTIF('Craft Nodes'!$A$5:$A$250,B323)</x:f>
        <x:v>1</x:v>
      </x:c>
      <x:c r="I323" s="49" t="str">
        <x:f>IF(AND(G323=1,H323=1),"OK",IF(G323=0,"MISSING FROM","MISSING TO"))</x:f>
        <x:v>OK</x:v>
      </x:c>
    </x:row>
    <x:row r="324">
      <x:c r="A324" s="49" t="str">
        <x:v>W-CLEAN</x:v>
      </x:c>
      <x:c r="B324" s="49" t="str">
        <x:v>A-WORKING-HOME</x:v>
      </x:c>
      <x:c r="C324" s="49" t="str">
        <x:v>Workspace</x:v>
      </x:c>
      <x:c r="D324" s="49" t="str">
        <x:v>Yes</x:v>
      </x:c>
      <x:c r="E324" s="49" t="str"/>
      <x:c r="F324" s="49" t="str">
        <x:v>Required for canonical route</x:v>
      </x:c>
      <x:c r="G324" s="49" t="n">
        <x:f>COUNTIF('Craft Nodes'!$A$5:$A$250,A324)</x:f>
        <x:v>1</x:v>
      </x:c>
      <x:c r="H324" s="49" t="n">
        <x:f>COUNTIF('Craft Nodes'!$A$5:$A$250,B324)</x:f>
        <x:v>1</x:v>
      </x:c>
      <x:c r="I324" s="49" t="str">
        <x:f>IF(AND(G324=1,H324=1),"OK",IF(G324=0,"MISSING FROM","MISSING TO"))</x:f>
        <x:v>OK</x:v>
      </x:c>
    </x:row>
    <x:row r="325">
      <x:c r="A325" s="49" t="str">
        <x:v>A-WORKING-HOME</x:v>
      </x:c>
      <x:c r="B325" s="49" t="str">
        <x:v>A-LEGACY-HOME</x:v>
      </x:c>
      <x:c r="C325" s="49" t="str">
        <x:v>Prerequisite</x:v>
      </x:c>
      <x:c r="D325" s="49" t="str">
        <x:v>Yes</x:v>
      </x:c>
      <x:c r="E325" s="49" t="str"/>
      <x:c r="F325" s="49" t="str">
        <x:v>Required for canonical route</x:v>
      </x:c>
      <x:c r="G325" s="49" t="n">
        <x:f>COUNTIF('Craft Nodes'!$A$5:$A$250,A325)</x:f>
        <x:v>1</x:v>
      </x:c>
      <x:c r="H325" s="49" t="n">
        <x:f>COUNTIF('Craft Nodes'!$A$5:$A$250,B325)</x:f>
        <x:v>1</x:v>
      </x:c>
      <x:c r="I325" s="49" t="str">
        <x:f>IF(AND(G325=1,H325=1),"OK",IF(G325=0,"MISSING FROM","MISSING TO"))</x:f>
        <x:v>OK</x:v>
      </x:c>
    </x:row>
    <x:row r="326">
      <x:c r="A326" s="49" t="str">
        <x:v>W-CLINIC</x:v>
      </x:c>
      <x:c r="B326" s="49" t="str">
        <x:v>A-LEGACY-HOME</x:v>
      </x:c>
      <x:c r="C326" s="49" t="str">
        <x:v>Workspace</x:v>
      </x:c>
      <x:c r="D326" s="49" t="str">
        <x:v>Yes</x:v>
      </x:c>
      <x:c r="E326" s="49" t="str"/>
      <x:c r="F326" s="49" t="str">
        <x:v>Required for canonical route</x:v>
      </x:c>
      <x:c r="G326" s="49" t="n">
        <x:f>COUNTIF('Craft Nodes'!$A$5:$A$250,A326)</x:f>
        <x:v>1</x:v>
      </x:c>
      <x:c r="H326" s="49" t="n">
        <x:f>COUNTIF('Craft Nodes'!$A$5:$A$250,B326)</x:f>
        <x:v>1</x:v>
      </x:c>
      <x:c r="I326" s="49" t="str">
        <x:f>IF(AND(G326=1,H326=1),"OK",IF(G326=0,"MISSING FROM","MISSING TO"))</x:f>
        <x:v>OK</x:v>
      </x:c>
    </x:row>
    <x:row r="327">
      <x:c r="A327" s="49" t="str">
        <x:v>W-ARCHIVE</x:v>
      </x:c>
      <x:c r="B327" s="49" t="str">
        <x:v>A-LEGACY-HOME</x:v>
      </x:c>
      <x:c r="C327" s="49" t="str">
        <x:v>Workspace</x:v>
      </x:c>
      <x:c r="D327" s="49" t="str">
        <x:v>Yes</x:v>
      </x:c>
      <x:c r="E327" s="49" t="str"/>
      <x:c r="F327" s="49" t="str">
        <x:v>Required for canonical route</x:v>
      </x:c>
      <x:c r="G327" s="49" t="n">
        <x:f>COUNTIF('Craft Nodes'!$A$5:$A$250,A327)</x:f>
        <x:v>1</x:v>
      </x:c>
      <x:c r="H327" s="49" t="n">
        <x:f>COUNTIF('Craft Nodes'!$A$5:$A$250,B327)</x:f>
        <x:v>1</x:v>
      </x:c>
      <x:c r="I327" s="49" t="str">
        <x:f>IF(AND(G327=1,H327=1),"OK",IF(G327=0,"MISSING FROM","MISSING TO"))</x:f>
        <x:v>OK</x:v>
      </x:c>
    </x:row>
    <x:row r="328">
      <x:c r="A328" s="49" t="str">
        <x:v>A-ARRIVAL</x:v>
      </x:c>
      <x:c r="B328" s="49" t="str">
        <x:v>A-LEGACY-HOME</x:v>
      </x:c>
      <x:c r="C328" s="49" t="str">
        <x:v>Prerequisite</x:v>
      </x:c>
      <x:c r="D328" s="49" t="str">
        <x:v>Yes</x:v>
      </x:c>
      <x:c r="E328" s="49" t="str"/>
      <x:c r="F328" s="49" t="str">
        <x:v>Required for canonical route</x:v>
      </x:c>
      <x:c r="G328" s="49" t="n">
        <x:f>COUNTIF('Craft Nodes'!$A$5:$A$250,A328)</x:f>
        <x:v>1</x:v>
      </x:c>
      <x:c r="H328" s="49" t="n">
        <x:f>COUNTIF('Craft Nodes'!$A$5:$A$250,B328)</x:f>
        <x:v>1</x:v>
      </x:c>
      <x:c r="I328" s="49" t="str">
        <x:f>IF(AND(G328=1,H328=1),"OK",IF(G328=0,"MISSING FROM","MISSING TO"))</x:f>
        <x:v>OK</x:v>
      </x:c>
    </x:row>
    <x:row r="329">
      <x:c r="A329" s="49" t="str">
        <x:v>P-CLEAN-WATER</x:v>
      </x:c>
      <x:c r="B329" s="49" t="str">
        <x:v>A-HANDWASH</x:v>
      </x:c>
      <x:c r="C329" s="49" t="str">
        <x:v>Prerequisite</x:v>
      </x:c>
      <x:c r="D329" s="49" t="str">
        <x:v>Yes</x:v>
      </x:c>
      <x:c r="E329" s="49" t="str"/>
      <x:c r="F329" s="49" t="str">
        <x:v>Required for canonical route</x:v>
      </x:c>
      <x:c r="G329" s="49" t="n">
        <x:f>COUNTIF('Craft Nodes'!$A$5:$A$250,A329)</x:f>
        <x:v>1</x:v>
      </x:c>
      <x:c r="H329" s="49" t="n">
        <x:f>COUNTIF('Craft Nodes'!$A$5:$A$250,B329)</x:f>
        <x:v>1</x:v>
      </x:c>
      <x:c r="I329" s="49" t="str">
        <x:f>IF(AND(G329=1,H329=1),"OK",IF(G329=0,"MISSING FROM","MISSING TO"))</x:f>
        <x:v>OK</x:v>
      </x:c>
    </x:row>
    <x:row r="330">
      <x:c r="A330" s="49" t="str">
        <x:v>C-COVERED-STORE</x:v>
      </x:c>
      <x:c r="B330" s="49" t="str">
        <x:v>A-HANDWASH</x:v>
      </x:c>
      <x:c r="C330" s="49" t="str">
        <x:v>Prerequisite</x:v>
      </x:c>
      <x:c r="D330" s="49" t="str">
        <x:v>Yes</x:v>
      </x:c>
      <x:c r="E330" s="49" t="str"/>
      <x:c r="F330" s="49" t="str">
        <x:v>Required for canonical route</x:v>
      </x:c>
      <x:c r="G330" s="49" t="n">
        <x:f>COUNTIF('Craft Nodes'!$A$5:$A$250,A330)</x:f>
        <x:v>1</x:v>
      </x:c>
      <x:c r="H330" s="49" t="n">
        <x:f>COUNTIF('Craft Nodes'!$A$5:$A$250,B330)</x:f>
        <x:v>1</x:v>
      </x:c>
      <x:c r="I330" s="49" t="str">
        <x:f>IF(AND(G330=1,H330=1),"OK",IF(G330=0,"MISSING FROM","MISSING TO"))</x:f>
        <x:v>OK</x:v>
      </x:c>
    </x:row>
    <x:row r="331">
      <x:c r="A331" s="49" t="str">
        <x:v>P-CORD</x:v>
      </x:c>
      <x:c r="B331" s="49" t="str">
        <x:v>A-HANDWASH</x:v>
      </x:c>
      <x:c r="C331" s="49" t="str">
        <x:v>Prerequisite</x:v>
      </x:c>
      <x:c r="D331" s="49" t="str">
        <x:v>Yes</x:v>
      </x:c>
      <x:c r="E331" s="49" t="str"/>
      <x:c r="F331" s="49" t="str">
        <x:v>Required for canonical route</x:v>
      </x:c>
      <x:c r="G331" s="49" t="n">
        <x:f>COUNTIF('Craft Nodes'!$A$5:$A$250,A331)</x:f>
        <x:v>1</x:v>
      </x:c>
      <x:c r="H331" s="49" t="n">
        <x:f>COUNTIF('Craft Nodes'!$A$5:$A$250,B331)</x:f>
        <x:v>1</x:v>
      </x:c>
      <x:c r="I331" s="49" t="str">
        <x:f>IF(AND(G331=1,H331=1),"OK",IF(G331=0,"MISSING FROM","MISSING TO"))</x:f>
        <x:v>OK</x:v>
      </x:c>
    </x:row>
    <x:row r="332">
      <x:c r="A332" s="49" t="str">
        <x:v>W-CLEAN</x:v>
      </x:c>
      <x:c r="B332" s="49" t="str">
        <x:v>A-HANDWASH</x:v>
      </x:c>
      <x:c r="C332" s="49" t="str">
        <x:v>Workspace</x:v>
      </x:c>
      <x:c r="D332" s="49" t="str">
        <x:v>Yes</x:v>
      </x:c>
      <x:c r="E332" s="49" t="str"/>
      <x:c r="F332" s="49" t="str">
        <x:v>Declared worksite dependency</x:v>
      </x:c>
      <x:c r="G332" s="49" t="n">
        <x:f>COUNTIF('Craft Nodes'!$A$5:$A$250,A332)</x:f>
        <x:v>1</x:v>
      </x:c>
      <x:c r="H332" s="49" t="n">
        <x:f>COUNTIF('Craft Nodes'!$A$5:$A$250,B332)</x:f>
        <x:v>1</x:v>
      </x:c>
      <x:c r="I332" s="49" t="str">
        <x:f>IF(AND(G332=1,H332=1),"OK",IF(G332=0,"MISSING FROM","MISSING TO"))</x:f>
        <x:v>OK</x:v>
      </x:c>
    </x:row>
    <x:row r="333">
      <x:c r="A333" s="49" t="str">
        <x:v>T-DIG</x:v>
      </x:c>
      <x:c r="B333" s="49" t="str">
        <x:v>A-LATRINE</x:v>
      </x:c>
      <x:c r="C333" s="49" t="str">
        <x:v>Tool</x:v>
      </x:c>
      <x:c r="D333" s="49" t="str">
        <x:v>Yes</x:v>
      </x:c>
      <x:c r="E333" s="49" t="str"/>
      <x:c r="F333" s="49" t="str">
        <x:v>Required for canonical route</x:v>
      </x:c>
      <x:c r="G333" s="49" t="n">
        <x:f>COUNTIF('Craft Nodes'!$A$5:$A$250,A333)</x:f>
        <x:v>1</x:v>
      </x:c>
      <x:c r="H333" s="49" t="n">
        <x:f>COUNTIF('Craft Nodes'!$A$5:$A$250,B333)</x:f>
        <x:v>1</x:v>
      </x:c>
      <x:c r="I333" s="49" t="str">
        <x:f>IF(AND(G333=1,H333=1),"OK",IF(G333=0,"MISSING FROM","MISSING TO"))</x:f>
        <x:v>OK</x:v>
      </x:c>
    </x:row>
    <x:row r="334">
      <x:c r="A334" s="49" t="str">
        <x:v>P-STRAIGHT-POLE</x:v>
      </x:c>
      <x:c r="B334" s="49" t="str">
        <x:v>A-LATRINE</x:v>
      </x:c>
      <x:c r="C334" s="49" t="str">
        <x:v>Prerequisite</x:v>
      </x:c>
      <x:c r="D334" s="49" t="str">
        <x:v>Yes</x:v>
      </x:c>
      <x:c r="E334" s="49" t="str"/>
      <x:c r="F334" s="49" t="str">
        <x:v>Required for canonical route</x:v>
      </x:c>
      <x:c r="G334" s="49" t="n">
        <x:f>COUNTIF('Craft Nodes'!$A$5:$A$250,A334)</x:f>
        <x:v>1</x:v>
      </x:c>
      <x:c r="H334" s="49" t="n">
        <x:f>COUNTIF('Craft Nodes'!$A$5:$A$250,B334)</x:f>
        <x:v>1</x:v>
      </x:c>
      <x:c r="I334" s="49" t="str">
        <x:f>IF(AND(G334=1,H334=1),"OK",IF(G334=0,"MISSING FROM","MISSING TO"))</x:f>
        <x:v>OK</x:v>
      </x:c>
    </x:row>
    <x:row r="335">
      <x:c r="A335" s="49" t="str">
        <x:v>P-MAT</x:v>
      </x:c>
      <x:c r="B335" s="49" t="str">
        <x:v>A-LATRINE</x:v>
      </x:c>
      <x:c r="C335" s="49" t="str">
        <x:v>Prerequisite</x:v>
      </x:c>
      <x:c r="D335" s="49" t="str">
        <x:v>Yes</x:v>
      </x:c>
      <x:c r="E335" s="49" t="str"/>
      <x:c r="F335" s="49" t="str">
        <x:v>Required for canonical route</x:v>
      </x:c>
      <x:c r="G335" s="49" t="n">
        <x:f>COUNTIF('Craft Nodes'!$A$5:$A$250,A335)</x:f>
        <x:v>1</x:v>
      </x:c>
      <x:c r="H335" s="49" t="n">
        <x:f>COUNTIF('Craft Nodes'!$A$5:$A$250,B335)</x:f>
        <x:v>1</x:v>
      </x:c>
      <x:c r="I335" s="49" t="str">
        <x:f>IF(AND(G335=1,H335=1),"OK",IF(G335=0,"MISSING FROM","MISSING TO"))</x:f>
        <x:v>OK</x:v>
      </x:c>
    </x:row>
    <x:row r="336">
      <x:c r="A336" s="49" t="str">
        <x:v>P-DRESSING</x:v>
      </x:c>
      <x:c r="B336" s="49" t="str">
        <x:v>A-BANDAGE</x:v>
      </x:c>
      <x:c r="C336" s="49" t="str">
        <x:v>Prerequisite</x:v>
      </x:c>
      <x:c r="D336" s="49" t="str">
        <x:v>Yes</x:v>
      </x:c>
      <x:c r="E336" s="49" t="str"/>
      <x:c r="F336" s="49" t="str">
        <x:v>Required for canonical route</x:v>
      </x:c>
      <x:c r="G336" s="49" t="n">
        <x:f>COUNTIF('Craft Nodes'!$A$5:$A$250,A336)</x:f>
        <x:v>1</x:v>
      </x:c>
      <x:c r="H336" s="49" t="n">
        <x:f>COUNTIF('Craft Nodes'!$A$5:$A$250,B336)</x:f>
        <x:v>1</x:v>
      </x:c>
      <x:c r="I336" s="49" t="str">
        <x:f>IF(AND(G336=1,H336=1),"OK",IF(G336=0,"MISSING FROM","MISSING TO"))</x:f>
        <x:v>OK</x:v>
      </x:c>
    </x:row>
    <x:row r="337">
      <x:c r="A337" s="49" t="str">
        <x:v>P-CLEAN-WATER</x:v>
      </x:c>
      <x:c r="B337" s="49" t="str">
        <x:v>A-BANDAGE</x:v>
      </x:c>
      <x:c r="C337" s="49" t="str">
        <x:v>Prerequisite</x:v>
      </x:c>
      <x:c r="D337" s="49" t="str">
        <x:v>Yes</x:v>
      </x:c>
      <x:c r="E337" s="49" t="str"/>
      <x:c r="F337" s="49" t="str">
        <x:v>Required for canonical route</x:v>
      </x:c>
      <x:c r="G337" s="49" t="n">
        <x:f>COUNTIF('Craft Nodes'!$A$5:$A$250,A337)</x:f>
        <x:v>1</x:v>
      </x:c>
      <x:c r="H337" s="49" t="n">
        <x:f>COUNTIF('Craft Nodes'!$A$5:$A$250,B337)</x:f>
        <x:v>1</x:v>
      </x:c>
      <x:c r="I337" s="49" t="str">
        <x:f>IF(AND(G337=1,H337=1),"OK",IF(G337=0,"MISSING FROM","MISSING TO"))</x:f>
        <x:v>OK</x:v>
      </x:c>
    </x:row>
    <x:row r="338">
      <x:c r="A338" s="49" t="str">
        <x:v>W-CLEAN</x:v>
      </x:c>
      <x:c r="B338" s="49" t="str">
        <x:v>A-BANDAGE</x:v>
      </x:c>
      <x:c r="C338" s="49" t="str">
        <x:v>Workspace</x:v>
      </x:c>
      <x:c r="D338" s="49" t="str">
        <x:v>Yes</x:v>
      </x:c>
      <x:c r="E338" s="49" t="str"/>
      <x:c r="F338" s="49" t="str">
        <x:v>Declared worksite dependency</x:v>
      </x:c>
      <x:c r="G338" s="49" t="n">
        <x:f>COUNTIF('Craft Nodes'!$A$5:$A$250,A338)</x:f>
        <x:v>1</x:v>
      </x:c>
      <x:c r="H338" s="49" t="n">
        <x:f>COUNTIF('Craft Nodes'!$A$5:$A$250,B338)</x:f>
        <x:v>1</x:v>
      </x:c>
      <x:c r="I338" s="49" t="str">
        <x:f>IF(AND(G338=1,H338=1),"OK",IF(G338=0,"MISSING FROM","MISSING TO"))</x:f>
        <x:v>OK</x:v>
      </x:c>
    </x:row>
    <x:row r="339">
      <x:c r="A339" s="49" t="str">
        <x:v>P-SPLINT-STOCK</x:v>
      </x:c>
      <x:c r="B339" s="49" t="str">
        <x:v>A-SPLINT</x:v>
      </x:c>
      <x:c r="C339" s="49" t="str">
        <x:v>Prerequisite</x:v>
      </x:c>
      <x:c r="D339" s="49" t="str">
        <x:v>Yes</x:v>
      </x:c>
      <x:c r="E339" s="49" t="str"/>
      <x:c r="F339" s="49" t="str">
        <x:v>Required for canonical route</x:v>
      </x:c>
      <x:c r="G339" s="49" t="n">
        <x:f>COUNTIF('Craft Nodes'!$A$5:$A$250,A339)</x:f>
        <x:v>1</x:v>
      </x:c>
      <x:c r="H339" s="49" t="n">
        <x:f>COUNTIF('Craft Nodes'!$A$5:$A$250,B339)</x:f>
        <x:v>1</x:v>
      </x:c>
      <x:c r="I339" s="49" t="str">
        <x:f>IF(AND(G339=1,H339=1),"OK",IF(G339=0,"MISSING FROM","MISSING TO"))</x:f>
        <x:v>OK</x:v>
      </x:c>
    </x:row>
    <x:row r="340">
      <x:c r="A340" s="49" t="str">
        <x:v>P-CORD</x:v>
      </x:c>
      <x:c r="B340" s="49" t="str">
        <x:v>A-SPLINT</x:v>
      </x:c>
      <x:c r="C340" s="49" t="str">
        <x:v>Prerequisite</x:v>
      </x:c>
      <x:c r="D340" s="49" t="str">
        <x:v>Yes</x:v>
      </x:c>
      <x:c r="E340" s="49" t="str"/>
      <x:c r="F340" s="49" t="str">
        <x:v>Required for canonical route</x:v>
      </x:c>
      <x:c r="G340" s="49" t="n">
        <x:f>COUNTIF('Craft Nodes'!$A$5:$A$250,A340)</x:f>
        <x:v>1</x:v>
      </x:c>
      <x:c r="H340" s="49" t="n">
        <x:f>COUNTIF('Craft Nodes'!$A$5:$A$250,B340)</x:f>
        <x:v>1</x:v>
      </x:c>
      <x:c r="I340" s="49" t="str">
        <x:f>IF(AND(G340=1,H340=1),"OK",IF(G340=0,"MISSING FROM","MISSING TO"))</x:f>
        <x:v>OK</x:v>
      </x:c>
    </x:row>
    <x:row r="341">
      <x:c r="A341" s="49" t="str">
        <x:v>W-CLEAN</x:v>
      </x:c>
      <x:c r="B341" s="49" t="str">
        <x:v>A-SPLINT</x:v>
      </x:c>
      <x:c r="C341" s="49" t="str">
        <x:v>Workspace</x:v>
      </x:c>
      <x:c r="D341" s="49" t="str">
        <x:v>Yes</x:v>
      </x:c>
      <x:c r="E341" s="49" t="str"/>
      <x:c r="F341" s="49" t="str">
        <x:v>Declared worksite dependency</x:v>
      </x:c>
      <x:c r="G341" s="49" t="n">
        <x:f>COUNTIF('Craft Nodes'!$A$5:$A$250,A341)</x:f>
        <x:v>1</x:v>
      </x:c>
      <x:c r="H341" s="49" t="n">
        <x:f>COUNTIF('Craft Nodes'!$A$5:$A$250,B341)</x:f>
        <x:v>1</x:v>
      </x:c>
      <x:c r="I341" s="49" t="str">
        <x:f>IF(AND(G341=1,H341=1),"OK",IF(G341=0,"MISSING FROM","MISSING TO"))</x:f>
        <x:v>OK</x:v>
      </x:c>
    </x:row>
    <x:row r="342">
      <x:c r="A342" s="49" t="str">
        <x:v>P-STRAIGHT-POLE</x:v>
      </x:c>
      <x:c r="B342" s="49" t="str">
        <x:v>A-CRUTCH</x:v>
      </x:c>
      <x:c r="C342" s="49" t="str">
        <x:v>Prerequisite</x:v>
      </x:c>
      <x:c r="D342" s="49" t="str">
        <x:v>Yes</x:v>
      </x:c>
      <x:c r="E342" s="49" t="str"/>
      <x:c r="F342" s="49" t="str">
        <x:v>Required for canonical route</x:v>
      </x:c>
      <x:c r="G342" s="49" t="n">
        <x:f>COUNTIF('Craft Nodes'!$A$5:$A$250,A342)</x:f>
        <x:v>1</x:v>
      </x:c>
      <x:c r="H342" s="49" t="n">
        <x:f>COUNTIF('Craft Nodes'!$A$5:$A$250,B342)</x:f>
        <x:v>1</x:v>
      </x:c>
      <x:c r="I342" s="49" t="str">
        <x:f>IF(AND(G342=1,H342=1),"OK",IF(G342=0,"MISSING FROM","MISSING TO"))</x:f>
        <x:v>OK</x:v>
      </x:c>
    </x:row>
    <x:row r="343">
      <x:c r="A343" s="49" t="str">
        <x:v>P-MAT</x:v>
      </x:c>
      <x:c r="B343" s="49" t="str">
        <x:v>A-CRUTCH</x:v>
      </x:c>
      <x:c r="C343" s="49" t="str">
        <x:v>Prerequisite</x:v>
      </x:c>
      <x:c r="D343" s="49" t="str">
        <x:v>Yes</x:v>
      </x:c>
      <x:c r="E343" s="49" t="str"/>
      <x:c r="F343" s="49" t="str">
        <x:v>Required for canonical route</x:v>
      </x:c>
      <x:c r="G343" s="49" t="n">
        <x:f>COUNTIF('Craft Nodes'!$A$5:$A$250,A343)</x:f>
        <x:v>1</x:v>
      </x:c>
      <x:c r="H343" s="49" t="n">
        <x:f>COUNTIF('Craft Nodes'!$A$5:$A$250,B343)</x:f>
        <x:v>1</x:v>
      </x:c>
      <x:c r="I343" s="49" t="str">
        <x:f>IF(AND(G343=1,H343=1),"OK",IF(G343=0,"MISSING FROM","MISSING TO"))</x:f>
        <x:v>OK</x:v>
      </x:c>
    </x:row>
    <x:row r="344">
      <x:c r="A344" s="49" t="str">
        <x:v>P-CORD</x:v>
      </x:c>
      <x:c r="B344" s="49" t="str">
        <x:v>A-CRUTCH</x:v>
      </x:c>
      <x:c r="C344" s="49" t="str">
        <x:v>Prerequisite</x:v>
      </x:c>
      <x:c r="D344" s="49" t="str">
        <x:v>Yes</x:v>
      </x:c>
      <x:c r="E344" s="49" t="str"/>
      <x:c r="F344" s="49" t="str">
        <x:v>Required for canonical route</x:v>
      </x:c>
      <x:c r="G344" s="49" t="n">
        <x:f>COUNTIF('Craft Nodes'!$A$5:$A$250,A344)</x:f>
        <x:v>1</x:v>
      </x:c>
      <x:c r="H344" s="49" t="n">
        <x:f>COUNTIF('Craft Nodes'!$A$5:$A$250,B344)</x:f>
        <x:v>1</x:v>
      </x:c>
      <x:c r="I344" s="49" t="str">
        <x:f>IF(AND(G344=1,H344=1),"OK",IF(G344=0,"MISSING FROM","MISSING TO"))</x:f>
        <x:v>OK</x:v>
      </x:c>
    </x:row>
    <x:row r="345">
      <x:c r="A345" s="49" t="str">
        <x:v>T-STONE-KNIFE</x:v>
      </x:c>
      <x:c r="B345" s="49" t="str">
        <x:v>A-CRUTCH</x:v>
      </x:c>
      <x:c r="C345" s="49" t="str">
        <x:v>Tool</x:v>
      </x:c>
      <x:c r="D345" s="49" t="str">
        <x:v>Yes</x:v>
      </x:c>
      <x:c r="E345" s="49" t="str"/>
      <x:c r="F345" s="49" t="str">
        <x:v>Declared embodied tool use</x:v>
      </x:c>
      <x:c r="G345" s="49" t="n">
        <x:f>COUNTIF('Craft Nodes'!$A$5:$A$250,A345)</x:f>
        <x:v>1</x:v>
      </x:c>
      <x:c r="H345" s="49" t="n">
        <x:f>COUNTIF('Craft Nodes'!$A$5:$A$250,B345)</x:f>
        <x:v>1</x:v>
      </x:c>
      <x:c r="I345" s="49" t="str">
        <x:f>IF(AND(G345=1,H345=1),"OK",IF(G345=0,"MISSING FROM","MISSING TO"))</x:f>
        <x:v>OK</x:v>
      </x:c>
    </x:row>
    <x:row r="346">
      <x:c r="A346" s="49" t="str">
        <x:v>W-BENCH</x:v>
      </x:c>
      <x:c r="B346" s="49" t="str">
        <x:v>A-CRUTCH</x:v>
      </x:c>
      <x:c r="C346" s="49" t="str">
        <x:v>Workspace</x:v>
      </x:c>
      <x:c r="D346" s="49" t="str">
        <x:v>Yes</x:v>
      </x:c>
      <x:c r="E346" s="49" t="str"/>
      <x:c r="F346" s="49" t="str">
        <x:v>Declared worksite dependency</x:v>
      </x:c>
      <x:c r="G346" s="49" t="n">
        <x:f>COUNTIF('Craft Nodes'!$A$5:$A$250,A346)</x:f>
        <x:v>1</x:v>
      </x:c>
      <x:c r="H346" s="49" t="n">
        <x:f>COUNTIF('Craft Nodes'!$A$5:$A$250,B346)</x:f>
        <x:v>1</x:v>
      </x:c>
      <x:c r="I346" s="49" t="str">
        <x:f>IF(AND(G346=1,H346=1),"OK",IF(G346=0,"MISSING FROM","MISSING TO"))</x:f>
        <x:v>OK</x:v>
      </x:c>
    </x:row>
    <x:row r="347">
      <x:c r="A347" s="49" t="str">
        <x:v>P-STRAIGHT-POLE</x:v>
      </x:c>
      <x:c r="B347" s="49" t="str">
        <x:v>A-STRETCHER</x:v>
      </x:c>
      <x:c r="C347" s="49" t="str">
        <x:v>Prerequisite</x:v>
      </x:c>
      <x:c r="D347" s="49" t="str">
        <x:v>Yes</x:v>
      </x:c>
      <x:c r="E347" s="49" t="str"/>
      <x:c r="F347" s="49" t="str">
        <x:v>Required for canonical route</x:v>
      </x:c>
      <x:c r="G347" s="49" t="n">
        <x:f>COUNTIF('Craft Nodes'!$A$5:$A$250,A347)</x:f>
        <x:v>1</x:v>
      </x:c>
      <x:c r="H347" s="49" t="n">
        <x:f>COUNTIF('Craft Nodes'!$A$5:$A$250,B347)</x:f>
        <x:v>1</x:v>
      </x:c>
      <x:c r="I347" s="49" t="str">
        <x:f>IF(AND(G347=1,H347=1),"OK",IF(G347=0,"MISSING FROM","MISSING TO"))</x:f>
        <x:v>OK</x:v>
      </x:c>
    </x:row>
    <x:row r="348">
      <x:c r="A348" s="49" t="str">
        <x:v>P-MAT</x:v>
      </x:c>
      <x:c r="B348" s="49" t="str">
        <x:v>A-STRETCHER</x:v>
      </x:c>
      <x:c r="C348" s="49" t="str">
        <x:v>Prerequisite</x:v>
      </x:c>
      <x:c r="D348" s="49" t="str">
        <x:v>Yes</x:v>
      </x:c>
      <x:c r="E348" s="49" t="str"/>
      <x:c r="F348" s="49" t="str">
        <x:v>Required for canonical route</x:v>
      </x:c>
      <x:c r="G348" s="49" t="n">
        <x:f>COUNTIF('Craft Nodes'!$A$5:$A$250,A348)</x:f>
        <x:v>1</x:v>
      </x:c>
      <x:c r="H348" s="49" t="n">
        <x:f>COUNTIF('Craft Nodes'!$A$5:$A$250,B348)</x:f>
        <x:v>1</x:v>
      </x:c>
      <x:c r="I348" s="49" t="str">
        <x:f>IF(AND(G348=1,H348=1),"OK",IF(G348=0,"MISSING FROM","MISSING TO"))</x:f>
        <x:v>OK</x:v>
      </x:c>
    </x:row>
    <x:row r="349">
      <x:c r="A349" s="49" t="str">
        <x:v>P-ROPE</x:v>
      </x:c>
      <x:c r="B349" s="49" t="str">
        <x:v>A-STRETCHER</x:v>
      </x:c>
      <x:c r="C349" s="49" t="str">
        <x:v>Prerequisite</x:v>
      </x:c>
      <x:c r="D349" s="49" t="str">
        <x:v>Yes</x:v>
      </x:c>
      <x:c r="E349" s="49" t="str"/>
      <x:c r="F349" s="49" t="str">
        <x:v>Required for canonical route</x:v>
      </x:c>
      <x:c r="G349" s="49" t="n">
        <x:f>COUNTIF('Craft Nodes'!$A$5:$A$250,A349)</x:f>
        <x:v>1</x:v>
      </x:c>
      <x:c r="H349" s="49" t="n">
        <x:f>COUNTIF('Craft Nodes'!$A$5:$A$250,B349)</x:f>
        <x:v>1</x:v>
      </x:c>
      <x:c r="I349" s="49" t="str">
        <x:f>IF(AND(G349=1,H349=1),"OK",IF(G349=0,"MISSING FROM","MISSING TO"))</x:f>
        <x:v>OK</x:v>
      </x:c>
    </x:row>
    <x:row r="350">
      <x:c r="A350" s="49" t="str">
        <x:v>T-MEASURE</x:v>
      </x:c>
      <x:c r="B350" s="49" t="str">
        <x:v>A-STRETCHER</x:v>
      </x:c>
      <x:c r="C350" s="49" t="str">
        <x:v>Tool</x:v>
      </x:c>
      <x:c r="D350" s="49" t="str">
        <x:v>Yes</x:v>
      </x:c>
      <x:c r="E350" s="49" t="str"/>
      <x:c r="F350" s="49" t="str">
        <x:v>Declared embodied tool use</x:v>
      </x:c>
      <x:c r="G350" s="49" t="n">
        <x:f>COUNTIF('Craft Nodes'!$A$5:$A$250,A350)</x:f>
        <x:v>1</x:v>
      </x:c>
      <x:c r="H350" s="49" t="n">
        <x:f>COUNTIF('Craft Nodes'!$A$5:$A$250,B350)</x:f>
        <x:v>1</x:v>
      </x:c>
      <x:c r="I350" s="49" t="str">
        <x:f>IF(AND(G350=1,H350=1),"OK",IF(G350=0,"MISSING FROM","MISSING TO"))</x:f>
        <x:v>OK</x:v>
      </x:c>
    </x:row>
    <x:row r="351">
      <x:c r="A351" s="49" t="str">
        <x:v>W-BENCH</x:v>
      </x:c>
      <x:c r="B351" s="49" t="str">
        <x:v>A-STRETCHER</x:v>
      </x:c>
      <x:c r="C351" s="49" t="str">
        <x:v>Workspace</x:v>
      </x:c>
      <x:c r="D351" s="49" t="str">
        <x:v>Yes</x:v>
      </x:c>
      <x:c r="E351" s="49" t="str"/>
      <x:c r="F351" s="49" t="str">
        <x:v>Declared worksite dependency</x:v>
      </x:c>
      <x:c r="G351" s="49" t="n">
        <x:f>COUNTIF('Craft Nodes'!$A$5:$A$250,A351)</x:f>
        <x:v>1</x:v>
      </x:c>
      <x:c r="H351" s="49" t="n">
        <x:f>COUNTIF('Craft Nodes'!$A$5:$A$250,B351)</x:f>
        <x:v>1</x:v>
      </x:c>
      <x:c r="I351" s="49" t="str">
        <x:f>IF(AND(G351=1,H351=1),"OK",IF(G351=0,"MISSING FROM","MISSING TO"))</x:f>
        <x:v>OK</x:v>
      </x:c>
    </x:row>
    <x:row r="352">
      <x:c r="A352" s="49" t="str">
        <x:v>W-HEARTH</x:v>
      </x:c>
      <x:c r="B352" s="49" t="str">
        <x:v>A-COOKING</x:v>
      </x:c>
      <x:c r="C352" s="49" t="str">
        <x:v>Workspace</x:v>
      </x:c>
      <x:c r="D352" s="49" t="str">
        <x:v>Yes</x:v>
      </x:c>
      <x:c r="E352" s="49" t="str"/>
      <x:c r="F352" s="49" t="str">
        <x:v>Required for canonical route</x:v>
      </x:c>
      <x:c r="G352" s="49" t="n">
        <x:f>COUNTIF('Craft Nodes'!$A$5:$A$250,A352)</x:f>
        <x:v>1</x:v>
      </x:c>
      <x:c r="H352" s="49" t="n">
        <x:f>COUNTIF('Craft Nodes'!$A$5:$A$250,B352)</x:f>
        <x:v>1</x:v>
      </x:c>
      <x:c r="I352" s="49" t="str">
        <x:f>IF(AND(G352=1,H352=1),"OK",IF(G352=0,"MISSING FROM","MISSING TO"))</x:f>
        <x:v>OK</x:v>
      </x:c>
    </x:row>
    <x:row r="353">
      <x:c r="A353" s="49" t="str">
        <x:v>C-FOUND-PAN</x:v>
      </x:c>
      <x:c r="B353" s="49" t="str">
        <x:v>A-COOKING</x:v>
      </x:c>
      <x:c r="C353" s="49" t="str">
        <x:v>Prerequisite</x:v>
      </x:c>
      <x:c r="D353" s="49" t="str">
        <x:v>Yes</x:v>
      </x:c>
      <x:c r="E353" s="49" t="str"/>
      <x:c r="F353" s="49" t="str">
        <x:v>Required for canonical route</x:v>
      </x:c>
      <x:c r="G353" s="49" t="n">
        <x:f>COUNTIF('Craft Nodes'!$A$5:$A$250,A353)</x:f>
        <x:v>1</x:v>
      </x:c>
      <x:c r="H353" s="49" t="n">
        <x:f>COUNTIF('Craft Nodes'!$A$5:$A$250,B353)</x:f>
        <x:v>1</x:v>
      </x:c>
      <x:c r="I353" s="49" t="str">
        <x:f>IF(AND(G353=1,H353=1),"OK",IF(G353=0,"MISSING FROM","MISSING TO"))</x:f>
        <x:v>OK</x:v>
      </x:c>
    </x:row>
    <x:row r="354">
      <x:c r="A354" s="49" t="str">
        <x:v>T-STONE-KNIFE</x:v>
      </x:c>
      <x:c r="B354" s="49" t="str">
        <x:v>A-COOKING</x:v>
      </x:c>
      <x:c r="C354" s="49" t="str">
        <x:v>Tool</x:v>
      </x:c>
      <x:c r="D354" s="49" t="str">
        <x:v>Yes</x:v>
      </x:c>
      <x:c r="E354" s="49" t="str"/>
      <x:c r="F354" s="49" t="str">
        <x:v>Required for canonical route</x:v>
      </x:c>
      <x:c r="G354" s="49" t="n">
        <x:f>COUNTIF('Craft Nodes'!$A$5:$A$250,A354)</x:f>
        <x:v>1</x:v>
      </x:c>
      <x:c r="H354" s="49" t="n">
        <x:f>COUNTIF('Craft Nodes'!$A$5:$A$250,B354)</x:f>
        <x:v>1</x:v>
      </x:c>
      <x:c r="I354" s="49" t="str">
        <x:f>IF(AND(G354=1,H354=1),"OK",IF(G354=0,"MISSING FROM","MISSING TO"))</x:f>
        <x:v>OK</x:v>
      </x:c>
    </x:row>
    <x:row r="355">
      <x:c r="A355" s="49" t="str">
        <x:v>P-CLEAN-WATER</x:v>
      </x:c>
      <x:c r="B355" s="49" t="str">
        <x:v>A-COOKING</x:v>
      </x:c>
      <x:c r="C355" s="49" t="str">
        <x:v>Prerequisite</x:v>
      </x:c>
      <x:c r="D355" s="49" t="str">
        <x:v>Yes</x:v>
      </x:c>
      <x:c r="E355" s="49" t="str"/>
      <x:c r="F355" s="49" t="str">
        <x:v>Required for canonical route</x:v>
      </x:c>
      <x:c r="G355" s="49" t="n">
        <x:f>COUNTIF('Craft Nodes'!$A$5:$A$250,A355)</x:f>
        <x:v>1</x:v>
      </x:c>
      <x:c r="H355" s="49" t="n">
        <x:f>COUNTIF('Craft Nodes'!$A$5:$A$250,B355)</x:f>
        <x:v>1</x:v>
      </x:c>
      <x:c r="I355" s="49" t="str">
        <x:f>IF(AND(G355=1,H355=1),"OK",IF(G355=0,"MISSING FROM","MISSING TO"))</x:f>
        <x:v>OK</x:v>
      </x:c>
    </x:row>
    <x:row r="356">
      <x:c r="A356" s="49" t="str">
        <x:v>P-CORD</x:v>
      </x:c>
      <x:c r="B356" s="49" t="str">
        <x:v>A-FISH-LINE</x:v>
      </x:c>
      <x:c r="C356" s="49" t="str">
        <x:v>Prerequisite</x:v>
      </x:c>
      <x:c r="D356" s="49" t="str">
        <x:v>Yes</x:v>
      </x:c>
      <x:c r="E356" s="49" t="str"/>
      <x:c r="F356" s="49" t="str">
        <x:v>Required for canonical route</x:v>
      </x:c>
      <x:c r="G356" s="49" t="n">
        <x:f>COUNTIF('Craft Nodes'!$A$5:$A$250,A356)</x:f>
        <x:v>1</x:v>
      </x:c>
      <x:c r="H356" s="49" t="n">
        <x:f>COUNTIF('Craft Nodes'!$A$5:$A$250,B356)</x:f>
        <x:v>1</x:v>
      </x:c>
      <x:c r="I356" s="49" t="str">
        <x:f>IF(AND(G356=1,H356=1),"OK",IF(G356=0,"MISSING FROM","MISSING TO"))</x:f>
        <x:v>OK</x:v>
      </x:c>
    </x:row>
    <x:row r="357">
      <x:c r="A357" s="49" t="str">
        <x:v>S-BONE</x:v>
      </x:c>
      <x:c r="B357" s="49" t="str">
        <x:v>A-FISH-LINE</x:v>
      </x:c>
      <x:c r="C357" s="49" t="str">
        <x:v>Prerequisite</x:v>
      </x:c>
      <x:c r="D357" s="49" t="str">
        <x:v>Yes</x:v>
      </x:c>
      <x:c r="E357" s="49" t="str"/>
      <x:c r="F357" s="49" t="str">
        <x:v>Required for canonical route</x:v>
      </x:c>
      <x:c r="G357" s="49" t="n">
        <x:f>COUNTIF('Craft Nodes'!$A$5:$A$250,A357)</x:f>
        <x:v>1</x:v>
      </x:c>
      <x:c r="H357" s="49" t="n">
        <x:f>COUNTIF('Craft Nodes'!$A$5:$A$250,B357)</x:f>
        <x:v>1</x:v>
      </x:c>
      <x:c r="I357" s="49" t="str">
        <x:f>IF(AND(G357=1,H357=1),"OK",IF(G357=0,"MISSING FROM","MISSING TO"))</x:f>
        <x:v>OK</x:v>
      </x:c>
    </x:row>
    <x:row r="358">
      <x:c r="A358" s="49" t="str">
        <x:v>P-SHARP-EDGE</x:v>
      </x:c>
      <x:c r="B358" s="49" t="str">
        <x:v>A-FISH-LINE</x:v>
      </x:c>
      <x:c r="C358" s="49" t="str">
        <x:v>Prerequisite</x:v>
      </x:c>
      <x:c r="D358" s="49" t="str">
        <x:v>Yes</x:v>
      </x:c>
      <x:c r="E358" s="49" t="str"/>
      <x:c r="F358" s="49" t="str">
        <x:v>Required for canonical route</x:v>
      </x:c>
      <x:c r="G358" s="49" t="n">
        <x:f>COUNTIF('Craft Nodes'!$A$5:$A$250,A358)</x:f>
        <x:v>1</x:v>
      </x:c>
      <x:c r="H358" s="49" t="n">
        <x:f>COUNTIF('Craft Nodes'!$A$5:$A$250,B358)</x:f>
        <x:v>1</x:v>
      </x:c>
      <x:c r="I358" s="49" t="str">
        <x:f>IF(AND(G358=1,H358=1),"OK",IF(G358=0,"MISSING FROM","MISSING TO"))</x:f>
        <x:v>OK</x:v>
      </x:c>
    </x:row>
    <x:row r="359">
      <x:c r="A359" s="49" t="str">
        <x:v>T-STONE-KNIFE</x:v>
      </x:c>
      <x:c r="B359" s="49" t="str">
        <x:v>A-FISH-LINE</x:v>
      </x:c>
      <x:c r="C359" s="49" t="str">
        <x:v>Tool</x:v>
      </x:c>
      <x:c r="D359" s="49" t="str">
        <x:v>Yes</x:v>
      </x:c>
      <x:c r="E359" s="49" t="str"/>
      <x:c r="F359" s="49" t="str">
        <x:v>Declared embodied tool use</x:v>
      </x:c>
      <x:c r="G359" s="49" t="n">
        <x:f>COUNTIF('Craft Nodes'!$A$5:$A$250,A359)</x:f>
        <x:v>1</x:v>
      </x:c>
      <x:c r="H359" s="49" t="n">
        <x:f>COUNTIF('Craft Nodes'!$A$5:$A$250,B359)</x:f>
        <x:v>1</x:v>
      </x:c>
      <x:c r="I359" s="49" t="str">
        <x:f>IF(AND(G359=1,H359=1),"OK",IF(G359=0,"MISSING FROM","MISSING TO"))</x:f>
        <x:v>OK</x:v>
      </x:c>
    </x:row>
    <x:row r="360">
      <x:c r="A360" s="49" t="str">
        <x:v>P-MAT</x:v>
      </x:c>
      <x:c r="B360" s="49" t="str">
        <x:v>A-FISH-TRAP</x:v>
      </x:c>
      <x:c r="C360" s="49" t="str">
        <x:v>Prerequisite</x:v>
      </x:c>
      <x:c r="D360" s="49" t="str">
        <x:v>Yes</x:v>
      </x:c>
      <x:c r="E360" s="49" t="str"/>
      <x:c r="F360" s="49" t="str">
        <x:v>Required for canonical route</x:v>
      </x:c>
      <x:c r="G360" s="49" t="n">
        <x:f>COUNTIF('Craft Nodes'!$A$5:$A$250,A360)</x:f>
        <x:v>1</x:v>
      </x:c>
      <x:c r="H360" s="49" t="n">
        <x:f>COUNTIF('Craft Nodes'!$A$5:$A$250,B360)</x:f>
        <x:v>1</x:v>
      </x:c>
      <x:c r="I360" s="49" t="str">
        <x:f>IF(AND(G360=1,H360=1),"OK",IF(G360=0,"MISSING FROM","MISSING TO"))</x:f>
        <x:v>OK</x:v>
      </x:c>
    </x:row>
    <x:row r="361">
      <x:c r="A361" s="49" t="str">
        <x:v>P-CORD</x:v>
      </x:c>
      <x:c r="B361" s="49" t="str">
        <x:v>A-FISH-TRAP</x:v>
      </x:c>
      <x:c r="C361" s="49" t="str">
        <x:v>Prerequisite</x:v>
      </x:c>
      <x:c r="D361" s="49" t="str">
        <x:v>Yes</x:v>
      </x:c>
      <x:c r="E361" s="49" t="str"/>
      <x:c r="F361" s="49" t="str">
        <x:v>Required for canonical route</x:v>
      </x:c>
      <x:c r="G361" s="49" t="n">
        <x:f>COUNTIF('Craft Nodes'!$A$5:$A$250,A361)</x:f>
        <x:v>1</x:v>
      </x:c>
      <x:c r="H361" s="49" t="n">
        <x:f>COUNTIF('Craft Nodes'!$A$5:$A$250,B361)</x:f>
        <x:v>1</x:v>
      </x:c>
      <x:c r="I361" s="49" t="str">
        <x:f>IF(AND(G361=1,H361=1),"OK",IF(G361=0,"MISSING FROM","MISSING TO"))</x:f>
        <x:v>OK</x:v>
      </x:c>
    </x:row>
    <x:row r="362">
      <x:c r="A362" s="49" t="str">
        <x:v>P-STRAIGHT-POLE</x:v>
      </x:c>
      <x:c r="B362" s="49" t="str">
        <x:v>A-FISH-TRAP</x:v>
      </x:c>
      <x:c r="C362" s="49" t="str">
        <x:v>Prerequisite</x:v>
      </x:c>
      <x:c r="D362" s="49" t="str">
        <x:v>Yes</x:v>
      </x:c>
      <x:c r="E362" s="49" t="str"/>
      <x:c r="F362" s="49" t="str">
        <x:v>Required for canonical route</x:v>
      </x:c>
      <x:c r="G362" s="49" t="n">
        <x:f>COUNTIF('Craft Nodes'!$A$5:$A$250,A362)</x:f>
        <x:v>1</x:v>
      </x:c>
      <x:c r="H362" s="49" t="n">
        <x:f>COUNTIF('Craft Nodes'!$A$5:$A$250,B362)</x:f>
        <x:v>1</x:v>
      </x:c>
      <x:c r="I362" s="49" t="str">
        <x:f>IF(AND(G362=1,H362=1),"OK",IF(G362=0,"MISSING FROM","MISSING TO"))</x:f>
        <x:v>OK</x:v>
      </x:c>
    </x:row>
    <x:row r="363">
      <x:c r="A363" s="49" t="str">
        <x:v>T-STONE-KNIFE</x:v>
      </x:c>
      <x:c r="B363" s="49" t="str">
        <x:v>A-FISH-TRAP</x:v>
      </x:c>
      <x:c r="C363" s="49" t="str">
        <x:v>Tool</x:v>
      </x:c>
      <x:c r="D363" s="49" t="str">
        <x:v>Yes</x:v>
      </x:c>
      <x:c r="E363" s="49" t="str"/>
      <x:c r="F363" s="49" t="str">
        <x:v>Declared embodied tool use</x:v>
      </x:c>
      <x:c r="G363" s="49" t="n">
        <x:f>COUNTIF('Craft Nodes'!$A$5:$A$250,A363)</x:f>
        <x:v>1</x:v>
      </x:c>
      <x:c r="H363" s="49" t="n">
        <x:f>COUNTIF('Craft Nodes'!$A$5:$A$250,B363)</x:f>
        <x:v>1</x:v>
      </x:c>
      <x:c r="I363" s="49" t="str">
        <x:f>IF(AND(G363=1,H363=1),"OK",IF(G363=0,"MISSING FROM","MISSING TO"))</x:f>
        <x:v>OK</x:v>
      </x:c>
    </x:row>
    <x:row r="364">
      <x:c r="A364" s="49" t="str">
        <x:v>P-STRAIGHT-POLE</x:v>
      </x:c>
      <x:c r="B364" s="49" t="str">
        <x:v>A-SPEAR</x:v>
      </x:c>
      <x:c r="C364" s="49" t="str">
        <x:v>Prerequisite</x:v>
      </x:c>
      <x:c r="D364" s="49" t="str">
        <x:v>Yes</x:v>
      </x:c>
      <x:c r="E364" s="49" t="str"/>
      <x:c r="F364" s="49" t="str">
        <x:v>Required for canonical route</x:v>
      </x:c>
      <x:c r="G364" s="49" t="n">
        <x:f>COUNTIF('Craft Nodes'!$A$5:$A$250,A364)</x:f>
        <x:v>1</x:v>
      </x:c>
      <x:c r="H364" s="49" t="n">
        <x:f>COUNTIF('Craft Nodes'!$A$5:$A$250,B364)</x:f>
        <x:v>1</x:v>
      </x:c>
      <x:c r="I364" s="49" t="str">
        <x:f>IF(AND(G364=1,H364=1),"OK",IF(G364=0,"MISSING FROM","MISSING TO"))</x:f>
        <x:v>OK</x:v>
      </x:c>
    </x:row>
    <x:row r="365">
      <x:c r="A365" s="49" t="str">
        <x:v>P-SHARP-EDGE</x:v>
      </x:c>
      <x:c r="B365" s="49" t="str">
        <x:v>A-SPEAR</x:v>
      </x:c>
      <x:c r="C365" s="49" t="str">
        <x:v>Prerequisite</x:v>
      </x:c>
      <x:c r="D365" s="49" t="str">
        <x:v>Yes</x:v>
      </x:c>
      <x:c r="E365" s="49" t="str"/>
      <x:c r="F365" s="49" t="str">
        <x:v>Required for canonical route</x:v>
      </x:c>
      <x:c r="G365" s="49" t="n">
        <x:f>COUNTIF('Craft Nodes'!$A$5:$A$250,A365)</x:f>
        <x:v>1</x:v>
      </x:c>
      <x:c r="H365" s="49" t="n">
        <x:f>COUNTIF('Craft Nodes'!$A$5:$A$250,B365)</x:f>
        <x:v>1</x:v>
      </x:c>
      <x:c r="I365" s="49" t="str">
        <x:f>IF(AND(G365=1,H365=1),"OK",IF(G365=0,"MISSING FROM","MISSING TO"))</x:f>
        <x:v>OK</x:v>
      </x:c>
    </x:row>
    <x:row r="366">
      <x:c r="A366" s="49" t="str">
        <x:v>P-CORD</x:v>
      </x:c>
      <x:c r="B366" s="49" t="str">
        <x:v>A-SPEAR</x:v>
      </x:c>
      <x:c r="C366" s="49" t="str">
        <x:v>Prerequisite</x:v>
      </x:c>
      <x:c r="D366" s="49" t="str">
        <x:v>Yes</x:v>
      </x:c>
      <x:c r="E366" s="49" t="str"/>
      <x:c r="F366" s="49" t="str">
        <x:v>Required for canonical route</x:v>
      </x:c>
      <x:c r="G366" s="49" t="n">
        <x:f>COUNTIF('Craft Nodes'!$A$5:$A$250,A366)</x:f>
        <x:v>1</x:v>
      </x:c>
      <x:c r="H366" s="49" t="n">
        <x:f>COUNTIF('Craft Nodes'!$A$5:$A$250,B366)</x:f>
        <x:v>1</x:v>
      </x:c>
      <x:c r="I366" s="49" t="str">
        <x:f>IF(AND(G366=1,H366=1),"OK",IF(G366=0,"MISSING FROM","MISSING TO"))</x:f>
        <x:v>OK</x:v>
      </x:c>
    </x:row>
    <x:row r="367">
      <x:c r="A367" s="49" t="str">
        <x:v>T-STONE-KNIFE</x:v>
      </x:c>
      <x:c r="B367" s="49" t="str">
        <x:v>A-SPEAR</x:v>
      </x:c>
      <x:c r="C367" s="49" t="str">
        <x:v>Tool</x:v>
      </x:c>
      <x:c r="D367" s="49" t="str">
        <x:v>Yes</x:v>
      </x:c>
      <x:c r="E367" s="49" t="str"/>
      <x:c r="F367" s="49" t="str">
        <x:v>Declared embodied tool use</x:v>
      </x:c>
      <x:c r="G367" s="49" t="n">
        <x:f>COUNTIF('Craft Nodes'!$A$5:$A$250,A367)</x:f>
        <x:v>1</x:v>
      </x:c>
      <x:c r="H367" s="49" t="n">
        <x:f>COUNTIF('Craft Nodes'!$A$5:$A$250,B367)</x:f>
        <x:v>1</x:v>
      </x:c>
      <x:c r="I367" s="49" t="str">
        <x:f>IF(AND(G367=1,H367=1),"OK",IF(G367=0,"MISSING FROM","MISSING TO"))</x:f>
        <x:v>OK</x:v>
      </x:c>
    </x:row>
    <x:row r="368">
      <x:c r="A368" s="49" t="str">
        <x:v>T-DIG</x:v>
      </x:c>
      <x:c r="B368" s="49" t="str">
        <x:v>A-GARDEN</x:v>
      </x:c>
      <x:c r="C368" s="49" t="str">
        <x:v>Tool</x:v>
      </x:c>
      <x:c r="D368" s="49" t="str">
        <x:v>Yes</x:v>
      </x:c>
      <x:c r="E368" s="49" t="str"/>
      <x:c r="F368" s="49" t="str">
        <x:v>Required for canonical route</x:v>
      </x:c>
      <x:c r="G368" s="49" t="n">
        <x:f>COUNTIF('Craft Nodes'!$A$5:$A$250,A368)</x:f>
        <x:v>1</x:v>
      </x:c>
      <x:c r="H368" s="49" t="n">
        <x:f>COUNTIF('Craft Nodes'!$A$5:$A$250,B368)</x:f>
        <x:v>1</x:v>
      </x:c>
      <x:c r="I368" s="49" t="str">
        <x:f>IF(AND(G368=1,H368=1),"OK",IF(G368=0,"MISSING FROM","MISSING TO"))</x:f>
        <x:v>OK</x:v>
      </x:c>
    </x:row>
    <x:row r="369">
      <x:c r="A369" s="49" t="str">
        <x:v>P-SEED-LOT</x:v>
      </x:c>
      <x:c r="B369" s="49" t="str">
        <x:v>A-GARDEN</x:v>
      </x:c>
      <x:c r="C369" s="49" t="str">
        <x:v>Prerequisite</x:v>
      </x:c>
      <x:c r="D369" s="49" t="str">
        <x:v>Yes</x:v>
      </x:c>
      <x:c r="E369" s="49" t="str"/>
      <x:c r="F369" s="49" t="str">
        <x:v>Required for canonical route</x:v>
      </x:c>
      <x:c r="G369" s="49" t="n">
        <x:f>COUNTIF('Craft Nodes'!$A$5:$A$250,A369)</x:f>
        <x:v>1</x:v>
      </x:c>
      <x:c r="H369" s="49" t="n">
        <x:f>COUNTIF('Craft Nodes'!$A$5:$A$250,B369)</x:f>
        <x:v>1</x:v>
      </x:c>
      <x:c r="I369" s="49" t="str">
        <x:f>IF(AND(G369=1,H369=1),"OK",IF(G369=0,"MISSING FROM","MISSING TO"))</x:f>
        <x:v>OK</x:v>
      </x:c>
    </x:row>
    <x:row r="370">
      <x:c r="A370" s="49" t="str">
        <x:v>P-CLEAN-WATER</x:v>
      </x:c>
      <x:c r="B370" s="49" t="str">
        <x:v>A-GARDEN</x:v>
      </x:c>
      <x:c r="C370" s="49" t="str">
        <x:v>Prerequisite</x:v>
      </x:c>
      <x:c r="D370" s="49" t="str">
        <x:v>Yes</x:v>
      </x:c>
      <x:c r="E370" s="49" t="str"/>
      <x:c r="F370" s="49" t="str">
        <x:v>Required for canonical route</x:v>
      </x:c>
      <x:c r="G370" s="49" t="n">
        <x:f>COUNTIF('Craft Nodes'!$A$5:$A$250,A370)</x:f>
        <x:v>1</x:v>
      </x:c>
      <x:c r="H370" s="49" t="n">
        <x:f>COUNTIF('Craft Nodes'!$A$5:$A$250,B370)</x:f>
        <x:v>1</x:v>
      </x:c>
      <x:c r="I370" s="49" t="str">
        <x:f>IF(AND(G370=1,H370=1),"OK",IF(G370=0,"MISSING FROM","MISSING TO"))</x:f>
        <x:v>OK</x:v>
      </x:c>
    </x:row>
    <x:row r="371">
      <x:c r="A371" s="49" t="str">
        <x:v>S-FOOD</x:v>
      </x:c>
      <x:c r="B371" s="49" t="str">
        <x:v>A-GARDEN</x:v>
      </x:c>
      <x:c r="C371" s="49" t="str">
        <x:v>Prerequisite</x:v>
      </x:c>
      <x:c r="D371" s="49" t="str">
        <x:v>Yes</x:v>
      </x:c>
      <x:c r="E371" s="49" t="str"/>
      <x:c r="F371" s="49" t="str">
        <x:v>Required for canonical route</x:v>
      </x:c>
      <x:c r="G371" s="49" t="n">
        <x:f>COUNTIF('Craft Nodes'!$A$5:$A$250,A371)</x:f>
        <x:v>1</x:v>
      </x:c>
      <x:c r="H371" s="49" t="n">
        <x:f>COUNTIF('Craft Nodes'!$A$5:$A$250,B371)</x:f>
        <x:v>1</x:v>
      </x:c>
      <x:c r="I371" s="49" t="str">
        <x:f>IF(AND(G371=1,H371=1),"OK",IF(G371=0,"MISSING FROM","MISSING TO"))</x:f>
        <x:v>OK</x:v>
      </x:c>
    </x:row>
    <x:row r="372">
      <x:c r="A372" s="49" t="str">
        <x:v>S-FOOD</x:v>
      </x:c>
      <x:c r="B372" s="49" t="str">
        <x:v>A-COMPOST</x:v>
      </x:c>
      <x:c r="C372" s="49" t="str">
        <x:v>Prerequisite</x:v>
      </x:c>
      <x:c r="D372" s="49" t="str">
        <x:v>Yes</x:v>
      </x:c>
      <x:c r="E372" s="49" t="str"/>
      <x:c r="F372" s="49" t="str">
        <x:v>Required for canonical route</x:v>
      </x:c>
      <x:c r="G372" s="49" t="n">
        <x:f>COUNTIF('Craft Nodes'!$A$5:$A$250,A372)</x:f>
        <x:v>1</x:v>
      </x:c>
      <x:c r="H372" s="49" t="n">
        <x:f>COUNTIF('Craft Nodes'!$A$5:$A$250,B372)</x:f>
        <x:v>1</x:v>
      </x:c>
      <x:c r="I372" s="49" t="str">
        <x:f>IF(AND(G372=1,H372=1),"OK",IF(G372=0,"MISSING FROM","MISSING TO"))</x:f>
        <x:v>OK</x:v>
      </x:c>
    </x:row>
    <x:row r="373">
      <x:c r="A373" s="49" t="str">
        <x:v>P-MAT</x:v>
      </x:c>
      <x:c r="B373" s="49" t="str">
        <x:v>A-COMPOST</x:v>
      </x:c>
      <x:c r="C373" s="49" t="str">
        <x:v>Prerequisite</x:v>
      </x:c>
      <x:c r="D373" s="49" t="str">
        <x:v>Yes</x:v>
      </x:c>
      <x:c r="E373" s="49" t="str"/>
      <x:c r="F373" s="49" t="str">
        <x:v>Required for canonical route</x:v>
      </x:c>
      <x:c r="G373" s="49" t="n">
        <x:f>COUNTIF('Craft Nodes'!$A$5:$A$250,A373)</x:f>
        <x:v>1</x:v>
      </x:c>
      <x:c r="H373" s="49" t="n">
        <x:f>COUNTIF('Craft Nodes'!$A$5:$A$250,B373)</x:f>
        <x:v>1</x:v>
      </x:c>
      <x:c r="I373" s="49" t="str">
        <x:f>IF(AND(G373=1,H373=1),"OK",IF(G373=0,"MISSING FROM","MISSING TO"))</x:f>
        <x:v>OK</x:v>
      </x:c>
    </x:row>
    <x:row r="374">
      <x:c r="A374" s="49" t="str">
        <x:v>P-CLEAN-WATER</x:v>
      </x:c>
      <x:c r="B374" s="49" t="str">
        <x:v>A-COMPOST</x:v>
      </x:c>
      <x:c r="C374" s="49" t="str">
        <x:v>Prerequisite</x:v>
      </x:c>
      <x:c r="D374" s="49" t="str">
        <x:v>Yes</x:v>
      </x:c>
      <x:c r="E374" s="49" t="str"/>
      <x:c r="F374" s="49" t="str">
        <x:v>Required for canonical route</x:v>
      </x:c>
      <x:c r="G374" s="49" t="n">
        <x:f>COUNTIF('Craft Nodes'!$A$5:$A$250,A374)</x:f>
        <x:v>1</x:v>
      </x:c>
      <x:c r="H374" s="49" t="n">
        <x:f>COUNTIF('Craft Nodes'!$A$5:$A$250,B374)</x:f>
        <x:v>1</x:v>
      </x:c>
      <x:c r="I374" s="49" t="str">
        <x:f>IF(AND(G374=1,H374=1),"OK",IF(G374=0,"MISSING FROM","MISSING TO"))</x:f>
        <x:v>OK</x:v>
      </x:c>
    </x:row>
    <x:row r="375">
      <x:c r="A375" s="49" t="str">
        <x:v>T-DIG</x:v>
      </x:c>
      <x:c r="B375" s="49" t="str">
        <x:v>A-COMPOST</x:v>
      </x:c>
      <x:c r="C375" s="49" t="str">
        <x:v>Tool</x:v>
      </x:c>
      <x:c r="D375" s="49" t="str">
        <x:v>Yes</x:v>
      </x:c>
      <x:c r="E375" s="49" t="str"/>
      <x:c r="F375" s="49" t="str">
        <x:v>Declared embodied tool use</x:v>
      </x:c>
      <x:c r="G375" s="49" t="n">
        <x:f>COUNTIF('Craft Nodes'!$A$5:$A$250,A375)</x:f>
        <x:v>1</x:v>
      </x:c>
      <x:c r="H375" s="49" t="n">
        <x:f>COUNTIF('Craft Nodes'!$A$5:$A$250,B375)</x:f>
        <x:v>1</x:v>
      </x:c>
      <x:c r="I375" s="49" t="str">
        <x:f>IF(AND(G375=1,H375=1),"OK",IF(G375=0,"MISSING FROM","MISSING TO"))</x:f>
        <x:v>OK</x:v>
      </x:c>
    </x:row>
    <x:row r="376">
      <x:c r="A376" s="49" t="str">
        <x:v>P-PRESERVED-FOOD</x:v>
      </x:c>
      <x:c r="B376" s="49" t="str">
        <x:v>A-FOOD-STORE</x:v>
      </x:c>
      <x:c r="C376" s="49" t="str">
        <x:v>Prerequisite</x:v>
      </x:c>
      <x:c r="D376" s="49" t="str">
        <x:v>Yes</x:v>
      </x:c>
      <x:c r="E376" s="49" t="str"/>
      <x:c r="F376" s="49" t="str">
        <x:v>Required for canonical route</x:v>
      </x:c>
      <x:c r="G376" s="49" t="n">
        <x:f>COUNTIF('Craft Nodes'!$A$5:$A$250,A376)</x:f>
        <x:v>1</x:v>
      </x:c>
      <x:c r="H376" s="49" t="n">
        <x:f>COUNTIF('Craft Nodes'!$A$5:$A$250,B376)</x:f>
        <x:v>1</x:v>
      </x:c>
      <x:c r="I376" s="49" t="str">
        <x:f>IF(AND(G376=1,H376=1),"OK",IF(G376=0,"MISSING FROM","MISSING TO"))</x:f>
        <x:v>OK</x:v>
      </x:c>
    </x:row>
    <x:row r="377">
      <x:c r="A377" s="49" t="str">
        <x:v>A-COVERED-STORE</x:v>
      </x:c>
      <x:c r="B377" s="49" t="str">
        <x:v>A-FOOD-STORE</x:v>
      </x:c>
      <x:c r="C377" s="49" t="str">
        <x:v>Prerequisite</x:v>
      </x:c>
      <x:c r="D377" s="49" t="str">
        <x:v>Yes</x:v>
      </x:c>
      <x:c r="E377" s="49" t="str"/>
      <x:c r="F377" s="49" t="str">
        <x:v>Required for canonical route</x:v>
      </x:c>
      <x:c r="G377" s="49" t="n">
        <x:f>COUNTIF('Craft Nodes'!$A$5:$A$250,A377)</x:f>
        <x:v>1</x:v>
      </x:c>
      <x:c r="H377" s="49" t="n">
        <x:f>COUNTIF('Craft Nodes'!$A$5:$A$250,B377)</x:f>
        <x:v>1</x:v>
      </x:c>
      <x:c r="I377" s="49" t="str">
        <x:f>IF(AND(G377=1,H377=1),"OK",IF(G377=0,"MISSING FROM","MISSING TO"))</x:f>
        <x:v>OK</x:v>
      </x:c>
    </x:row>
    <x:row r="378">
      <x:c r="A378" s="49" t="str">
        <x:v>A-GARDEN</x:v>
      </x:c>
      <x:c r="B378" s="49" t="str">
        <x:v>A-FOOD-STORE</x:v>
      </x:c>
      <x:c r="C378" s="49" t="str">
        <x:v>Prerequisite</x:v>
      </x:c>
      <x:c r="D378" s="49" t="str">
        <x:v>Yes</x:v>
      </x:c>
      <x:c r="E378" s="49" t="str"/>
      <x:c r="F378" s="49" t="str">
        <x:v>Required for canonical route</x:v>
      </x:c>
      <x:c r="G378" s="49" t="n">
        <x:f>COUNTIF('Craft Nodes'!$A$5:$A$250,A378)</x:f>
        <x:v>1</x:v>
      </x:c>
      <x:c r="H378" s="49" t="n">
        <x:f>COUNTIF('Craft Nodes'!$A$5:$A$250,B378)</x:f>
        <x:v>1</x:v>
      </x:c>
      <x:c r="I378" s="49" t="str">
        <x:f>IF(AND(G378=1,H378=1),"OK",IF(G378=0,"MISSING FROM","MISSING TO"))</x:f>
        <x:v>OK</x:v>
      </x:c>
    </x:row>
    <x:row r="379">
      <x:c r="A379" s="49" t="str">
        <x:v>P-MAT</x:v>
      </x:c>
      <x:c r="B379" s="49" t="str">
        <x:v>A-BASKET</x:v>
      </x:c>
      <x:c r="C379" s="49" t="str">
        <x:v>Prerequisite</x:v>
      </x:c>
      <x:c r="D379" s="49" t="str">
        <x:v>Yes</x:v>
      </x:c>
      <x:c r="E379" s="49" t="str"/>
      <x:c r="F379" s="49" t="str">
        <x:v>Required for canonical route</x:v>
      </x:c>
      <x:c r="G379" s="49" t="n">
        <x:f>COUNTIF('Craft Nodes'!$A$5:$A$250,A379)</x:f>
        <x:v>1</x:v>
      </x:c>
      <x:c r="H379" s="49" t="n">
        <x:f>COUNTIF('Craft Nodes'!$A$5:$A$250,B379)</x:f>
        <x:v>1</x:v>
      </x:c>
      <x:c r="I379" s="49" t="str">
        <x:f>IF(AND(G379=1,H379=1),"OK",IF(G379=0,"MISSING FROM","MISSING TO"))</x:f>
        <x:v>OK</x:v>
      </x:c>
    </x:row>
    <x:row r="380">
      <x:c r="A380" s="49" t="str">
        <x:v>P-CORD</x:v>
      </x:c>
      <x:c r="B380" s="49" t="str">
        <x:v>A-BASKET</x:v>
      </x:c>
      <x:c r="C380" s="49" t="str">
        <x:v>Prerequisite</x:v>
      </x:c>
      <x:c r="D380" s="49" t="str">
        <x:v>Yes</x:v>
      </x:c>
      <x:c r="E380" s="49" t="str"/>
      <x:c r="F380" s="49" t="str">
        <x:v>Required for canonical route</x:v>
      </x:c>
      <x:c r="G380" s="49" t="n">
        <x:f>COUNTIF('Craft Nodes'!$A$5:$A$250,A380)</x:f>
        <x:v>1</x:v>
      </x:c>
      <x:c r="H380" s="49" t="n">
        <x:f>COUNTIF('Craft Nodes'!$A$5:$A$250,B380)</x:f>
        <x:v>1</x:v>
      </x:c>
      <x:c r="I380" s="49" t="str">
        <x:f>IF(AND(G380=1,H380=1),"OK",IF(G380=0,"MISSING FROM","MISSING TO"))</x:f>
        <x:v>OK</x:v>
      </x:c>
    </x:row>
    <x:row r="381">
      <x:c r="A381" s="49" t="str">
        <x:v>T-STONE-KNIFE</x:v>
      </x:c>
      <x:c r="B381" s="49" t="str">
        <x:v>A-BASKET</x:v>
      </x:c>
      <x:c r="C381" s="49" t="str">
        <x:v>Tool</x:v>
      </x:c>
      <x:c r="D381" s="49" t="str">
        <x:v>Yes</x:v>
      </x:c>
      <x:c r="E381" s="49" t="str"/>
      <x:c r="F381" s="49" t="str">
        <x:v>Declared embodied tool use</x:v>
      </x:c>
      <x:c r="G381" s="49" t="n">
        <x:f>COUNTIF('Craft Nodes'!$A$5:$A$250,A381)</x:f>
        <x:v>1</x:v>
      </x:c>
      <x:c r="H381" s="49" t="n">
        <x:f>COUNTIF('Craft Nodes'!$A$5:$A$250,B381)</x:f>
        <x:v>1</x:v>
      </x:c>
      <x:c r="I381" s="49" t="str">
        <x:f>IF(AND(G381=1,H381=1),"OK",IF(G381=0,"MISSING FROM","MISSING TO"))</x:f>
        <x:v>OK</x:v>
      </x:c>
    </x:row>
    <x:row r="382">
      <x:c r="A382" s="49" t="str">
        <x:v>W-WORKMAT</x:v>
      </x:c>
      <x:c r="B382" s="49" t="str">
        <x:v>A-BASKET</x:v>
      </x:c>
      <x:c r="C382" s="49" t="str">
        <x:v>Workspace</x:v>
      </x:c>
      <x:c r="D382" s="49" t="str">
        <x:v>Yes</x:v>
      </x:c>
      <x:c r="E382" s="49" t="str"/>
      <x:c r="F382" s="49" t="str">
        <x:v>Declared worksite dependency</x:v>
      </x:c>
      <x:c r="G382" s="49" t="n">
        <x:f>COUNTIF('Craft Nodes'!$A$5:$A$250,A382)</x:f>
        <x:v>1</x:v>
      </x:c>
      <x:c r="H382" s="49" t="n">
        <x:f>COUNTIF('Craft Nodes'!$A$5:$A$250,B382)</x:f>
        <x:v>1</x:v>
      </x:c>
      <x:c r="I382" s="49" t="str">
        <x:f>IF(AND(G382=1,H382=1),"OK",IF(G382=0,"MISSING FROM","MISSING TO"))</x:f>
        <x:v>OK</x:v>
      </x:c>
    </x:row>
    <x:row r="383">
      <x:c r="A383" s="49" t="str">
        <x:v>P-STRAIGHT-POLE</x:v>
      </x:c>
      <x:c r="B383" s="49" t="str">
        <x:v>A-PACK</x:v>
      </x:c>
      <x:c r="C383" s="49" t="str">
        <x:v>Prerequisite</x:v>
      </x:c>
      <x:c r="D383" s="49" t="str">
        <x:v>Yes</x:v>
      </x:c>
      <x:c r="E383" s="49" t="str"/>
      <x:c r="F383" s="49" t="str">
        <x:v>Required for canonical route</x:v>
      </x:c>
      <x:c r="G383" s="49" t="n">
        <x:f>COUNTIF('Craft Nodes'!$A$5:$A$250,A383)</x:f>
        <x:v>1</x:v>
      </x:c>
      <x:c r="H383" s="49" t="n">
        <x:f>COUNTIF('Craft Nodes'!$A$5:$A$250,B383)</x:f>
        <x:v>1</x:v>
      </x:c>
      <x:c r="I383" s="49" t="str">
        <x:f>IF(AND(G383=1,H383=1),"OK",IF(G383=0,"MISSING FROM","MISSING TO"))</x:f>
        <x:v>OK</x:v>
      </x:c>
    </x:row>
    <x:row r="384">
      <x:c r="A384" s="49" t="str">
        <x:v>P-MAT</x:v>
      </x:c>
      <x:c r="B384" s="49" t="str">
        <x:v>A-PACK</x:v>
      </x:c>
      <x:c r="C384" s="49" t="str">
        <x:v>Prerequisite</x:v>
      </x:c>
      <x:c r="D384" s="49" t="str">
        <x:v>Yes</x:v>
      </x:c>
      <x:c r="E384" s="49" t="str"/>
      <x:c r="F384" s="49" t="str">
        <x:v>Required for canonical route</x:v>
      </x:c>
      <x:c r="G384" s="49" t="n">
        <x:f>COUNTIF('Craft Nodes'!$A$5:$A$250,A384)</x:f>
        <x:v>1</x:v>
      </x:c>
      <x:c r="H384" s="49" t="n">
        <x:f>COUNTIF('Craft Nodes'!$A$5:$A$250,B384)</x:f>
        <x:v>1</x:v>
      </x:c>
      <x:c r="I384" s="49" t="str">
        <x:f>IF(AND(G384=1,H384=1),"OK",IF(G384=0,"MISSING FROM","MISSING TO"))</x:f>
        <x:v>OK</x:v>
      </x:c>
    </x:row>
    <x:row r="385">
      <x:c r="A385" s="49" t="str">
        <x:v>P-CORD</x:v>
      </x:c>
      <x:c r="B385" s="49" t="str">
        <x:v>A-PACK</x:v>
      </x:c>
      <x:c r="C385" s="49" t="str">
        <x:v>Prerequisite</x:v>
      </x:c>
      <x:c r="D385" s="49" t="str">
        <x:v>Yes</x:v>
      </x:c>
      <x:c r="E385" s="49" t="str"/>
      <x:c r="F385" s="49" t="str">
        <x:v>Required for canonical route</x:v>
      </x:c>
      <x:c r="G385" s="49" t="n">
        <x:f>COUNTIF('Craft Nodes'!$A$5:$A$250,A385)</x:f>
        <x:v>1</x:v>
      </x:c>
      <x:c r="H385" s="49" t="n">
        <x:f>COUNTIF('Craft Nodes'!$A$5:$A$250,B385)</x:f>
        <x:v>1</x:v>
      </x:c>
      <x:c r="I385" s="49" t="str">
        <x:f>IF(AND(G385=1,H385=1),"OK",IF(G385=0,"MISSING FROM","MISSING TO"))</x:f>
        <x:v>OK</x:v>
      </x:c>
    </x:row>
    <x:row r="386">
      <x:c r="A386" s="49" t="str">
        <x:v>T-MEASURE</x:v>
      </x:c>
      <x:c r="B386" s="49" t="str">
        <x:v>A-PACK</x:v>
      </x:c>
      <x:c r="C386" s="49" t="str">
        <x:v>Tool</x:v>
      </x:c>
      <x:c r="D386" s="49" t="str">
        <x:v>Yes</x:v>
      </x:c>
      <x:c r="E386" s="49" t="str"/>
      <x:c r="F386" s="49" t="str">
        <x:v>Declared embodied tool use</x:v>
      </x:c>
      <x:c r="G386" s="49" t="n">
        <x:f>COUNTIF('Craft Nodes'!$A$5:$A$250,A386)</x:f>
        <x:v>1</x:v>
      </x:c>
      <x:c r="H386" s="49" t="n">
        <x:f>COUNTIF('Craft Nodes'!$A$5:$A$250,B386)</x:f>
        <x:v>1</x:v>
      </x:c>
      <x:c r="I386" s="49" t="str">
        <x:f>IF(AND(G386=1,H386=1),"OK",IF(G386=0,"MISSING FROM","MISSING TO"))</x:f>
        <x:v>OK</x:v>
      </x:c>
    </x:row>
    <x:row r="387">
      <x:c r="A387" s="49" t="str">
        <x:v>W-BENCH</x:v>
      </x:c>
      <x:c r="B387" s="49" t="str">
        <x:v>A-PACK</x:v>
      </x:c>
      <x:c r="C387" s="49" t="str">
        <x:v>Workspace</x:v>
      </x:c>
      <x:c r="D387" s="49" t="str">
        <x:v>Yes</x:v>
      </x:c>
      <x:c r="E387" s="49" t="str"/>
      <x:c r="F387" s="49" t="str">
        <x:v>Declared worksite dependency</x:v>
      </x:c>
      <x:c r="G387" s="49" t="n">
        <x:f>COUNTIF('Craft Nodes'!$A$5:$A$250,A387)</x:f>
        <x:v>1</x:v>
      </x:c>
      <x:c r="H387" s="49" t="n">
        <x:f>COUNTIF('Craft Nodes'!$A$5:$A$250,B387)</x:f>
        <x:v>1</x:v>
      </x:c>
      <x:c r="I387" s="49" t="str">
        <x:f>IF(AND(G387=1,H387=1),"OK",IF(G387=0,"MISSING FROM","MISSING TO"))</x:f>
        <x:v>OK</x:v>
      </x:c>
    </x:row>
    <x:row r="388">
      <x:c r="A388" s="49" t="str">
        <x:v>P-STRAIGHT-POLE</x:v>
      </x:c>
      <x:c r="B388" s="49" t="str">
        <x:v>A-SLED</x:v>
      </x:c>
      <x:c r="C388" s="49" t="str">
        <x:v>Prerequisite</x:v>
      </x:c>
      <x:c r="D388" s="49" t="str">
        <x:v>Yes</x:v>
      </x:c>
      <x:c r="E388" s="49" t="str"/>
      <x:c r="F388" s="49" t="str">
        <x:v>Required for canonical route</x:v>
      </x:c>
      <x:c r="G388" s="49" t="n">
        <x:f>COUNTIF('Craft Nodes'!$A$5:$A$250,A388)</x:f>
        <x:v>1</x:v>
      </x:c>
      <x:c r="H388" s="49" t="n">
        <x:f>COUNTIF('Craft Nodes'!$A$5:$A$250,B388)</x:f>
        <x:v>1</x:v>
      </x:c>
      <x:c r="I388" s="49" t="str">
        <x:f>IF(AND(G388=1,H388=1),"OK",IF(G388=0,"MISSING FROM","MISSING TO"))</x:f>
        <x:v>OK</x:v>
      </x:c>
    </x:row>
    <x:row r="389">
      <x:c r="A389" s="49" t="str">
        <x:v>P-CORD</x:v>
      </x:c>
      <x:c r="B389" s="49" t="str">
        <x:v>A-SLED</x:v>
      </x:c>
      <x:c r="C389" s="49" t="str">
        <x:v>Prerequisite</x:v>
      </x:c>
      <x:c r="D389" s="49" t="str">
        <x:v>Yes</x:v>
      </x:c>
      <x:c r="E389" s="49" t="str"/>
      <x:c r="F389" s="49" t="str">
        <x:v>Required for canonical route</x:v>
      </x:c>
      <x:c r="G389" s="49" t="n">
        <x:f>COUNTIF('Craft Nodes'!$A$5:$A$250,A389)</x:f>
        <x:v>1</x:v>
      </x:c>
      <x:c r="H389" s="49" t="n">
        <x:f>COUNTIF('Craft Nodes'!$A$5:$A$250,B389)</x:f>
        <x:v>1</x:v>
      </x:c>
      <x:c r="I389" s="49" t="str">
        <x:f>IF(AND(G389=1,H389=1),"OK",IF(G389=0,"MISSING FROM","MISSING TO"))</x:f>
        <x:v>OK</x:v>
      </x:c>
    </x:row>
    <x:row r="390">
      <x:c r="A390" s="49" t="str">
        <x:v>P-MAT</x:v>
      </x:c>
      <x:c r="B390" s="49" t="str">
        <x:v>A-SLED</x:v>
      </x:c>
      <x:c r="C390" s="49" t="str">
        <x:v>Prerequisite</x:v>
      </x:c>
      <x:c r="D390" s="49" t="str">
        <x:v>Yes</x:v>
      </x:c>
      <x:c r="E390" s="49" t="str"/>
      <x:c r="F390" s="49" t="str">
        <x:v>Required for canonical route</x:v>
      </x:c>
      <x:c r="G390" s="49" t="n">
        <x:f>COUNTIF('Craft Nodes'!$A$5:$A$250,A390)</x:f>
        <x:v>1</x:v>
      </x:c>
      <x:c r="H390" s="49" t="n">
        <x:f>COUNTIF('Craft Nodes'!$A$5:$A$250,B390)</x:f>
        <x:v>1</x:v>
      </x:c>
      <x:c r="I390" s="49" t="str">
        <x:f>IF(AND(G390=1,H390=1),"OK",IF(G390=0,"MISSING FROM","MISSING TO"))</x:f>
        <x:v>OK</x:v>
      </x:c>
    </x:row>
    <x:row r="391">
      <x:c r="A391" s="49" t="str">
        <x:v>T-AXE</x:v>
      </x:c>
      <x:c r="B391" s="49" t="str">
        <x:v>A-SLED</x:v>
      </x:c>
      <x:c r="C391" s="49" t="str">
        <x:v>Tool</x:v>
      </x:c>
      <x:c r="D391" s="49" t="str">
        <x:v>Yes</x:v>
      </x:c>
      <x:c r="E391" s="49" t="str"/>
      <x:c r="F391" s="49" t="str">
        <x:v>Declared embodied tool use</x:v>
      </x:c>
      <x:c r="G391" s="49" t="n">
        <x:f>COUNTIF('Craft Nodes'!$A$5:$A$250,A391)</x:f>
        <x:v>1</x:v>
      </x:c>
      <x:c r="H391" s="49" t="n">
        <x:f>COUNTIF('Craft Nodes'!$A$5:$A$250,B391)</x:f>
        <x:v>1</x:v>
      </x:c>
      <x:c r="I391" s="49" t="str">
        <x:f>IF(AND(G391=1,H391=1),"OK",IF(G391=0,"MISSING FROM","MISSING TO"))</x:f>
        <x:v>OK</x:v>
      </x:c>
    </x:row>
    <x:row r="392">
      <x:c r="A392" s="49" t="str">
        <x:v>W-BENCH</x:v>
      </x:c>
      <x:c r="B392" s="49" t="str">
        <x:v>A-SLED</x:v>
      </x:c>
      <x:c r="C392" s="49" t="str">
        <x:v>Workspace</x:v>
      </x:c>
      <x:c r="D392" s="49" t="str">
        <x:v>Yes</x:v>
      </x:c>
      <x:c r="E392" s="49" t="str"/>
      <x:c r="F392" s="49" t="str">
        <x:v>Declared worksite dependency</x:v>
      </x:c>
      <x:c r="G392" s="49" t="n">
        <x:f>COUNTIF('Craft Nodes'!$A$5:$A$250,A392)</x:f>
        <x:v>1</x:v>
      </x:c>
      <x:c r="H392" s="49" t="n">
        <x:f>COUNTIF('Craft Nodes'!$A$5:$A$250,B392)</x:f>
        <x:v>1</x:v>
      </x:c>
      <x:c r="I392" s="49" t="str">
        <x:f>IF(AND(G392=1,H392=1),"OK",IF(G392=0,"MISSING FROM","MISSING TO"))</x:f>
        <x:v>OK</x:v>
      </x:c>
    </x:row>
    <x:row r="393">
      <x:c r="A393" s="49" t="str">
        <x:v>P-PLANK</x:v>
      </x:c>
      <x:c r="B393" s="49" t="str">
        <x:v>A-CART</x:v>
      </x:c>
      <x:c r="C393" s="49" t="str">
        <x:v>Prerequisite</x:v>
      </x:c>
      <x:c r="D393" s="49" t="str">
        <x:v>Yes</x:v>
      </x:c>
      <x:c r="E393" s="49" t="str"/>
      <x:c r="F393" s="49" t="str">
        <x:v>Required for canonical route</x:v>
      </x:c>
      <x:c r="G393" s="49" t="n">
        <x:f>COUNTIF('Craft Nodes'!$A$5:$A$250,A393)</x:f>
        <x:v>1</x:v>
      </x:c>
      <x:c r="H393" s="49" t="n">
        <x:f>COUNTIF('Craft Nodes'!$A$5:$A$250,B393)</x:f>
        <x:v>1</x:v>
      </x:c>
      <x:c r="I393" s="49" t="str">
        <x:f>IF(AND(G393=1,H393=1),"OK",IF(G393=0,"MISSING FROM","MISSING TO"))</x:f>
        <x:v>OK</x:v>
      </x:c>
    </x:row>
    <x:row r="394">
      <x:c r="A394" s="49" t="str">
        <x:v>S-BEARING</x:v>
      </x:c>
      <x:c r="B394" s="49" t="str">
        <x:v>A-CART</x:v>
      </x:c>
      <x:c r="C394" s="49" t="str">
        <x:v>Prerequisite</x:v>
      </x:c>
      <x:c r="D394" s="49" t="str">
        <x:v>Yes</x:v>
      </x:c>
      <x:c r="E394" s="49" t="str"/>
      <x:c r="F394" s="49" t="str">
        <x:v>Required for canonical route</x:v>
      </x:c>
      <x:c r="G394" s="49" t="n">
        <x:f>COUNTIF('Craft Nodes'!$A$5:$A$250,A394)</x:f>
        <x:v>1</x:v>
      </x:c>
      <x:c r="H394" s="49" t="n">
        <x:f>COUNTIF('Craft Nodes'!$A$5:$A$250,B394)</x:f>
        <x:v>1</x:v>
      </x:c>
      <x:c r="I394" s="49" t="str">
        <x:f>IF(AND(G394=1,H394=1),"OK",IF(G394=0,"MISSING FROM","MISSING TO"))</x:f>
        <x:v>OK</x:v>
      </x:c>
    </x:row>
    <x:row r="395">
      <x:c r="A395" s="49" t="str">
        <x:v>S-FASTENER</x:v>
      </x:c>
      <x:c r="B395" s="49" t="str">
        <x:v>A-CART</x:v>
      </x:c>
      <x:c r="C395" s="49" t="str">
        <x:v>Prerequisite</x:v>
      </x:c>
      <x:c r="D395" s="49" t="str">
        <x:v>Yes</x:v>
      </x:c>
      <x:c r="E395" s="49" t="str"/>
      <x:c r="F395" s="49" t="str">
        <x:v>Required for canonical route</x:v>
      </x:c>
      <x:c r="G395" s="49" t="n">
        <x:f>COUNTIF('Craft Nodes'!$A$5:$A$250,A395)</x:f>
        <x:v>1</x:v>
      </x:c>
      <x:c r="H395" s="49" t="n">
        <x:f>COUNTIF('Craft Nodes'!$A$5:$A$250,B395)</x:f>
        <x:v>1</x:v>
      </x:c>
      <x:c r="I395" s="49" t="str">
        <x:f>IF(AND(G395=1,H395=1),"OK",IF(G395=0,"MISSING FROM","MISSING TO"))</x:f>
        <x:v>OK</x:v>
      </x:c>
    </x:row>
    <x:row r="396">
      <x:c r="A396" s="49" t="str">
        <x:v>T-DRILL</x:v>
      </x:c>
      <x:c r="B396" s="49" t="str">
        <x:v>A-CART</x:v>
      </x:c>
      <x:c r="C396" s="49" t="str">
        <x:v>Tool</x:v>
      </x:c>
      <x:c r="D396" s="49" t="str">
        <x:v>Yes</x:v>
      </x:c>
      <x:c r="E396" s="49" t="str"/>
      <x:c r="F396" s="49" t="str">
        <x:v>Required for canonical route</x:v>
      </x:c>
      <x:c r="G396" s="49" t="n">
        <x:f>COUNTIF('Craft Nodes'!$A$5:$A$250,A396)</x:f>
        <x:v>1</x:v>
      </x:c>
      <x:c r="H396" s="49" t="n">
        <x:f>COUNTIF('Craft Nodes'!$A$5:$A$250,B396)</x:f>
        <x:v>1</x:v>
      </x:c>
      <x:c r="I396" s="49" t="str">
        <x:f>IF(AND(G396=1,H396=1),"OK",IF(G396=0,"MISSING FROM","MISSING TO"))</x:f>
        <x:v>OK</x:v>
      </x:c>
    </x:row>
    <x:row r="397">
      <x:c r="A397" s="49" t="str">
        <x:v>T-MEASURE</x:v>
      </x:c>
      <x:c r="B397" s="49" t="str">
        <x:v>A-CART</x:v>
      </x:c>
      <x:c r="C397" s="49" t="str">
        <x:v>Tool</x:v>
      </x:c>
      <x:c r="D397" s="49" t="str">
        <x:v>Yes</x:v>
      </x:c>
      <x:c r="E397" s="49" t="str"/>
      <x:c r="F397" s="49" t="str">
        <x:v>Declared embodied tool use</x:v>
      </x:c>
      <x:c r="G397" s="49" t="n">
        <x:f>COUNTIF('Craft Nodes'!$A$5:$A$250,A397)</x:f>
        <x:v>1</x:v>
      </x:c>
      <x:c r="H397" s="49" t="n">
        <x:f>COUNTIF('Craft Nodes'!$A$5:$A$250,B397)</x:f>
        <x:v>1</x:v>
      </x:c>
      <x:c r="I397" s="49" t="str">
        <x:f>IF(AND(G397=1,H397=1),"OK",IF(G397=0,"MISSING FROM","MISSING TO"))</x:f>
        <x:v>OK</x:v>
      </x:c>
    </x:row>
    <x:row r="398">
      <x:c r="A398" s="49" t="str">
        <x:v>W-BENCH</x:v>
      </x:c>
      <x:c r="B398" s="49" t="str">
        <x:v>A-CART</x:v>
      </x:c>
      <x:c r="C398" s="49" t="str">
        <x:v>Workspace</x:v>
      </x:c>
      <x:c r="D398" s="49" t="str">
        <x:v>Yes</x:v>
      </x:c>
      <x:c r="E398" s="49" t="str"/>
      <x:c r="F398" s="49" t="str">
        <x:v>Declared worksite dependency</x:v>
      </x:c>
      <x:c r="G398" s="49" t="n">
        <x:f>COUNTIF('Craft Nodes'!$A$5:$A$250,A398)</x:f>
        <x:v>1</x:v>
      </x:c>
      <x:c r="H398" s="49" t="n">
        <x:f>COUNTIF('Craft Nodes'!$A$5:$A$250,B398)</x:f>
        <x:v>1</x:v>
      </x:c>
      <x:c r="I398" s="49" t="str">
        <x:f>IF(AND(G398=1,H398=1),"OK",IF(G398=0,"MISSING FROM","MISSING TO"))</x:f>
        <x:v>OK</x:v>
      </x:c>
    </x:row>
    <x:row r="399">
      <x:c r="A399" s="49" t="str">
        <x:v>P-STRAIGHT-POLE</x:v>
      </x:c>
      <x:c r="B399" s="49" t="str">
        <x:v>A-TRIPOD</x:v>
      </x:c>
      <x:c r="C399" s="49" t="str">
        <x:v>Prerequisite</x:v>
      </x:c>
      <x:c r="D399" s="49" t="str">
        <x:v>Yes</x:v>
      </x:c>
      <x:c r="E399" s="49" t="str"/>
      <x:c r="F399" s="49" t="str">
        <x:v>Required for canonical route</x:v>
      </x:c>
      <x:c r="G399" s="49" t="n">
        <x:f>COUNTIF('Craft Nodes'!$A$5:$A$250,A399)</x:f>
        <x:v>1</x:v>
      </x:c>
      <x:c r="H399" s="49" t="n">
        <x:f>COUNTIF('Craft Nodes'!$A$5:$A$250,B399)</x:f>
        <x:v>1</x:v>
      </x:c>
      <x:c r="I399" s="49" t="str">
        <x:f>IF(AND(G399=1,H399=1),"OK",IF(G399=0,"MISSING FROM","MISSING TO"))</x:f>
        <x:v>OK</x:v>
      </x:c>
    </x:row>
    <x:row r="400">
      <x:c r="A400" s="49" t="str">
        <x:v>P-ROPE</x:v>
      </x:c>
      <x:c r="B400" s="49" t="str">
        <x:v>A-TRIPOD</x:v>
      </x:c>
      <x:c r="C400" s="49" t="str">
        <x:v>Prerequisite</x:v>
      </x:c>
      <x:c r="D400" s="49" t="str">
        <x:v>Yes</x:v>
      </x:c>
      <x:c r="E400" s="49" t="str"/>
      <x:c r="F400" s="49" t="str">
        <x:v>Required for canonical route</x:v>
      </x:c>
      <x:c r="G400" s="49" t="n">
        <x:f>COUNTIF('Craft Nodes'!$A$5:$A$250,A400)</x:f>
        <x:v>1</x:v>
      </x:c>
      <x:c r="H400" s="49" t="n">
        <x:f>COUNTIF('Craft Nodes'!$A$5:$A$250,B400)</x:f>
        <x:v>1</x:v>
      </x:c>
      <x:c r="I400" s="49" t="str">
        <x:f>IF(AND(G400=1,H400=1),"OK",IF(G400=0,"MISSING FROM","MISSING TO"))</x:f>
        <x:v>OK</x:v>
      </x:c>
    </x:row>
    <x:row r="401">
      <x:c r="A401" s="49" t="str">
        <x:v>T-MEASURE</x:v>
      </x:c>
      <x:c r="B401" s="49" t="str">
        <x:v>A-TRIPOD</x:v>
      </x:c>
      <x:c r="C401" s="49" t="str">
        <x:v>Tool</x:v>
      </x:c>
      <x:c r="D401" s="49" t="str">
        <x:v>Yes</x:v>
      </x:c>
      <x:c r="E401" s="49" t="str"/>
      <x:c r="F401" s="49" t="str">
        <x:v>Required for canonical route</x:v>
      </x:c>
      <x:c r="G401" s="49" t="n">
        <x:f>COUNTIF('Craft Nodes'!$A$5:$A$250,A401)</x:f>
        <x:v>1</x:v>
      </x:c>
      <x:c r="H401" s="49" t="n">
        <x:f>COUNTIF('Craft Nodes'!$A$5:$A$250,B401)</x:f>
        <x:v>1</x:v>
      </x:c>
      <x:c r="I401" s="49" t="str">
        <x:f>IF(AND(G401=1,H401=1),"OK",IF(G401=0,"MISSING FROM","MISSING TO"))</x:f>
        <x:v>OK</x:v>
      </x:c>
    </x:row>
    <x:row r="402">
      <x:c r="A402" s="49" t="str">
        <x:v>S-BEARING</x:v>
      </x:c>
      <x:c r="B402" s="49" t="str">
        <x:v>A-PULLEY</x:v>
      </x:c>
      <x:c r="C402" s="49" t="str">
        <x:v>Prerequisite</x:v>
      </x:c>
      <x:c r="D402" s="49" t="str">
        <x:v>Yes</x:v>
      </x:c>
      <x:c r="E402" s="49" t="str"/>
      <x:c r="F402" s="49" t="str">
        <x:v>Required for canonical route</x:v>
      </x:c>
      <x:c r="G402" s="49" t="n">
        <x:f>COUNTIF('Craft Nodes'!$A$5:$A$250,A402)</x:f>
        <x:v>1</x:v>
      </x:c>
      <x:c r="H402" s="49" t="n">
        <x:f>COUNTIF('Craft Nodes'!$A$5:$A$250,B402)</x:f>
        <x:v>1</x:v>
      </x:c>
      <x:c r="I402" s="49" t="str">
        <x:f>IF(AND(G402=1,H402=1),"OK",IF(G402=0,"MISSING FROM","MISSING TO"))</x:f>
        <x:v>OK</x:v>
      </x:c>
    </x:row>
    <x:row r="403">
      <x:c r="A403" s="49" t="str">
        <x:v>P-ROPE</x:v>
      </x:c>
      <x:c r="B403" s="49" t="str">
        <x:v>A-PULLEY</x:v>
      </x:c>
      <x:c r="C403" s="49" t="str">
        <x:v>Prerequisite</x:v>
      </x:c>
      <x:c r="D403" s="49" t="str">
        <x:v>Yes</x:v>
      </x:c>
      <x:c r="E403" s="49" t="str"/>
      <x:c r="F403" s="49" t="str">
        <x:v>Required for canonical route</x:v>
      </x:c>
      <x:c r="G403" s="49" t="n">
        <x:f>COUNTIF('Craft Nodes'!$A$5:$A$250,A403)</x:f>
        <x:v>1</x:v>
      </x:c>
      <x:c r="H403" s="49" t="n">
        <x:f>COUNTIF('Craft Nodes'!$A$5:$A$250,B403)</x:f>
        <x:v>1</x:v>
      </x:c>
      <x:c r="I403" s="49" t="str">
        <x:f>IF(AND(G403=1,H403=1),"OK",IF(G403=0,"MISSING FROM","MISSING TO"))</x:f>
        <x:v>OK</x:v>
      </x:c>
    </x:row>
    <x:row r="404">
      <x:c r="A404" s="49" t="str">
        <x:v>A-TRIPOD</x:v>
      </x:c>
      <x:c r="B404" s="49" t="str">
        <x:v>A-PULLEY</x:v>
      </x:c>
      <x:c r="C404" s="49" t="str">
        <x:v>Prerequisite</x:v>
      </x:c>
      <x:c r="D404" s="49" t="str">
        <x:v>Yes</x:v>
      </x:c>
      <x:c r="E404" s="49" t="str"/>
      <x:c r="F404" s="49" t="str">
        <x:v>Required for canonical route</x:v>
      </x:c>
      <x:c r="G404" s="49" t="n">
        <x:f>COUNTIF('Craft Nodes'!$A$5:$A$250,A404)</x:f>
        <x:v>1</x:v>
      </x:c>
      <x:c r="H404" s="49" t="n">
        <x:f>COUNTIF('Craft Nodes'!$A$5:$A$250,B404)</x:f>
        <x:v>1</x:v>
      </x:c>
      <x:c r="I404" s="49" t="str">
        <x:f>IF(AND(G404=1,H404=1),"OK",IF(G404=0,"MISSING FROM","MISSING TO"))</x:f>
        <x:v>OK</x:v>
      </x:c>
    </x:row>
    <x:row r="405">
      <x:c r="A405" s="49" t="str">
        <x:v>T-PRY</x:v>
      </x:c>
      <x:c r="B405" s="49" t="str">
        <x:v>A-PULLEY</x:v>
      </x:c>
      <x:c r="C405" s="49" t="str">
        <x:v>Tool</x:v>
      </x:c>
      <x:c r="D405" s="49" t="str">
        <x:v>Yes</x:v>
      </x:c>
      <x:c r="E405" s="49" t="str"/>
      <x:c r="F405" s="49" t="str">
        <x:v>Declared embodied tool use</x:v>
      </x:c>
      <x:c r="G405" s="49" t="n">
        <x:f>COUNTIF('Craft Nodes'!$A$5:$A$250,A405)</x:f>
        <x:v>1</x:v>
      </x:c>
      <x:c r="H405" s="49" t="n">
        <x:f>COUNTIF('Craft Nodes'!$A$5:$A$250,B405)</x:f>
        <x:v>1</x:v>
      </x:c>
      <x:c r="I405" s="49" t="str">
        <x:f>IF(AND(G405=1,H405=1),"OK",IF(G405=0,"MISSING FROM","MISSING TO"))</x:f>
        <x:v>OK</x:v>
      </x:c>
    </x:row>
    <x:row r="406">
      <x:c r="A406" s="49" t="str">
        <x:v>S-BEARING</x:v>
      </x:c>
      <x:c r="B406" s="49" t="str">
        <x:v>A-WINCH</x:v>
      </x:c>
      <x:c r="C406" s="49" t="str">
        <x:v>Prerequisite</x:v>
      </x:c>
      <x:c r="D406" s="49" t="str">
        <x:v>Yes</x:v>
      </x:c>
      <x:c r="E406" s="49" t="str"/>
      <x:c r="F406" s="49" t="str">
        <x:v>Required for canonical route</x:v>
      </x:c>
      <x:c r="G406" s="49" t="n">
        <x:f>COUNTIF('Craft Nodes'!$A$5:$A$250,A406)</x:f>
        <x:v>1</x:v>
      </x:c>
      <x:c r="H406" s="49" t="n">
        <x:f>COUNTIF('Craft Nodes'!$A$5:$A$250,B406)</x:f>
        <x:v>1</x:v>
      </x:c>
      <x:c r="I406" s="49" t="str">
        <x:f>IF(AND(G406=1,H406=1),"OK",IF(G406=0,"MISSING FROM","MISSING TO"))</x:f>
        <x:v>OK</x:v>
      </x:c>
    </x:row>
    <x:row r="407">
      <x:c r="A407" s="49" t="str">
        <x:v>P-METAL-STOCK</x:v>
      </x:c>
      <x:c r="B407" s="49" t="str">
        <x:v>A-WINCH</x:v>
      </x:c>
      <x:c r="C407" s="49" t="str">
        <x:v>Prerequisite</x:v>
      </x:c>
      <x:c r="D407" s="49" t="str">
        <x:v>Yes</x:v>
      </x:c>
      <x:c r="E407" s="49" t="str"/>
      <x:c r="F407" s="49" t="str">
        <x:v>Required for canonical route</x:v>
      </x:c>
      <x:c r="G407" s="49" t="n">
        <x:f>COUNTIF('Craft Nodes'!$A$5:$A$250,A407)</x:f>
        <x:v>1</x:v>
      </x:c>
      <x:c r="H407" s="49" t="n">
        <x:f>COUNTIF('Craft Nodes'!$A$5:$A$250,B407)</x:f>
        <x:v>1</x:v>
      </x:c>
      <x:c r="I407" s="49" t="str">
        <x:f>IF(AND(G407=1,H407=1),"OK",IF(G407=0,"MISSING FROM","MISSING TO"))</x:f>
        <x:v>OK</x:v>
      </x:c>
    </x:row>
    <x:row r="408">
      <x:c r="A408" s="49" t="str">
        <x:v>P-ROPE</x:v>
      </x:c>
      <x:c r="B408" s="49" t="str">
        <x:v>A-WINCH</x:v>
      </x:c>
      <x:c r="C408" s="49" t="str">
        <x:v>Prerequisite</x:v>
      </x:c>
      <x:c r="D408" s="49" t="str">
        <x:v>Yes</x:v>
      </x:c>
      <x:c r="E408" s="49" t="str"/>
      <x:c r="F408" s="49" t="str">
        <x:v>Required for canonical route</x:v>
      </x:c>
      <x:c r="G408" s="49" t="n">
        <x:f>COUNTIF('Craft Nodes'!$A$5:$A$250,A408)</x:f>
        <x:v>1</x:v>
      </x:c>
      <x:c r="H408" s="49" t="n">
        <x:f>COUNTIF('Craft Nodes'!$A$5:$A$250,B408)</x:f>
        <x:v>1</x:v>
      </x:c>
      <x:c r="I408" s="49" t="str">
        <x:f>IF(AND(G408=1,H408=1),"OK",IF(G408=0,"MISSING FROM","MISSING TO"))</x:f>
        <x:v>OK</x:v>
      </x:c>
    </x:row>
    <x:row r="409">
      <x:c r="A409" s="49" t="str">
        <x:v>W-BENCH</x:v>
      </x:c>
      <x:c r="B409" s="49" t="str">
        <x:v>A-WINCH</x:v>
      </x:c>
      <x:c r="C409" s="49" t="str">
        <x:v>Workspace</x:v>
      </x:c>
      <x:c r="D409" s="49" t="str">
        <x:v>Yes</x:v>
      </x:c>
      <x:c r="E409" s="49" t="str"/>
      <x:c r="F409" s="49" t="str">
        <x:v>Required for canonical route</x:v>
      </x:c>
      <x:c r="G409" s="49" t="n">
        <x:f>COUNTIF('Craft Nodes'!$A$5:$A$250,A409)</x:f>
        <x:v>1</x:v>
      </x:c>
      <x:c r="H409" s="49" t="n">
        <x:f>COUNTIF('Craft Nodes'!$A$5:$A$250,B409)</x:f>
        <x:v>1</x:v>
      </x:c>
      <x:c r="I409" s="49" t="str">
        <x:f>IF(AND(G409=1,H409=1),"OK",IF(G409=0,"MISSING FROM","MISSING TO"))</x:f>
        <x:v>OK</x:v>
      </x:c>
    </x:row>
    <x:row r="410">
      <x:c r="A410" s="49" t="str">
        <x:v>T-HAMMER</x:v>
      </x:c>
      <x:c r="B410" s="49" t="str">
        <x:v>A-WINCH</x:v>
      </x:c>
      <x:c r="C410" s="49" t="str">
        <x:v>Tool</x:v>
      </x:c>
      <x:c r="D410" s="49" t="str">
        <x:v>Yes</x:v>
      </x:c>
      <x:c r="E410" s="49" t="str"/>
      <x:c r="F410" s="49" t="str">
        <x:v>Declared embodied tool use</x:v>
      </x:c>
      <x:c r="G410" s="49" t="n">
        <x:f>COUNTIF('Craft Nodes'!$A$5:$A$250,A410)</x:f>
        <x:v>1</x:v>
      </x:c>
      <x:c r="H410" s="49" t="n">
        <x:f>COUNTIF('Craft Nodes'!$A$5:$A$250,B410)</x:f>
        <x:v>1</x:v>
      </x:c>
      <x:c r="I410" s="49" t="str">
        <x:f>IF(AND(G410=1,H410=1),"OK",IF(G410=0,"MISSING FROM","MISSING TO"))</x:f>
        <x:v>OK</x:v>
      </x:c>
    </x:row>
    <x:row r="411">
      <x:c r="A411" s="49" t="str">
        <x:v>P-STRAIGHT-POLE</x:v>
      </x:c>
      <x:c r="B411" s="49" t="str">
        <x:v>A-DOCK</x:v>
      </x:c>
      <x:c r="C411" s="49" t="str">
        <x:v>Prerequisite</x:v>
      </x:c>
      <x:c r="D411" s="49" t="str">
        <x:v>Yes</x:v>
      </x:c>
      <x:c r="E411" s="49" t="str"/>
      <x:c r="F411" s="49" t="str">
        <x:v>Required for canonical route</x:v>
      </x:c>
      <x:c r="G411" s="49" t="n">
        <x:f>COUNTIF('Craft Nodes'!$A$5:$A$250,A411)</x:f>
        <x:v>1</x:v>
      </x:c>
      <x:c r="H411" s="49" t="n">
        <x:f>COUNTIF('Craft Nodes'!$A$5:$A$250,B411)</x:f>
        <x:v>1</x:v>
      </x:c>
      <x:c r="I411" s="49" t="str">
        <x:f>IF(AND(G411=1,H411=1),"OK",IF(G411=0,"MISSING FROM","MISSING TO"))</x:f>
        <x:v>OK</x:v>
      </x:c>
    </x:row>
    <x:row r="412">
      <x:c r="A412" s="49" t="str">
        <x:v>P-PLANK</x:v>
      </x:c>
      <x:c r="B412" s="49" t="str">
        <x:v>A-DOCK</x:v>
      </x:c>
      <x:c r="C412" s="49" t="str">
        <x:v>Prerequisite</x:v>
      </x:c>
      <x:c r="D412" s="49" t="str">
        <x:v>Yes</x:v>
      </x:c>
      <x:c r="E412" s="49" t="str"/>
      <x:c r="F412" s="49" t="str">
        <x:v>Required for canonical route</x:v>
      </x:c>
      <x:c r="G412" s="49" t="n">
        <x:f>COUNTIF('Craft Nodes'!$A$5:$A$250,A412)</x:f>
        <x:v>1</x:v>
      </x:c>
      <x:c r="H412" s="49" t="n">
        <x:f>COUNTIF('Craft Nodes'!$A$5:$A$250,B412)</x:f>
        <x:v>1</x:v>
      </x:c>
      <x:c r="I412" s="49" t="str">
        <x:f>IF(AND(G412=1,H412=1),"OK",IF(G412=0,"MISSING FROM","MISSING TO"))</x:f>
        <x:v>OK</x:v>
      </x:c>
    </x:row>
    <x:row r="413">
      <x:c r="A413" s="49" t="str">
        <x:v>P-ROPE</x:v>
      </x:c>
      <x:c r="B413" s="49" t="str">
        <x:v>A-DOCK</x:v>
      </x:c>
      <x:c r="C413" s="49" t="str">
        <x:v>Prerequisite</x:v>
      </x:c>
      <x:c r="D413" s="49" t="str">
        <x:v>Yes</x:v>
      </x:c>
      <x:c r="E413" s="49" t="str"/>
      <x:c r="F413" s="49" t="str">
        <x:v>Required for canonical route</x:v>
      </x:c>
      <x:c r="G413" s="49" t="n">
        <x:f>COUNTIF('Craft Nodes'!$A$5:$A$250,A413)</x:f>
        <x:v>1</x:v>
      </x:c>
      <x:c r="H413" s="49" t="n">
        <x:f>COUNTIF('Craft Nodes'!$A$5:$A$250,B413)</x:f>
        <x:v>1</x:v>
      </x:c>
      <x:c r="I413" s="49" t="str">
        <x:f>IF(AND(G413=1,H413=1),"OK",IF(G413=0,"MISSING FROM","MISSING TO"))</x:f>
        <x:v>OK</x:v>
      </x:c>
    </x:row>
    <x:row r="414">
      <x:c r="A414" s="49" t="str">
        <x:v>T-MEASURE</x:v>
      </x:c>
      <x:c r="B414" s="49" t="str">
        <x:v>A-DOCK</x:v>
      </x:c>
      <x:c r="C414" s="49" t="str">
        <x:v>Tool</x:v>
      </x:c>
      <x:c r="D414" s="49" t="str">
        <x:v>Yes</x:v>
      </x:c>
      <x:c r="E414" s="49" t="str"/>
      <x:c r="F414" s="49" t="str">
        <x:v>Required for canonical route</x:v>
      </x:c>
      <x:c r="G414" s="49" t="n">
        <x:f>COUNTIF('Craft Nodes'!$A$5:$A$250,A414)</x:f>
        <x:v>1</x:v>
      </x:c>
      <x:c r="H414" s="49" t="n">
        <x:f>COUNTIF('Craft Nodes'!$A$5:$A$250,B414)</x:f>
        <x:v>1</x:v>
      </x:c>
      <x:c r="I414" s="49" t="str">
        <x:f>IF(AND(G414=1,H414=1),"OK",IF(G414=0,"MISSING FROM","MISSING TO"))</x:f>
        <x:v>OK</x:v>
      </x:c>
    </x:row>
    <x:row r="415">
      <x:c r="A415" s="49" t="str">
        <x:v>T-AXE</x:v>
      </x:c>
      <x:c r="B415" s="49" t="str">
        <x:v>A-DOCK</x:v>
      </x:c>
      <x:c r="C415" s="49" t="str">
        <x:v>Tool</x:v>
      </x:c>
      <x:c r="D415" s="49" t="str">
        <x:v>Yes</x:v>
      </x:c>
      <x:c r="E415" s="49" t="str"/>
      <x:c r="F415" s="49" t="str">
        <x:v>Declared embodied tool use</x:v>
      </x:c>
      <x:c r="G415" s="49" t="n">
        <x:f>COUNTIF('Craft Nodes'!$A$5:$A$250,A415)</x:f>
        <x:v>1</x:v>
      </x:c>
      <x:c r="H415" s="49" t="n">
        <x:f>COUNTIF('Craft Nodes'!$A$5:$A$250,B415)</x:f>
        <x:v>1</x:v>
      </x:c>
      <x:c r="I415" s="49" t="str">
        <x:f>IF(AND(G415=1,H415=1),"OK",IF(G415=0,"MISSING FROM","MISSING TO"))</x:f>
        <x:v>OK</x:v>
      </x:c>
    </x:row>
    <x:row r="416">
      <x:c r="A416" s="49" t="str">
        <x:v>S-TIMBER</x:v>
      </x:c>
      <x:c r="B416" s="49" t="str">
        <x:v>A-FLOAT</x:v>
      </x:c>
      <x:c r="C416" s="49" t="str">
        <x:v>Prerequisite</x:v>
      </x:c>
      <x:c r="D416" s="49" t="str">
        <x:v>Yes</x:v>
      </x:c>
      <x:c r="E416" s="49" t="str"/>
      <x:c r="F416" s="49" t="str">
        <x:v>Required for canonical route</x:v>
      </x:c>
      <x:c r="G416" s="49" t="n">
        <x:f>COUNTIF('Craft Nodes'!$A$5:$A$250,A416)</x:f>
        <x:v>1</x:v>
      </x:c>
      <x:c r="H416" s="49" t="n">
        <x:f>COUNTIF('Craft Nodes'!$A$5:$A$250,B416)</x:f>
        <x:v>1</x:v>
      </x:c>
      <x:c r="I416" s="49" t="str">
        <x:f>IF(AND(G416=1,H416=1),"OK",IF(G416=0,"MISSING FROM","MISSING TO"))</x:f>
        <x:v>OK</x:v>
      </x:c>
    </x:row>
    <x:row r="417">
      <x:c r="A417" s="49" t="str">
        <x:v>P-CORD</x:v>
      </x:c>
      <x:c r="B417" s="49" t="str">
        <x:v>A-FLOAT</x:v>
      </x:c>
      <x:c r="C417" s="49" t="str">
        <x:v>Prerequisite</x:v>
      </x:c>
      <x:c r="D417" s="49" t="str">
        <x:v>Yes</x:v>
      </x:c>
      <x:c r="E417" s="49" t="str"/>
      <x:c r="F417" s="49" t="str">
        <x:v>Required for canonical route</x:v>
      </x:c>
      <x:c r="G417" s="49" t="n">
        <x:f>COUNTIF('Craft Nodes'!$A$5:$A$250,A417)</x:f>
        <x:v>1</x:v>
      </x:c>
      <x:c r="H417" s="49" t="n">
        <x:f>COUNTIF('Craft Nodes'!$A$5:$A$250,B417)</x:f>
        <x:v>1</x:v>
      </x:c>
      <x:c r="I417" s="49" t="str">
        <x:f>IF(AND(G417=1,H417=1),"OK",IF(G417=0,"MISSING FROM","MISSING TO"))</x:f>
        <x:v>OK</x:v>
      </x:c>
    </x:row>
    <x:row r="418">
      <x:c r="A418" s="49" t="str">
        <x:v>P-STRAIGHT-POLE</x:v>
      </x:c>
      <x:c r="B418" s="49" t="str">
        <x:v>A-RAFT</x:v>
      </x:c>
      <x:c r="C418" s="49" t="str">
        <x:v>Prerequisite</x:v>
      </x:c>
      <x:c r="D418" s="49" t="str">
        <x:v>Yes</x:v>
      </x:c>
      <x:c r="E418" s="49" t="str"/>
      <x:c r="F418" s="49" t="str">
        <x:v>Required for canonical route</x:v>
      </x:c>
      <x:c r="G418" s="49" t="n">
        <x:f>COUNTIF('Craft Nodes'!$A$5:$A$250,A418)</x:f>
        <x:v>1</x:v>
      </x:c>
      <x:c r="H418" s="49" t="n">
        <x:f>COUNTIF('Craft Nodes'!$A$5:$A$250,B418)</x:f>
        <x:v>1</x:v>
      </x:c>
      <x:c r="I418" s="49" t="str">
        <x:f>IF(AND(G418=1,H418=1),"OK",IF(G418=0,"MISSING FROM","MISSING TO"))</x:f>
        <x:v>OK</x:v>
      </x:c>
    </x:row>
    <x:row r="419">
      <x:c r="A419" s="49" t="str">
        <x:v>P-ROPE</x:v>
      </x:c>
      <x:c r="B419" s="49" t="str">
        <x:v>A-RAFT</x:v>
      </x:c>
      <x:c r="C419" s="49" t="str">
        <x:v>Prerequisite</x:v>
      </x:c>
      <x:c r="D419" s="49" t="str">
        <x:v>Yes</x:v>
      </x:c>
      <x:c r="E419" s="49" t="str"/>
      <x:c r="F419" s="49" t="str">
        <x:v>Required for canonical route</x:v>
      </x:c>
      <x:c r="G419" s="49" t="n">
        <x:f>COUNTIF('Craft Nodes'!$A$5:$A$250,A419)</x:f>
        <x:v>1</x:v>
      </x:c>
      <x:c r="H419" s="49" t="n">
        <x:f>COUNTIF('Craft Nodes'!$A$5:$A$250,B419)</x:f>
        <x:v>1</x:v>
      </x:c>
      <x:c r="I419" s="49" t="str">
        <x:f>IF(AND(G419=1,H419=1),"OK",IF(G419=0,"MISSING FROM","MISSING TO"))</x:f>
        <x:v>OK</x:v>
      </x:c>
    </x:row>
    <x:row r="420">
      <x:c r="A420" s="49" t="str">
        <x:v>P-MAT</x:v>
      </x:c>
      <x:c r="B420" s="49" t="str">
        <x:v>A-RAFT</x:v>
      </x:c>
      <x:c r="C420" s="49" t="str">
        <x:v>Prerequisite</x:v>
      </x:c>
      <x:c r="D420" s="49" t="str">
        <x:v>Yes</x:v>
      </x:c>
      <x:c r="E420" s="49" t="str"/>
      <x:c r="F420" s="49" t="str">
        <x:v>Required for canonical route</x:v>
      </x:c>
      <x:c r="G420" s="49" t="n">
        <x:f>COUNTIF('Craft Nodes'!$A$5:$A$250,A420)</x:f>
        <x:v>1</x:v>
      </x:c>
      <x:c r="H420" s="49" t="n">
        <x:f>COUNTIF('Craft Nodes'!$A$5:$A$250,B420)</x:f>
        <x:v>1</x:v>
      </x:c>
      <x:c r="I420" s="49" t="str">
        <x:f>IF(AND(G420=1,H420=1),"OK",IF(G420=0,"MISSING FROM","MISSING TO"))</x:f>
        <x:v>OK</x:v>
      </x:c>
    </x:row>
    <x:row r="421">
      <x:c r="A421" s="49" t="str">
        <x:v>A-FLOAT</x:v>
      </x:c>
      <x:c r="B421" s="49" t="str">
        <x:v>A-RAFT</x:v>
      </x:c>
      <x:c r="C421" s="49" t="str">
        <x:v>Prerequisite</x:v>
      </x:c>
      <x:c r="D421" s="49" t="str">
        <x:v>Yes</x:v>
      </x:c>
      <x:c r="E421" s="49" t="str"/>
      <x:c r="F421" s="49" t="str">
        <x:v>Required for canonical route</x:v>
      </x:c>
      <x:c r="G421" s="49" t="n">
        <x:f>COUNTIF('Craft Nodes'!$A$5:$A$250,A421)</x:f>
        <x:v>1</x:v>
      </x:c>
      <x:c r="H421" s="49" t="n">
        <x:f>COUNTIF('Craft Nodes'!$A$5:$A$250,B421)</x:f>
        <x:v>1</x:v>
      </x:c>
      <x:c r="I421" s="49" t="str">
        <x:f>IF(AND(G421=1,H421=1),"OK",IF(G421=0,"MISSING FROM","MISSING TO"))</x:f>
        <x:v>OK</x:v>
      </x:c>
    </x:row>
    <x:row r="422">
      <x:c r="A422" s="49" t="str">
        <x:v>T-AXE</x:v>
      </x:c>
      <x:c r="B422" s="49" t="str">
        <x:v>A-RAFT</x:v>
      </x:c>
      <x:c r="C422" s="49" t="str">
        <x:v>Tool</x:v>
      </x:c>
      <x:c r="D422" s="49" t="str">
        <x:v>Yes</x:v>
      </x:c>
      <x:c r="E422" s="49" t="str"/>
      <x:c r="F422" s="49" t="str">
        <x:v>Declared embodied tool use</x:v>
      </x:c>
      <x:c r="G422" s="49" t="n">
        <x:f>COUNTIF('Craft Nodes'!$A$5:$A$250,A422)</x:f>
        <x:v>1</x:v>
      </x:c>
      <x:c r="H422" s="49" t="n">
        <x:f>COUNTIF('Craft Nodes'!$A$5:$A$250,B422)</x:f>
        <x:v>1</x:v>
      </x:c>
      <x:c r="I422" s="49" t="str">
        <x:f>IF(AND(G422=1,H422=1),"OK",IF(G422=0,"MISSING FROM","MISSING TO"))</x:f>
        <x:v>OK</x:v>
      </x:c>
    </x:row>
    <x:row r="423">
      <x:c r="A423" s="49" t="str">
        <x:v>S-ENGINE</x:v>
      </x:c>
      <x:c r="B423" s="49" t="str">
        <x:v>A-BOAT-B1</x:v>
      </x:c>
      <x:c r="C423" s="49" t="str">
        <x:v>Prerequisite</x:v>
      </x:c>
      <x:c r="D423" s="49" t="str">
        <x:v>Yes</x:v>
      </x:c>
      <x:c r="E423" s="49" t="str"/>
      <x:c r="F423" s="49" t="str">
        <x:v>Required for canonical route</x:v>
      </x:c>
      <x:c r="G423" s="49" t="n">
        <x:f>COUNTIF('Craft Nodes'!$A$5:$A$250,A423)</x:f>
        <x:v>1</x:v>
      </x:c>
      <x:c r="H423" s="49" t="n">
        <x:f>COUNTIF('Craft Nodes'!$A$5:$A$250,B423)</x:f>
        <x:v>1</x:v>
      </x:c>
      <x:c r="I423" s="49" t="str">
        <x:f>IF(AND(G423=1,H423=1),"OK",IF(G423=0,"MISSING FROM","MISSING TO"))</x:f>
        <x:v>OK</x:v>
      </x:c>
    </x:row>
    <x:row r="424">
      <x:c r="A424" s="49" t="str">
        <x:v>S-TIMBER</x:v>
      </x:c>
      <x:c r="B424" s="49" t="str">
        <x:v>A-BOAT-B1</x:v>
      </x:c>
      <x:c r="C424" s="49" t="str">
        <x:v>Prerequisite</x:v>
      </x:c>
      <x:c r="D424" s="49" t="str">
        <x:v>Yes</x:v>
      </x:c>
      <x:c r="E424" s="49" t="str"/>
      <x:c r="F424" s="49" t="str">
        <x:v>Required for canonical route</x:v>
      </x:c>
      <x:c r="G424" s="49" t="n">
        <x:f>COUNTIF('Craft Nodes'!$A$5:$A$250,A424)</x:f>
        <x:v>1</x:v>
      </x:c>
      <x:c r="H424" s="49" t="n">
        <x:f>COUNTIF('Craft Nodes'!$A$5:$A$250,B424)</x:f>
        <x:v>1</x:v>
      </x:c>
      <x:c r="I424" s="49" t="str">
        <x:f>IF(AND(G424=1,H424=1),"OK",IF(G424=0,"MISSING FROM","MISSING TO"))</x:f>
        <x:v>OK</x:v>
      </x:c>
    </x:row>
    <x:row r="425">
      <x:c r="A425" s="49" t="str">
        <x:v>P-ROPE</x:v>
      </x:c>
      <x:c r="B425" s="49" t="str">
        <x:v>A-BOAT-B1</x:v>
      </x:c>
      <x:c r="C425" s="49" t="str">
        <x:v>Prerequisite</x:v>
      </x:c>
      <x:c r="D425" s="49" t="str">
        <x:v>Yes</x:v>
      </x:c>
      <x:c r="E425" s="49" t="str"/>
      <x:c r="F425" s="49" t="str">
        <x:v>Required for canonical route</x:v>
      </x:c>
      <x:c r="G425" s="49" t="n">
        <x:f>COUNTIF('Craft Nodes'!$A$5:$A$250,A425)</x:f>
        <x:v>1</x:v>
      </x:c>
      <x:c r="H425" s="49" t="n">
        <x:f>COUNTIF('Craft Nodes'!$A$5:$A$250,B425)</x:f>
        <x:v>1</x:v>
      </x:c>
      <x:c r="I425" s="49" t="str">
        <x:f>IF(AND(G425=1,H425=1),"OK",IF(G425=0,"MISSING FROM","MISSING TO"))</x:f>
        <x:v>OK</x:v>
      </x:c>
    </x:row>
    <x:row r="426">
      <x:c r="A426" s="49" t="str">
        <x:v>T-PRY</x:v>
      </x:c>
      <x:c r="B426" s="49" t="str">
        <x:v>A-BOAT-B1</x:v>
      </x:c>
      <x:c r="C426" s="49" t="str">
        <x:v>Tool</x:v>
      </x:c>
      <x:c r="D426" s="49" t="str">
        <x:v>Yes</x:v>
      </x:c>
      <x:c r="E426" s="49" t="str"/>
      <x:c r="F426" s="49" t="str">
        <x:v>Declared embodied tool use</x:v>
      </x:c>
      <x:c r="G426" s="49" t="n">
        <x:f>COUNTIF('Craft Nodes'!$A$5:$A$250,A426)</x:f>
        <x:v>1</x:v>
      </x:c>
      <x:c r="H426" s="49" t="n">
        <x:f>COUNTIF('Craft Nodes'!$A$5:$A$250,B426)</x:f>
        <x:v>1</x:v>
      </x:c>
      <x:c r="I426" s="49" t="str">
        <x:f>IF(AND(G426=1,H426=1),"OK",IF(G426=0,"MISSING FROM","MISSING TO"))</x:f>
        <x:v>OK</x:v>
      </x:c>
    </x:row>
    <x:row r="427">
      <x:c r="A427" s="49" t="str">
        <x:v>A-BOAT-B1</x:v>
      </x:c>
      <x:c r="B427" s="49" t="str">
        <x:v>A-BOAT-B2</x:v>
      </x:c>
      <x:c r="C427" s="49" t="str">
        <x:v>Prerequisite</x:v>
      </x:c>
      <x:c r="D427" s="49" t="str">
        <x:v>Yes</x:v>
      </x:c>
      <x:c r="E427" s="49" t="str"/>
      <x:c r="F427" s="49" t="str">
        <x:v>Required for canonical route</x:v>
      </x:c>
      <x:c r="G427" s="49" t="n">
        <x:f>COUNTIF('Craft Nodes'!$A$5:$A$250,A427)</x:f>
        <x:v>1</x:v>
      </x:c>
      <x:c r="H427" s="49" t="n">
        <x:f>COUNTIF('Craft Nodes'!$A$5:$A$250,B427)</x:f>
        <x:v>1</x:v>
      </x:c>
      <x:c r="I427" s="49" t="str">
        <x:f>IF(AND(G427=1,H427=1),"OK",IF(G427=0,"MISSING FROM","MISSING TO"))</x:f>
        <x:v>OK</x:v>
      </x:c>
    </x:row>
    <x:row r="428">
      <x:c r="A428" s="49" t="str">
        <x:v>A-TRIPOD</x:v>
      </x:c>
      <x:c r="B428" s="49" t="str">
        <x:v>A-BOAT-B2</x:v>
      </x:c>
      <x:c r="C428" s="49" t="str">
        <x:v>Prerequisite</x:v>
      </x:c>
      <x:c r="D428" s="49" t="str">
        <x:v>Yes</x:v>
      </x:c>
      <x:c r="E428" s="49" t="str"/>
      <x:c r="F428" s="49" t="str">
        <x:v>Required for canonical route</x:v>
      </x:c>
      <x:c r="G428" s="49" t="n">
        <x:f>COUNTIF('Craft Nodes'!$A$5:$A$250,A428)</x:f>
        <x:v>1</x:v>
      </x:c>
      <x:c r="H428" s="49" t="n">
        <x:f>COUNTIF('Craft Nodes'!$A$5:$A$250,B428)</x:f>
        <x:v>1</x:v>
      </x:c>
      <x:c r="I428" s="49" t="str">
        <x:f>IF(AND(G428=1,H428=1),"OK",IF(G428=0,"MISSING FROM","MISSING TO"))</x:f>
        <x:v>OK</x:v>
      </x:c>
    </x:row>
    <x:row r="429">
      <x:c r="A429" s="49" t="str">
        <x:v>P-PLANK</x:v>
      </x:c>
      <x:c r="B429" s="49" t="str">
        <x:v>A-BOAT-B2</x:v>
      </x:c>
      <x:c r="C429" s="49" t="str">
        <x:v>Prerequisite</x:v>
      </x:c>
      <x:c r="D429" s="49" t="str">
        <x:v>Yes</x:v>
      </x:c>
      <x:c r="E429" s="49" t="str"/>
      <x:c r="F429" s="49" t="str">
        <x:v>Required for canonical route</x:v>
      </x:c>
      <x:c r="G429" s="49" t="n">
        <x:f>COUNTIF('Craft Nodes'!$A$5:$A$250,A429)</x:f>
        <x:v>1</x:v>
      </x:c>
      <x:c r="H429" s="49" t="n">
        <x:f>COUNTIF('Craft Nodes'!$A$5:$A$250,B429)</x:f>
        <x:v>1</x:v>
      </x:c>
      <x:c r="I429" s="49" t="str">
        <x:f>IF(AND(G429=1,H429=1),"OK",IF(G429=0,"MISSING FROM","MISSING TO"))</x:f>
        <x:v>OK</x:v>
      </x:c>
    </x:row>
    <x:row r="430">
      <x:c r="A430" s="49" t="str">
        <x:v>T-MEASURE</x:v>
      </x:c>
      <x:c r="B430" s="49" t="str">
        <x:v>A-BOAT-B2</x:v>
      </x:c>
      <x:c r="C430" s="49" t="str">
        <x:v>Tool</x:v>
      </x:c>
      <x:c r="D430" s="49" t="str">
        <x:v>Yes</x:v>
      </x:c>
      <x:c r="E430" s="49" t="str"/>
      <x:c r="F430" s="49" t="str">
        <x:v>Declared embodied tool use</x:v>
      </x:c>
      <x:c r="G430" s="49" t="n">
        <x:f>COUNTIF('Craft Nodes'!$A$5:$A$250,A430)</x:f>
        <x:v>1</x:v>
      </x:c>
      <x:c r="H430" s="49" t="n">
        <x:f>COUNTIF('Craft Nodes'!$A$5:$A$250,B430)</x:f>
        <x:v>1</x:v>
      </x:c>
      <x:c r="I430" s="49" t="str">
        <x:f>IF(AND(G430=1,H430=1),"OK",IF(G430=0,"MISSING FROM","MISSING TO"))</x:f>
        <x:v>OK</x:v>
      </x:c>
    </x:row>
    <x:row r="431">
      <x:c r="A431" s="49" t="str">
        <x:v>W-BOATYARD</x:v>
      </x:c>
      <x:c r="B431" s="49" t="str">
        <x:v>A-BOAT-B2</x:v>
      </x:c>
      <x:c r="C431" s="49" t="str">
        <x:v>Workspace</x:v>
      </x:c>
      <x:c r="D431" s="49" t="str">
        <x:v>Yes</x:v>
      </x:c>
      <x:c r="E431" s="49" t="str"/>
      <x:c r="F431" s="49" t="str">
        <x:v>Declared worksite dependency</x:v>
      </x:c>
      <x:c r="G431" s="49" t="n">
        <x:f>COUNTIF('Craft Nodes'!$A$5:$A$250,A431)</x:f>
        <x:v>1</x:v>
      </x:c>
      <x:c r="H431" s="49" t="n">
        <x:f>COUNTIF('Craft Nodes'!$A$5:$A$250,B431)</x:f>
        <x:v>1</x:v>
      </x:c>
      <x:c r="I431" s="49" t="str">
        <x:f>IF(AND(G431=1,H431=1),"OK",IF(G431=0,"MISSING FROM","MISSING TO"))</x:f>
        <x:v>OK</x:v>
      </x:c>
    </x:row>
    <x:row r="432">
      <x:c r="A432" s="49" t="str">
        <x:v>A-BOAT-B2</x:v>
      </x:c>
      <x:c r="B432" s="49" t="str">
        <x:v>A-BOAT-B3</x:v>
      </x:c>
      <x:c r="C432" s="49" t="str">
        <x:v>Prerequisite</x:v>
      </x:c>
      <x:c r="D432" s="49" t="str">
        <x:v>Yes</x:v>
      </x:c>
      <x:c r="E432" s="49" t="str"/>
      <x:c r="F432" s="49" t="str">
        <x:v>Required for canonical route</x:v>
      </x:c>
      <x:c r="G432" s="49" t="n">
        <x:f>COUNTIF('Craft Nodes'!$A$5:$A$250,A432)</x:f>
        <x:v>1</x:v>
      </x:c>
      <x:c r="H432" s="49" t="n">
        <x:f>COUNTIF('Craft Nodes'!$A$5:$A$250,B432)</x:f>
        <x:v>1</x:v>
      </x:c>
      <x:c r="I432" s="49" t="str">
        <x:f>IF(AND(G432=1,H432=1),"OK",IF(G432=0,"MISSING FROM","MISSING TO"))</x:f>
        <x:v>OK</x:v>
      </x:c>
    </x:row>
    <x:row r="433">
      <x:c r="A433" s="49" t="str">
        <x:v>P-PITCH</x:v>
      </x:c>
      <x:c r="B433" s="49" t="str">
        <x:v>A-BOAT-B3</x:v>
      </x:c>
      <x:c r="C433" s="49" t="str">
        <x:v>Prerequisite</x:v>
      </x:c>
      <x:c r="D433" s="49" t="str">
        <x:v>Yes</x:v>
      </x:c>
      <x:c r="E433" s="49" t="str"/>
      <x:c r="F433" s="49" t="str">
        <x:v>Required for canonical route</x:v>
      </x:c>
      <x:c r="G433" s="49" t="n">
        <x:f>COUNTIF('Craft Nodes'!$A$5:$A$250,A433)</x:f>
        <x:v>1</x:v>
      </x:c>
      <x:c r="H433" s="49" t="n">
        <x:f>COUNTIF('Craft Nodes'!$A$5:$A$250,B433)</x:f>
        <x:v>1</x:v>
      </x:c>
      <x:c r="I433" s="49" t="str">
        <x:f>IF(AND(G433=1,H433=1),"OK",IF(G433=0,"MISSING FROM","MISSING TO"))</x:f>
        <x:v>OK</x:v>
      </x:c>
    </x:row>
    <x:row r="434">
      <x:c r="A434" s="49" t="str">
        <x:v>P-PLANK</x:v>
      </x:c>
      <x:c r="B434" s="49" t="str">
        <x:v>A-BOAT-B3</x:v>
      </x:c>
      <x:c r="C434" s="49" t="str">
        <x:v>Prerequisite</x:v>
      </x:c>
      <x:c r="D434" s="49" t="str">
        <x:v>Yes</x:v>
      </x:c>
      <x:c r="E434" s="49" t="str"/>
      <x:c r="F434" s="49" t="str">
        <x:v>Required for canonical route</x:v>
      </x:c>
      <x:c r="G434" s="49" t="n">
        <x:f>COUNTIF('Craft Nodes'!$A$5:$A$250,A434)</x:f>
        <x:v>1</x:v>
      </x:c>
      <x:c r="H434" s="49" t="n">
        <x:f>COUNTIF('Craft Nodes'!$A$5:$A$250,B434)</x:f>
        <x:v>1</x:v>
      </x:c>
      <x:c r="I434" s="49" t="str">
        <x:f>IF(AND(G434=1,H434=1),"OK",IF(G434=0,"MISSING FROM","MISSING TO"))</x:f>
        <x:v>OK</x:v>
      </x:c>
    </x:row>
    <x:row r="435">
      <x:c r="A435" s="49" t="str">
        <x:v>A-DOCK</x:v>
      </x:c>
      <x:c r="B435" s="49" t="str">
        <x:v>A-BOAT-B3</x:v>
      </x:c>
      <x:c r="C435" s="49" t="str">
        <x:v>Prerequisite</x:v>
      </x:c>
      <x:c r="D435" s="49" t="str">
        <x:v>Yes</x:v>
      </x:c>
      <x:c r="E435" s="49" t="str"/>
      <x:c r="F435" s="49" t="str">
        <x:v>Required for canonical route</x:v>
      </x:c>
      <x:c r="G435" s="49" t="n">
        <x:f>COUNTIF('Craft Nodes'!$A$5:$A$250,A435)</x:f>
        <x:v>1</x:v>
      </x:c>
      <x:c r="H435" s="49" t="n">
        <x:f>COUNTIF('Craft Nodes'!$A$5:$A$250,B435)</x:f>
        <x:v>1</x:v>
      </x:c>
      <x:c r="I435" s="49" t="str">
        <x:f>IF(AND(G435=1,H435=1),"OK",IF(G435=0,"MISSING FROM","MISSING TO"))</x:f>
        <x:v>OK</x:v>
      </x:c>
    </x:row>
    <x:row r="436">
      <x:c r="A436" s="49" t="str">
        <x:v>T-ADZE</x:v>
      </x:c>
      <x:c r="B436" s="49" t="str">
        <x:v>A-BOAT-B3</x:v>
      </x:c>
      <x:c r="C436" s="49" t="str">
        <x:v>Tool</x:v>
      </x:c>
      <x:c r="D436" s="49" t="str">
        <x:v>Yes</x:v>
      </x:c>
      <x:c r="E436" s="49" t="str"/>
      <x:c r="F436" s="49" t="str">
        <x:v>Declared embodied tool use</x:v>
      </x:c>
      <x:c r="G436" s="49" t="n">
        <x:f>COUNTIF('Craft Nodes'!$A$5:$A$250,A436)</x:f>
        <x:v>1</x:v>
      </x:c>
      <x:c r="H436" s="49" t="n">
        <x:f>COUNTIF('Craft Nodes'!$A$5:$A$250,B436)</x:f>
        <x:v>1</x:v>
      </x:c>
      <x:c r="I436" s="49" t="str">
        <x:f>IF(AND(G436=1,H436=1),"OK",IF(G436=0,"MISSING FROM","MISSING TO"))</x:f>
        <x:v>OK</x:v>
      </x:c>
    </x:row>
    <x:row r="437">
      <x:c r="A437" s="49" t="str">
        <x:v>W-BOATYARD</x:v>
      </x:c>
      <x:c r="B437" s="49" t="str">
        <x:v>A-BOAT-B3</x:v>
      </x:c>
      <x:c r="C437" s="49" t="str">
        <x:v>Workspace</x:v>
      </x:c>
      <x:c r="D437" s="49" t="str">
        <x:v>Yes</x:v>
      </x:c>
      <x:c r="E437" s="49" t="str"/>
      <x:c r="F437" s="49" t="str">
        <x:v>Declared worksite dependency</x:v>
      </x:c>
      <x:c r="G437" s="49" t="n">
        <x:f>COUNTIF('Craft Nodes'!$A$5:$A$250,A437)</x:f>
        <x:v>1</x:v>
      </x:c>
      <x:c r="H437" s="49" t="n">
        <x:f>COUNTIF('Craft Nodes'!$A$5:$A$250,B437)</x:f>
        <x:v>1</x:v>
      </x:c>
      <x:c r="I437" s="49" t="str">
        <x:f>IF(AND(G437=1,H437=1),"OK",IF(G437=0,"MISSING FROM","MISSING TO"))</x:f>
        <x:v>OK</x:v>
      </x:c>
    </x:row>
    <x:row r="438">
      <x:c r="A438" s="49" t="str">
        <x:v>A-BOAT-B3</x:v>
      </x:c>
      <x:c r="B438" s="49" t="str">
        <x:v>A-BOAT-SAIL</x:v>
      </x:c>
      <x:c r="C438" s="49" t="str">
        <x:v>Prerequisite</x:v>
      </x:c>
      <x:c r="D438" s="49" t="str">
        <x:v>Yes</x:v>
      </x:c>
      <x:c r="E438" s="49" t="str"/>
      <x:c r="F438" s="49" t="str">
        <x:v>Required for canonical route</x:v>
      </x:c>
      <x:c r="G438" s="49" t="n">
        <x:f>COUNTIF('Craft Nodes'!$A$5:$A$250,A438)</x:f>
        <x:v>1</x:v>
      </x:c>
      <x:c r="H438" s="49" t="n">
        <x:f>COUNTIF('Craft Nodes'!$A$5:$A$250,B438)</x:f>
        <x:v>1</x:v>
      </x:c>
      <x:c r="I438" s="49" t="str">
        <x:f>IF(AND(G438=1,H438=1),"OK",IF(G438=0,"MISSING FROM","MISSING TO"))</x:f>
        <x:v>OK</x:v>
      </x:c>
    </x:row>
    <x:row r="439">
      <x:c r="A439" s="49" t="str">
        <x:v>S-CANVAS</x:v>
      </x:c>
      <x:c r="B439" s="49" t="str">
        <x:v>A-BOAT-SAIL</x:v>
      </x:c>
      <x:c r="C439" s="49" t="str">
        <x:v>Prerequisite</x:v>
      </x:c>
      <x:c r="D439" s="49" t="str">
        <x:v>Yes</x:v>
      </x:c>
      <x:c r="E439" s="49" t="str"/>
      <x:c r="F439" s="49" t="str">
        <x:v>Required for canonical route</x:v>
      </x:c>
      <x:c r="G439" s="49" t="n">
        <x:f>COUNTIF('Craft Nodes'!$A$5:$A$250,A439)</x:f>
        <x:v>1</x:v>
      </x:c>
      <x:c r="H439" s="49" t="n">
        <x:f>COUNTIF('Craft Nodes'!$A$5:$A$250,B439)</x:f>
        <x:v>1</x:v>
      </x:c>
      <x:c r="I439" s="49" t="str">
        <x:f>IF(AND(G439=1,H439=1),"OK",IF(G439=0,"MISSING FROM","MISSING TO"))</x:f>
        <x:v>OK</x:v>
      </x:c>
    </x:row>
    <x:row r="440">
      <x:c r="A440" s="49" t="str">
        <x:v>P-ROPE</x:v>
      </x:c>
      <x:c r="B440" s="49" t="str">
        <x:v>A-BOAT-SAIL</x:v>
      </x:c>
      <x:c r="C440" s="49" t="str">
        <x:v>Prerequisite</x:v>
      </x:c>
      <x:c r="D440" s="49" t="str">
        <x:v>Yes</x:v>
      </x:c>
      <x:c r="E440" s="49" t="str"/>
      <x:c r="F440" s="49" t="str">
        <x:v>Required for canonical route</x:v>
      </x:c>
      <x:c r="G440" s="49" t="n">
        <x:f>COUNTIF('Craft Nodes'!$A$5:$A$250,A440)</x:f>
        <x:v>1</x:v>
      </x:c>
      <x:c r="H440" s="49" t="n">
        <x:f>COUNTIF('Craft Nodes'!$A$5:$A$250,B440)</x:f>
        <x:v>1</x:v>
      </x:c>
      <x:c r="I440" s="49" t="str">
        <x:f>IF(AND(G440=1,H440=1),"OK",IF(G440=0,"MISSING FROM","MISSING TO"))</x:f>
        <x:v>OK</x:v>
      </x:c>
    </x:row>
    <x:row r="441">
      <x:c r="A441" s="49" t="str">
        <x:v>P-STRAIGHT-POLE</x:v>
      </x:c>
      <x:c r="B441" s="49" t="str">
        <x:v>A-BOAT-SAIL</x:v>
      </x:c>
      <x:c r="C441" s="49" t="str">
        <x:v>Prerequisite</x:v>
      </x:c>
      <x:c r="D441" s="49" t="str">
        <x:v>Yes</x:v>
      </x:c>
      <x:c r="E441" s="49" t="str"/>
      <x:c r="F441" s="49" t="str">
        <x:v>Required for canonical route</x:v>
      </x:c>
      <x:c r="G441" s="49" t="n">
        <x:f>COUNTIF('Craft Nodes'!$A$5:$A$250,A441)</x:f>
        <x:v>1</x:v>
      </x:c>
      <x:c r="H441" s="49" t="n">
        <x:f>COUNTIF('Craft Nodes'!$A$5:$A$250,B441)</x:f>
        <x:v>1</x:v>
      </x:c>
      <x:c r="I441" s="49" t="str">
        <x:f>IF(AND(G441=1,H441=1),"OK",IF(G441=0,"MISSING FROM","MISSING TO"))</x:f>
        <x:v>OK</x:v>
      </x:c>
    </x:row>
    <x:row r="442">
      <x:c r="A442" s="49" t="str">
        <x:v>T-MEASURE</x:v>
      </x:c>
      <x:c r="B442" s="49" t="str">
        <x:v>A-BOAT-SAIL</x:v>
      </x:c>
      <x:c r="C442" s="49" t="str">
        <x:v>Tool</x:v>
      </x:c>
      <x:c r="D442" s="49" t="str">
        <x:v>Yes</x:v>
      </x:c>
      <x:c r="E442" s="49" t="str"/>
      <x:c r="F442" s="49" t="str">
        <x:v>Declared embodied tool use</x:v>
      </x:c>
      <x:c r="G442" s="49" t="n">
        <x:f>COUNTIF('Craft Nodes'!$A$5:$A$250,A442)</x:f>
        <x:v>1</x:v>
      </x:c>
      <x:c r="H442" s="49" t="n">
        <x:f>COUNTIF('Craft Nodes'!$A$5:$A$250,B442)</x:f>
        <x:v>1</x:v>
      </x:c>
      <x:c r="I442" s="49" t="str">
        <x:f>IF(AND(G442=1,H442=1),"OK",IF(G442=0,"MISSING FROM","MISSING TO"))</x:f>
        <x:v>OK</x:v>
      </x:c>
    </x:row>
    <x:row r="443">
      <x:c r="A443" s="49" t="str">
        <x:v>W-BOATYARD</x:v>
      </x:c>
      <x:c r="B443" s="49" t="str">
        <x:v>A-BOAT-SAIL</x:v>
      </x:c>
      <x:c r="C443" s="49" t="str">
        <x:v>Workspace</x:v>
      </x:c>
      <x:c r="D443" s="49" t="str">
        <x:v>Yes</x:v>
      </x:c>
      <x:c r="E443" s="49" t="str"/>
      <x:c r="F443" s="49" t="str">
        <x:v>Declared worksite dependency</x:v>
      </x:c>
      <x:c r="G443" s="49" t="n">
        <x:f>COUNTIF('Craft Nodes'!$A$5:$A$250,A443)</x:f>
        <x:v>1</x:v>
      </x:c>
      <x:c r="H443" s="49" t="n">
        <x:f>COUNTIF('Craft Nodes'!$A$5:$A$250,B443)</x:f>
        <x:v>1</x:v>
      </x:c>
      <x:c r="I443" s="49" t="str">
        <x:f>IF(AND(G443=1,H443=1),"OK",IF(G443=0,"MISSING FROM","MISSING TO"))</x:f>
        <x:v>OK</x:v>
      </x:c>
    </x:row>
    <x:row r="444">
      <x:c r="A444" s="49" t="str">
        <x:v>A-BOAT-B3</x:v>
      </x:c>
      <x:c r="B444" s="49" t="str">
        <x:v>A-BOAT-POWER</x:v>
      </x:c>
      <x:c r="C444" s="49" t="str">
        <x:v>Prerequisite</x:v>
      </x:c>
      <x:c r="D444" s="49" t="str">
        <x:v>Yes</x:v>
      </x:c>
      <x:c r="E444" s="49" t="str"/>
      <x:c r="F444" s="49" t="str">
        <x:v>Required for canonical route</x:v>
      </x:c>
      <x:c r="G444" s="49" t="n">
        <x:f>COUNTIF('Craft Nodes'!$A$5:$A$250,A444)</x:f>
        <x:v>1</x:v>
      </x:c>
      <x:c r="H444" s="49" t="n">
        <x:f>COUNTIF('Craft Nodes'!$A$5:$A$250,B444)</x:f>
        <x:v>1</x:v>
      </x:c>
      <x:c r="I444" s="49" t="str">
        <x:f>IF(AND(G444=1,H444=1),"OK",IF(G444=0,"MISSING FROM","MISSING TO"))</x:f>
        <x:v>OK</x:v>
      </x:c>
    </x:row>
    <x:row r="445">
      <x:c r="A445" s="49" t="str">
        <x:v>S-ENGINE</x:v>
      </x:c>
      <x:c r="B445" s="49" t="str">
        <x:v>A-BOAT-POWER</x:v>
      </x:c>
      <x:c r="C445" s="49" t="str">
        <x:v>Prerequisite</x:v>
      </x:c>
      <x:c r="D445" s="49" t="str">
        <x:v>Yes</x:v>
      </x:c>
      <x:c r="E445" s="49" t="str"/>
      <x:c r="F445" s="49" t="str">
        <x:v>Required for canonical route</x:v>
      </x:c>
      <x:c r="G445" s="49" t="n">
        <x:f>COUNTIF('Craft Nodes'!$A$5:$A$250,A445)</x:f>
        <x:v>1</x:v>
      </x:c>
      <x:c r="H445" s="49" t="n">
        <x:f>COUNTIF('Craft Nodes'!$A$5:$A$250,B445)</x:f>
        <x:v>1</x:v>
      </x:c>
      <x:c r="I445" s="49" t="str">
        <x:f>IF(AND(G445=1,H445=1),"OK",IF(G445=0,"MISSING FROM","MISSING TO"))</x:f>
        <x:v>OK</x:v>
      </x:c>
    </x:row>
    <x:row r="446">
      <x:c r="A446" s="49" t="str">
        <x:v>A-WINCH</x:v>
      </x:c>
      <x:c r="B446" s="49" t="str">
        <x:v>A-BOAT-POWER</x:v>
      </x:c>
      <x:c r="C446" s="49" t="str">
        <x:v>Prerequisite</x:v>
      </x:c>
      <x:c r="D446" s="49" t="str">
        <x:v>Yes</x:v>
      </x:c>
      <x:c r="E446" s="49" t="str"/>
      <x:c r="F446" s="49" t="str">
        <x:v>Required for canonical route</x:v>
      </x:c>
      <x:c r="G446" s="49" t="n">
        <x:f>COUNTIF('Craft Nodes'!$A$5:$A$250,A446)</x:f>
        <x:v>1</x:v>
      </x:c>
      <x:c r="H446" s="49" t="n">
        <x:f>COUNTIF('Craft Nodes'!$A$5:$A$250,B446)</x:f>
        <x:v>1</x:v>
      </x:c>
      <x:c r="I446" s="49" t="str">
        <x:f>IF(AND(G446=1,H446=1),"OK",IF(G446=0,"MISSING FROM","MISSING TO"))</x:f>
        <x:v>OK</x:v>
      </x:c>
    </x:row>
    <x:row r="447">
      <x:c r="A447" s="49" t="str">
        <x:v>A-PIPE</x:v>
      </x:c>
      <x:c r="B447" s="49" t="str">
        <x:v>A-BOAT-POWER</x:v>
      </x:c>
      <x:c r="C447" s="49" t="str">
        <x:v>Prerequisite</x:v>
      </x:c>
      <x:c r="D447" s="49" t="str">
        <x:v>Yes</x:v>
      </x:c>
      <x:c r="E447" s="49" t="str"/>
      <x:c r="F447" s="49" t="str">
        <x:v>Required for canonical route</x:v>
      </x:c>
      <x:c r="G447" s="49" t="n">
        <x:f>COUNTIF('Craft Nodes'!$A$5:$A$250,A447)</x:f>
        <x:v>1</x:v>
      </x:c>
      <x:c r="H447" s="49" t="n">
        <x:f>COUNTIF('Craft Nodes'!$A$5:$A$250,B447)</x:f>
        <x:v>1</x:v>
      </x:c>
      <x:c r="I447" s="49" t="str">
        <x:f>IF(AND(G447=1,H447=1),"OK",IF(G447=0,"MISSING FROM","MISSING TO"))</x:f>
        <x:v>OK</x:v>
      </x:c>
    </x:row>
    <x:row r="448">
      <x:c r="A448" s="49" t="str">
        <x:v>S-BATTERY</x:v>
      </x:c>
      <x:c r="B448" s="49" t="str">
        <x:v>A-BOAT-POWER</x:v>
      </x:c>
      <x:c r="C448" s="49" t="str">
        <x:v>Prerequisite</x:v>
      </x:c>
      <x:c r="D448" s="49" t="str">
        <x:v>Yes</x:v>
      </x:c>
      <x:c r="E448" s="49" t="str"/>
      <x:c r="F448" s="49" t="str">
        <x:v>Required for canonical route</x:v>
      </x:c>
      <x:c r="G448" s="49" t="n">
        <x:f>COUNTIF('Craft Nodes'!$A$5:$A$250,A448)</x:f>
        <x:v>1</x:v>
      </x:c>
      <x:c r="H448" s="49" t="n">
        <x:f>COUNTIF('Craft Nodes'!$A$5:$A$250,B448)</x:f>
        <x:v>1</x:v>
      </x:c>
      <x:c r="I448" s="49" t="str">
        <x:f>IF(AND(G448=1,H448=1),"OK",IF(G448=0,"MISSING FROM","MISSING TO"))</x:f>
        <x:v>OK</x:v>
      </x:c>
    </x:row>
    <x:row r="449">
      <x:c r="A449" s="49" t="str">
        <x:v>T-METER</x:v>
      </x:c>
      <x:c r="B449" s="49" t="str">
        <x:v>A-BOAT-POWER</x:v>
      </x:c>
      <x:c r="C449" s="49" t="str">
        <x:v>Tool</x:v>
      </x:c>
      <x:c r="D449" s="49" t="str">
        <x:v>Yes</x:v>
      </x:c>
      <x:c r="E449" s="49" t="str"/>
      <x:c r="F449" s="49" t="str">
        <x:v>Declared embodied tool use</x:v>
      </x:c>
      <x:c r="G449" s="49" t="n">
        <x:f>COUNTIF('Craft Nodes'!$A$5:$A$250,A449)</x:f>
        <x:v>1</x:v>
      </x:c>
      <x:c r="H449" s="49" t="n">
        <x:f>COUNTIF('Craft Nodes'!$A$5:$A$250,B449)</x:f>
        <x:v>1</x:v>
      </x:c>
      <x:c r="I449" s="49" t="str">
        <x:f>IF(AND(G449=1,H449=1),"OK",IF(G449=0,"MISSING FROM","MISSING TO"))</x:f>
        <x:v>OK</x:v>
      </x:c>
    </x:row>
    <x:row r="450">
      <x:c r="A450" s="49" t="str">
        <x:v>W-BOATYARD</x:v>
      </x:c>
      <x:c r="B450" s="49" t="str">
        <x:v>A-BOAT-POWER</x:v>
      </x:c>
      <x:c r="C450" s="49" t="str">
        <x:v>Workspace</x:v>
      </x:c>
      <x:c r="D450" s="49" t="str">
        <x:v>Yes</x:v>
      </x:c>
      <x:c r="E450" s="49" t="str"/>
      <x:c r="F450" s="49" t="str">
        <x:v>Declared worksite dependency</x:v>
      </x:c>
      <x:c r="G450" s="49" t="n">
        <x:f>COUNTIF('Craft Nodes'!$A$5:$A$250,A450)</x:f>
        <x:v>1</x:v>
      </x:c>
      <x:c r="H450" s="49" t="n">
        <x:f>COUNTIF('Craft Nodes'!$A$5:$A$250,B450)</x:f>
        <x:v>1</x:v>
      </x:c>
      <x:c r="I450" s="49" t="str">
        <x:f>IF(AND(G450=1,H450=1),"OK",IF(G450=0,"MISSING FROM","MISSING TO"))</x:f>
        <x:v>OK</x:v>
      </x:c>
    </x:row>
    <x:row r="451">
      <x:c r="A451" s="49" t="str">
        <x:v>A-BOAT-B3</x:v>
      </x:c>
      <x:c r="B451" s="49" t="str">
        <x:v>A-DIVE</x:v>
      </x:c>
      <x:c r="C451" s="49" t="str">
        <x:v>Prerequisite</x:v>
      </x:c>
      <x:c r="D451" s="49" t="str">
        <x:v>Yes</x:v>
      </x:c>
      <x:c r="E451" s="49" t="str"/>
      <x:c r="F451" s="49" t="str">
        <x:v>Required for canonical route</x:v>
      </x:c>
      <x:c r="G451" s="49" t="n">
        <x:f>COUNTIF('Craft Nodes'!$A$5:$A$250,A451)</x:f>
        <x:v>1</x:v>
      </x:c>
      <x:c r="H451" s="49" t="n">
        <x:f>COUNTIF('Craft Nodes'!$A$5:$A$250,B451)</x:f>
        <x:v>1</x:v>
      </x:c>
      <x:c r="I451" s="49" t="str">
        <x:f>IF(AND(G451=1,H451=1),"OK",IF(G451=0,"MISSING FROM","MISSING TO"))</x:f>
        <x:v>OK</x:v>
      </x:c>
    </x:row>
    <x:row r="452">
      <x:c r="A452" s="49" t="str">
        <x:v>P-ROPE</x:v>
      </x:c>
      <x:c r="B452" s="49" t="str">
        <x:v>A-DIVE</x:v>
      </x:c>
      <x:c r="C452" s="49" t="str">
        <x:v>Prerequisite</x:v>
      </x:c>
      <x:c r="D452" s="49" t="str">
        <x:v>Yes</x:v>
      </x:c>
      <x:c r="E452" s="49" t="str"/>
      <x:c r="F452" s="49" t="str">
        <x:v>Required for canonical route</x:v>
      </x:c>
      <x:c r="G452" s="49" t="n">
        <x:f>COUNTIF('Craft Nodes'!$A$5:$A$250,A452)</x:f>
        <x:v>1</x:v>
      </x:c>
      <x:c r="H452" s="49" t="n">
        <x:f>COUNTIF('Craft Nodes'!$A$5:$A$250,B452)</x:f>
        <x:v>1</x:v>
      </x:c>
      <x:c r="I452" s="49" t="str">
        <x:f>IF(AND(G452=1,H452=1),"OK",IF(G452=0,"MISSING FROM","MISSING TO"))</x:f>
        <x:v>OK</x:v>
      </x:c>
    </x:row>
    <x:row r="453">
      <x:c r="A453" s="49" t="str">
        <x:v>S-RUBBER</x:v>
      </x:c>
      <x:c r="B453" s="49" t="str">
        <x:v>A-DIVE</x:v>
      </x:c>
      <x:c r="C453" s="49" t="str">
        <x:v>Prerequisite</x:v>
      </x:c>
      <x:c r="D453" s="49" t="str">
        <x:v>Yes</x:v>
      </x:c>
      <x:c r="E453" s="49" t="str"/>
      <x:c r="F453" s="49" t="str">
        <x:v>Required for canonical route</x:v>
      </x:c>
      <x:c r="G453" s="49" t="n">
        <x:f>COUNTIF('Craft Nodes'!$A$5:$A$250,A453)</x:f>
        <x:v>1</x:v>
      </x:c>
      <x:c r="H453" s="49" t="n">
        <x:f>COUNTIF('Craft Nodes'!$A$5:$A$250,B453)</x:f>
        <x:v>1</x:v>
      </x:c>
      <x:c r="I453" s="49" t="str">
        <x:f>IF(AND(G453=1,H453=1),"OK",IF(G453=0,"MISSING FROM","MISSING TO"))</x:f>
        <x:v>OK</x:v>
      </x:c>
    </x:row>
    <x:row r="454">
      <x:c r="A454" s="49" t="str">
        <x:v>A-STRETCHER</x:v>
      </x:c>
      <x:c r="B454" s="49" t="str">
        <x:v>A-DIVE</x:v>
      </x:c>
      <x:c r="C454" s="49" t="str">
        <x:v>Prerequisite</x:v>
      </x:c>
      <x:c r="D454" s="49" t="str">
        <x:v>Yes</x:v>
      </x:c>
      <x:c r="E454" s="49" t="str"/>
      <x:c r="F454" s="49" t="str">
        <x:v>Required for canonical route</x:v>
      </x:c>
      <x:c r="G454" s="49" t="n">
        <x:f>COUNTIF('Craft Nodes'!$A$5:$A$250,A454)</x:f>
        <x:v>1</x:v>
      </x:c>
      <x:c r="H454" s="49" t="n">
        <x:f>COUNTIF('Craft Nodes'!$A$5:$A$250,B454)</x:f>
        <x:v>1</x:v>
      </x:c>
      <x:c r="I454" s="49" t="str">
        <x:f>IF(AND(G454=1,H454=1),"OK",IF(G454=0,"MISSING FROM","MISSING TO"))</x:f>
        <x:v>OK</x:v>
      </x:c>
    </x:row>
    <x:row r="455">
      <x:c r="A455" s="49" t="str">
        <x:v>A-LAMP</x:v>
      </x:c>
      <x:c r="B455" s="49" t="str">
        <x:v>A-DIVE</x:v>
      </x:c>
      <x:c r="C455" s="49" t="str">
        <x:v>Prerequisite</x:v>
      </x:c>
      <x:c r="D455" s="49" t="str">
        <x:v>Yes</x:v>
      </x:c>
      <x:c r="E455" s="49" t="str"/>
      <x:c r="F455" s="49" t="str">
        <x:v>Required for canonical route</x:v>
      </x:c>
      <x:c r="G455" s="49" t="n">
        <x:f>COUNTIF('Craft Nodes'!$A$5:$A$250,A455)</x:f>
        <x:v>1</x:v>
      </x:c>
      <x:c r="H455" s="49" t="n">
        <x:f>COUNTIF('Craft Nodes'!$A$5:$A$250,B455)</x:f>
        <x:v>1</x:v>
      </x:c>
      <x:c r="I455" s="49" t="str">
        <x:f>IF(AND(G455=1,H455=1),"OK",IF(G455=0,"MISSING FROM","MISSING TO"))</x:f>
        <x:v>OK</x:v>
      </x:c>
    </x:row>
    <x:row r="456">
      <x:c r="A456" s="49" t="str">
        <x:v>T-STONE-KNIFE</x:v>
      </x:c>
      <x:c r="B456" s="49" t="str">
        <x:v>A-DIVE</x:v>
      </x:c>
      <x:c r="C456" s="49" t="str">
        <x:v>Tool</x:v>
      </x:c>
      <x:c r="D456" s="49" t="str">
        <x:v>Yes</x:v>
      </x:c>
      <x:c r="E456" s="49" t="str"/>
      <x:c r="F456" s="49" t="str">
        <x:v>Declared embodied tool use</x:v>
      </x:c>
      <x:c r="G456" s="49" t="n">
        <x:f>COUNTIF('Craft Nodes'!$A$5:$A$250,A456)</x:f>
        <x:v>1</x:v>
      </x:c>
      <x:c r="H456" s="49" t="n">
        <x:f>COUNTIF('Craft Nodes'!$A$5:$A$250,B456)</x:f>
        <x:v>1</x:v>
      </x:c>
      <x:c r="I456" s="49" t="str">
        <x:f>IF(AND(G456=1,H456=1),"OK",IF(G456=0,"MISSING FROM","MISSING TO"))</x:f>
        <x:v>OK</x:v>
      </x:c>
    </x:row>
    <x:row r="457">
      <x:c r="A457" s="49" t="str">
        <x:v>A-DIVE</x:v>
      </x:c>
      <x:c r="B457" s="49" t="str">
        <x:v>A-SUB-LIFT</x:v>
      </x:c>
      <x:c r="C457" s="49" t="str">
        <x:v>Prerequisite</x:v>
      </x:c>
      <x:c r="D457" s="49" t="str">
        <x:v>Yes</x:v>
      </x:c>
      <x:c r="E457" s="49" t="str"/>
      <x:c r="F457" s="49" t="str">
        <x:v>Required for canonical route</x:v>
      </x:c>
      <x:c r="G457" s="49" t="n">
        <x:f>COUNTIF('Craft Nodes'!$A$5:$A$250,A457)</x:f>
        <x:v>1</x:v>
      </x:c>
      <x:c r="H457" s="49" t="n">
        <x:f>COUNTIF('Craft Nodes'!$A$5:$A$250,B457)</x:f>
        <x:v>1</x:v>
      </x:c>
      <x:c r="I457" s="49" t="str">
        <x:f>IF(AND(G457=1,H457=1),"OK",IF(G457=0,"MISSING FROM","MISSING TO"))</x:f>
        <x:v>OK</x:v>
      </x:c>
    </x:row>
    <x:row r="458">
      <x:c r="A458" s="49" t="str">
        <x:v>A-PULLEY</x:v>
      </x:c>
      <x:c r="B458" s="49" t="str">
        <x:v>A-SUB-LIFT</x:v>
      </x:c>
      <x:c r="C458" s="49" t="str">
        <x:v>Prerequisite</x:v>
      </x:c>
      <x:c r="D458" s="49" t="str">
        <x:v>Yes</x:v>
      </x:c>
      <x:c r="E458" s="49" t="str"/>
      <x:c r="F458" s="49" t="str">
        <x:v>Required for canonical route</x:v>
      </x:c>
      <x:c r="G458" s="49" t="n">
        <x:f>COUNTIF('Craft Nodes'!$A$5:$A$250,A458)</x:f>
        <x:v>1</x:v>
      </x:c>
      <x:c r="H458" s="49" t="n">
        <x:f>COUNTIF('Craft Nodes'!$A$5:$A$250,B458)</x:f>
        <x:v>1</x:v>
      </x:c>
      <x:c r="I458" s="49" t="str">
        <x:f>IF(AND(G458=1,H458=1),"OK",IF(G458=0,"MISSING FROM","MISSING TO"))</x:f>
        <x:v>OK</x:v>
      </x:c>
    </x:row>
    <x:row r="459">
      <x:c r="A459" s="49" t="str">
        <x:v>S-POLYMER</x:v>
      </x:c>
      <x:c r="B459" s="49" t="str">
        <x:v>A-SUB-LIFT</x:v>
      </x:c>
      <x:c r="C459" s="49" t="str">
        <x:v>Prerequisite</x:v>
      </x:c>
      <x:c r="D459" s="49" t="str">
        <x:v>Yes</x:v>
      </x:c>
      <x:c r="E459" s="49" t="str"/>
      <x:c r="F459" s="49" t="str">
        <x:v>Required for canonical route</x:v>
      </x:c>
      <x:c r="G459" s="49" t="n">
        <x:f>COUNTIF('Craft Nodes'!$A$5:$A$250,A459)</x:f>
        <x:v>1</x:v>
      </x:c>
      <x:c r="H459" s="49" t="n">
        <x:f>COUNTIF('Craft Nodes'!$A$5:$A$250,B459)</x:f>
        <x:v>1</x:v>
      </x:c>
      <x:c r="I459" s="49" t="str">
        <x:f>IF(AND(G459=1,H459=1),"OK",IF(G459=0,"MISSING FROM","MISSING TO"))</x:f>
        <x:v>OK</x:v>
      </x:c>
    </x:row>
    <x:row r="460">
      <x:c r="A460" s="49" t="str">
        <x:v>P-ROPE</x:v>
      </x:c>
      <x:c r="B460" s="49" t="str">
        <x:v>A-SUB-LIFT</x:v>
      </x:c>
      <x:c r="C460" s="49" t="str">
        <x:v>Prerequisite</x:v>
      </x:c>
      <x:c r="D460" s="49" t="str">
        <x:v>Yes</x:v>
      </x:c>
      <x:c r="E460" s="49" t="str"/>
      <x:c r="F460" s="49" t="str">
        <x:v>Required for canonical route</x:v>
      </x:c>
      <x:c r="G460" s="49" t="n">
        <x:f>COUNTIF('Craft Nodes'!$A$5:$A$250,A460)</x:f>
        <x:v>1</x:v>
      </x:c>
      <x:c r="H460" s="49" t="n">
        <x:f>COUNTIF('Craft Nodes'!$A$5:$A$250,B460)</x:f>
        <x:v>1</x:v>
      </x:c>
      <x:c r="I460" s="49" t="str">
        <x:f>IF(AND(G460=1,H460=1),"OK",IF(G460=0,"MISSING FROM","MISSING TO"))</x:f>
        <x:v>OK</x:v>
      </x:c>
    </x:row>
    <x:row r="461">
      <x:c r="A461" s="49" t="str">
        <x:v>T-MEASURE</x:v>
      </x:c>
      <x:c r="B461" s="49" t="str">
        <x:v>A-SUB-LIFT</x:v>
      </x:c>
      <x:c r="C461" s="49" t="str">
        <x:v>Tool</x:v>
      </x:c>
      <x:c r="D461" s="49" t="str">
        <x:v>Yes</x:v>
      </x:c>
      <x:c r="E461" s="49" t="str"/>
      <x:c r="F461" s="49" t="str">
        <x:v>Declared embodied tool use</x:v>
      </x:c>
      <x:c r="G461" s="49" t="n">
        <x:f>COUNTIF('Craft Nodes'!$A$5:$A$250,A461)</x:f>
        <x:v>1</x:v>
      </x:c>
      <x:c r="H461" s="49" t="n">
        <x:f>COUNTIF('Craft Nodes'!$A$5:$A$250,B461)</x:f>
        <x:v>1</x:v>
      </x:c>
      <x:c r="I461" s="49" t="str">
        <x:f>IF(AND(G461=1,H461=1),"OK",IF(G461=0,"MISSING FROM","MISSING TO"))</x:f>
        <x:v>OK</x:v>
      </x:c>
    </x:row>
    <x:row r="462">
      <x:c r="A462" s="49" t="str">
        <x:v>S-BEARING</x:v>
      </x:c>
      <x:c r="B462" s="49" t="str">
        <x:v>A-GENERATOR</x:v>
      </x:c>
      <x:c r="C462" s="49" t="str">
        <x:v>Prerequisite</x:v>
      </x:c>
      <x:c r="D462" s="49" t="str">
        <x:v>Yes</x:v>
      </x:c>
      <x:c r="E462" s="49" t="str"/>
      <x:c r="F462" s="49" t="str">
        <x:v>Required for canonical route</x:v>
      </x:c>
      <x:c r="G462" s="49" t="n">
        <x:f>COUNTIF('Craft Nodes'!$A$5:$A$250,A462)</x:f>
        <x:v>1</x:v>
      </x:c>
      <x:c r="H462" s="49" t="n">
        <x:f>COUNTIF('Craft Nodes'!$A$5:$A$250,B462)</x:f>
        <x:v>1</x:v>
      </x:c>
      <x:c r="I462" s="49" t="str">
        <x:f>IF(AND(G462=1,H462=1),"OK",IF(G462=0,"MISSING FROM","MISSING TO"))</x:f>
        <x:v>OK</x:v>
      </x:c>
    </x:row>
    <x:row r="463">
      <x:c r="A463" s="49" t="str">
        <x:v>S-WIRE</x:v>
      </x:c>
      <x:c r="B463" s="49" t="str">
        <x:v>A-GENERATOR</x:v>
      </x:c>
      <x:c r="C463" s="49" t="str">
        <x:v>Prerequisite</x:v>
      </x:c>
      <x:c r="D463" s="49" t="str">
        <x:v>Yes</x:v>
      </x:c>
      <x:c r="E463" s="49" t="str"/>
      <x:c r="F463" s="49" t="str">
        <x:v>Required for canonical route</x:v>
      </x:c>
      <x:c r="G463" s="49" t="n">
        <x:f>COUNTIF('Craft Nodes'!$A$5:$A$250,A463)</x:f>
        <x:v>1</x:v>
      </x:c>
      <x:c r="H463" s="49" t="n">
        <x:f>COUNTIF('Craft Nodes'!$A$5:$A$250,B463)</x:f>
        <x:v>1</x:v>
      </x:c>
      <x:c r="I463" s="49" t="str">
        <x:f>IF(AND(G463=1,H463=1),"OK",IF(G463=0,"MISSING FROM","MISSING TO"))</x:f>
        <x:v>OK</x:v>
      </x:c>
    </x:row>
    <x:row r="464">
      <x:c r="A464" s="49" t="str">
        <x:v>P-CONDUCTOR</x:v>
      </x:c>
      <x:c r="B464" s="49" t="str">
        <x:v>A-GENERATOR</x:v>
      </x:c>
      <x:c r="C464" s="49" t="str">
        <x:v>Prerequisite</x:v>
      </x:c>
      <x:c r="D464" s="49" t="str">
        <x:v>Yes</x:v>
      </x:c>
      <x:c r="E464" s="49" t="str"/>
      <x:c r="F464" s="49" t="str">
        <x:v>Required for canonical route</x:v>
      </x:c>
      <x:c r="G464" s="49" t="n">
        <x:f>COUNTIF('Craft Nodes'!$A$5:$A$250,A464)</x:f>
        <x:v>1</x:v>
      </x:c>
      <x:c r="H464" s="49" t="n">
        <x:f>COUNTIF('Craft Nodes'!$A$5:$A$250,B464)</x:f>
        <x:v>1</x:v>
      </x:c>
      <x:c r="I464" s="49" t="str">
        <x:f>IF(AND(G464=1,H464=1),"OK",IF(G464=0,"MISSING FROM","MISSING TO"))</x:f>
        <x:v>OK</x:v>
      </x:c>
    </x:row>
    <x:row r="465">
      <x:c r="A465" s="49" t="str">
        <x:v>T-METER</x:v>
      </x:c>
      <x:c r="B465" s="49" t="str">
        <x:v>A-GENERATOR</x:v>
      </x:c>
      <x:c r="C465" s="49" t="str">
        <x:v>Tool</x:v>
      </x:c>
      <x:c r="D465" s="49" t="str">
        <x:v>Yes</x:v>
      </x:c>
      <x:c r="E465" s="49" t="str"/>
      <x:c r="F465" s="49" t="str">
        <x:v>Required for canonical route</x:v>
      </x:c>
      <x:c r="G465" s="49" t="n">
        <x:f>COUNTIF('Craft Nodes'!$A$5:$A$250,A465)</x:f>
        <x:v>1</x:v>
      </x:c>
      <x:c r="H465" s="49" t="n">
        <x:f>COUNTIF('Craft Nodes'!$A$5:$A$250,B465)</x:f>
        <x:v>1</x:v>
      </x:c>
      <x:c r="I465" s="49" t="str">
        <x:f>IF(AND(G465=1,H465=1),"OK",IF(G465=0,"MISSING FROM","MISSING TO"))</x:f>
        <x:v>OK</x:v>
      </x:c>
    </x:row>
    <x:row r="466">
      <x:c r="A466" s="49" t="str">
        <x:v>W-ELECTRICAL</x:v>
      </x:c>
      <x:c r="B466" s="49" t="str">
        <x:v>A-GENERATOR</x:v>
      </x:c>
      <x:c r="C466" s="49" t="str">
        <x:v>Workspace</x:v>
      </x:c>
      <x:c r="D466" s="49" t="str">
        <x:v>Yes</x:v>
      </x:c>
      <x:c r="E466" s="49" t="str"/>
      <x:c r="F466" s="49" t="str">
        <x:v>Declared worksite dependency</x:v>
      </x:c>
      <x:c r="G466" s="49" t="n">
        <x:f>COUNTIF('Craft Nodes'!$A$5:$A$250,A466)</x:f>
        <x:v>1</x:v>
      </x:c>
      <x:c r="H466" s="49" t="n">
        <x:f>COUNTIF('Craft Nodes'!$A$5:$A$250,B466)</x:f>
        <x:v>1</x:v>
      </x:c>
      <x:c r="I466" s="49" t="str">
        <x:f>IF(AND(G466=1,H466=1),"OK",IF(G466=0,"MISSING FROM","MISSING TO"))</x:f>
        <x:v>OK</x:v>
      </x:c>
    </x:row>
    <x:row r="467">
      <x:c r="A467" s="49" t="str">
        <x:v>S-BATTERY</x:v>
      </x:c>
      <x:c r="B467" s="49" t="str">
        <x:v>A-BANK</x:v>
      </x:c>
      <x:c r="C467" s="49" t="str">
        <x:v>Prerequisite</x:v>
      </x:c>
      <x:c r="D467" s="49" t="str">
        <x:v>Yes</x:v>
      </x:c>
      <x:c r="E467" s="49" t="str"/>
      <x:c r="F467" s="49" t="str">
        <x:v>Required for canonical route</x:v>
      </x:c>
      <x:c r="G467" s="49" t="n">
        <x:f>COUNTIF('Craft Nodes'!$A$5:$A$250,A467)</x:f>
        <x:v>1</x:v>
      </x:c>
      <x:c r="H467" s="49" t="n">
        <x:f>COUNTIF('Craft Nodes'!$A$5:$A$250,B467)</x:f>
        <x:v>1</x:v>
      </x:c>
      <x:c r="I467" s="49" t="str">
        <x:f>IF(AND(G467=1,H467=1),"OK",IF(G467=0,"MISSING FROM","MISSING TO"))</x:f>
        <x:v>OK</x:v>
      </x:c>
    </x:row>
    <x:row r="468">
      <x:c r="A468" s="49" t="str">
        <x:v>P-CONDUCTOR</x:v>
      </x:c>
      <x:c r="B468" s="49" t="str">
        <x:v>A-BANK</x:v>
      </x:c>
      <x:c r="C468" s="49" t="str">
        <x:v>Prerequisite</x:v>
      </x:c>
      <x:c r="D468" s="49" t="str">
        <x:v>Yes</x:v>
      </x:c>
      <x:c r="E468" s="49" t="str"/>
      <x:c r="F468" s="49" t="str">
        <x:v>Required for canonical route</x:v>
      </x:c>
      <x:c r="G468" s="49" t="n">
        <x:f>COUNTIF('Craft Nodes'!$A$5:$A$250,A468)</x:f>
        <x:v>1</x:v>
      </x:c>
      <x:c r="H468" s="49" t="n">
        <x:f>COUNTIF('Craft Nodes'!$A$5:$A$250,B468)</x:f>
        <x:v>1</x:v>
      </x:c>
      <x:c r="I468" s="49" t="str">
        <x:f>IF(AND(G468=1,H468=1),"OK",IF(G468=0,"MISSING FROM","MISSING TO"))</x:f>
        <x:v>OK</x:v>
      </x:c>
    </x:row>
    <x:row r="469">
      <x:c r="A469" s="49" t="str">
        <x:v>S-WIRE</x:v>
      </x:c>
      <x:c r="B469" s="49" t="str">
        <x:v>A-BANK</x:v>
      </x:c>
      <x:c r="C469" s="49" t="str">
        <x:v>Prerequisite</x:v>
      </x:c>
      <x:c r="D469" s="49" t="str">
        <x:v>Yes</x:v>
      </x:c>
      <x:c r="E469" s="49" t="str"/>
      <x:c r="F469" s="49" t="str">
        <x:v>Required for canonical route</x:v>
      </x:c>
      <x:c r="G469" s="49" t="n">
        <x:f>COUNTIF('Craft Nodes'!$A$5:$A$250,A469)</x:f>
        <x:v>1</x:v>
      </x:c>
      <x:c r="H469" s="49" t="n">
        <x:f>COUNTIF('Craft Nodes'!$A$5:$A$250,B469)</x:f>
        <x:v>1</x:v>
      </x:c>
      <x:c r="I469" s="49" t="str">
        <x:f>IF(AND(G469=1,H469=1),"OK",IF(G469=0,"MISSING FROM","MISSING TO"))</x:f>
        <x:v>OK</x:v>
      </x:c>
    </x:row>
    <x:row r="470">
      <x:c r="A470" s="49" t="str">
        <x:v>T-METER</x:v>
      </x:c>
      <x:c r="B470" s="49" t="str">
        <x:v>A-BANK</x:v>
      </x:c>
      <x:c r="C470" s="49" t="str">
        <x:v>Tool</x:v>
      </x:c>
      <x:c r="D470" s="49" t="str">
        <x:v>Yes</x:v>
      </x:c>
      <x:c r="E470" s="49" t="str"/>
      <x:c r="F470" s="49" t="str">
        <x:v>Required for canonical route</x:v>
      </x:c>
      <x:c r="G470" s="49" t="n">
        <x:f>COUNTIF('Craft Nodes'!$A$5:$A$250,A470)</x:f>
        <x:v>1</x:v>
      </x:c>
      <x:c r="H470" s="49" t="n">
        <x:f>COUNTIF('Craft Nodes'!$A$5:$A$250,B470)</x:f>
        <x:v>1</x:v>
      </x:c>
      <x:c r="I470" s="49" t="str">
        <x:f>IF(AND(G470=1,H470=1),"OK",IF(G470=0,"MISSING FROM","MISSING TO"))</x:f>
        <x:v>OK</x:v>
      </x:c>
    </x:row>
    <x:row r="471">
      <x:c r="A471" s="49" t="str">
        <x:v>W-ELECTRICAL</x:v>
      </x:c>
      <x:c r="B471" s="49" t="str">
        <x:v>A-BANK</x:v>
      </x:c>
      <x:c r="C471" s="49" t="str">
        <x:v>Workspace</x:v>
      </x:c>
      <x:c r="D471" s="49" t="str">
        <x:v>Yes</x:v>
      </x:c>
      <x:c r="E471" s="49" t="str"/>
      <x:c r="F471" s="49" t="str">
        <x:v>Declared worksite dependency</x:v>
      </x:c>
      <x:c r="G471" s="49" t="n">
        <x:f>COUNTIF('Craft Nodes'!$A$5:$A$250,A471)</x:f>
        <x:v>1</x:v>
      </x:c>
      <x:c r="H471" s="49" t="n">
        <x:f>COUNTIF('Craft Nodes'!$A$5:$A$250,B471)</x:f>
        <x:v>1</x:v>
      </x:c>
      <x:c r="I471" s="49" t="str">
        <x:f>IF(AND(G471=1,H471=1),"OK",IF(G471=0,"MISSING FROM","MISSING TO"))</x:f>
        <x:v>OK</x:v>
      </x:c>
    </x:row>
    <x:row r="472">
      <x:c r="A472" s="49" t="str">
        <x:v>A-GENERATOR</x:v>
      </x:c>
      <x:c r="B472" s="49" t="str">
        <x:v>A-GRID</x:v>
      </x:c>
      <x:c r="C472" s="49" t="str">
        <x:v>Prerequisite</x:v>
      </x:c>
      <x:c r="D472" s="49" t="str">
        <x:v>Yes</x:v>
      </x:c>
      <x:c r="E472" s="49" t="str"/>
      <x:c r="F472" s="49" t="str">
        <x:v>Required for canonical route</x:v>
      </x:c>
      <x:c r="G472" s="49" t="n">
        <x:f>COUNTIF('Craft Nodes'!$A$5:$A$250,A472)</x:f>
        <x:v>1</x:v>
      </x:c>
      <x:c r="H472" s="49" t="n">
        <x:f>COUNTIF('Craft Nodes'!$A$5:$A$250,B472)</x:f>
        <x:v>1</x:v>
      </x:c>
      <x:c r="I472" s="49" t="str">
        <x:f>IF(AND(G472=1,H472=1),"OK",IF(G472=0,"MISSING FROM","MISSING TO"))</x:f>
        <x:v>OK</x:v>
      </x:c>
    </x:row>
    <x:row r="473">
      <x:c r="A473" s="49" t="str">
        <x:v>A-BANK</x:v>
      </x:c>
      <x:c r="B473" s="49" t="str">
        <x:v>A-GRID</x:v>
      </x:c>
      <x:c r="C473" s="49" t="str">
        <x:v>Prerequisite</x:v>
      </x:c>
      <x:c r="D473" s="49" t="str">
        <x:v>Yes</x:v>
      </x:c>
      <x:c r="E473" s="49" t="str"/>
      <x:c r="F473" s="49" t="str">
        <x:v>Required for canonical route</x:v>
      </x:c>
      <x:c r="G473" s="49" t="n">
        <x:f>COUNTIF('Craft Nodes'!$A$5:$A$250,A473)</x:f>
        <x:v>1</x:v>
      </x:c>
      <x:c r="H473" s="49" t="n">
        <x:f>COUNTIF('Craft Nodes'!$A$5:$A$250,B473)</x:f>
        <x:v>1</x:v>
      </x:c>
      <x:c r="I473" s="49" t="str">
        <x:f>IF(AND(G473=1,H473=1),"OK",IF(G473=0,"MISSING FROM","MISSING TO"))</x:f>
        <x:v>OK</x:v>
      </x:c>
    </x:row>
    <x:row r="474">
      <x:c r="A474" s="49" t="str">
        <x:v>P-CONDUCTOR</x:v>
      </x:c>
      <x:c r="B474" s="49" t="str">
        <x:v>A-GRID</x:v>
      </x:c>
      <x:c r="C474" s="49" t="str">
        <x:v>Prerequisite</x:v>
      </x:c>
      <x:c r="D474" s="49" t="str">
        <x:v>Yes</x:v>
      </x:c>
      <x:c r="E474" s="49" t="str"/>
      <x:c r="F474" s="49" t="str">
        <x:v>Required for canonical route</x:v>
      </x:c>
      <x:c r="G474" s="49" t="n">
        <x:f>COUNTIF('Craft Nodes'!$A$5:$A$250,A474)</x:f>
        <x:v>1</x:v>
      </x:c>
      <x:c r="H474" s="49" t="n">
        <x:f>COUNTIF('Craft Nodes'!$A$5:$A$250,B474)</x:f>
        <x:v>1</x:v>
      </x:c>
      <x:c r="I474" s="49" t="str">
        <x:f>IF(AND(G474=1,H474=1),"OK",IF(G474=0,"MISSING FROM","MISSING TO"))</x:f>
        <x:v>OK</x:v>
      </x:c>
    </x:row>
    <x:row r="475">
      <x:c r="A475" s="49" t="str">
        <x:v>A-LAMP</x:v>
      </x:c>
      <x:c r="B475" s="49" t="str">
        <x:v>A-GRID</x:v>
      </x:c>
      <x:c r="C475" s="49" t="str">
        <x:v>Prerequisite</x:v>
      </x:c>
      <x:c r="D475" s="49" t="str">
        <x:v>Yes</x:v>
      </x:c>
      <x:c r="E475" s="49" t="str"/>
      <x:c r="F475" s="49" t="str">
        <x:v>Required for canonical route</x:v>
      </x:c>
      <x:c r="G475" s="49" t="n">
        <x:f>COUNTIF('Craft Nodes'!$A$5:$A$250,A475)</x:f>
        <x:v>1</x:v>
      </x:c>
      <x:c r="H475" s="49" t="n">
        <x:f>COUNTIF('Craft Nodes'!$A$5:$A$250,B475)</x:f>
        <x:v>1</x:v>
      </x:c>
      <x:c r="I475" s="49" t="str">
        <x:f>IF(AND(G475=1,H475=1),"OK",IF(G475=0,"MISSING FROM","MISSING TO"))</x:f>
        <x:v>OK</x:v>
      </x:c>
    </x:row>
    <x:row r="476">
      <x:c r="A476" s="49" t="str">
        <x:v>T-METER</x:v>
      </x:c>
      <x:c r="B476" s="49" t="str">
        <x:v>A-GRID</x:v>
      </x:c>
      <x:c r="C476" s="49" t="str">
        <x:v>Tool</x:v>
      </x:c>
      <x:c r="D476" s="49" t="str">
        <x:v>Yes</x:v>
      </x:c>
      <x:c r="E476" s="49" t="str"/>
      <x:c r="F476" s="49" t="str">
        <x:v>Declared embodied tool use</x:v>
      </x:c>
      <x:c r="G476" s="49" t="n">
        <x:f>COUNTIF('Craft Nodes'!$A$5:$A$250,A476)</x:f>
        <x:v>1</x:v>
      </x:c>
      <x:c r="H476" s="49" t="n">
        <x:f>COUNTIF('Craft Nodes'!$A$5:$A$250,B476)</x:f>
        <x:v>1</x:v>
      </x:c>
      <x:c r="I476" s="49" t="str">
        <x:f>IF(AND(G476=1,H476=1),"OK",IF(G476=0,"MISSING FROM","MISSING TO"))</x:f>
        <x:v>OK</x:v>
      </x:c>
    </x:row>
    <x:row r="477">
      <x:c r="A477" s="49" t="str">
        <x:v>S-RADIO</x:v>
      </x:c>
      <x:c r="B477" s="49" t="str">
        <x:v>A-RECEIVER</x:v>
      </x:c>
      <x:c r="C477" s="49" t="str">
        <x:v>Prerequisite</x:v>
      </x:c>
      <x:c r="D477" s="49" t="str">
        <x:v>Yes</x:v>
      </x:c>
      <x:c r="E477" s="49" t="str"/>
      <x:c r="F477" s="49" t="str">
        <x:v>Required for canonical route</x:v>
      </x:c>
      <x:c r="G477" s="49" t="n">
        <x:f>COUNTIF('Craft Nodes'!$A$5:$A$250,A477)</x:f>
        <x:v>1</x:v>
      </x:c>
      <x:c r="H477" s="49" t="n">
        <x:f>COUNTIF('Craft Nodes'!$A$5:$A$250,B477)</x:f>
        <x:v>1</x:v>
      </x:c>
      <x:c r="I477" s="49" t="str">
        <x:f>IF(AND(G477=1,H477=1),"OK",IF(G477=0,"MISSING FROM","MISSING TO"))</x:f>
        <x:v>OK</x:v>
      </x:c>
    </x:row>
    <x:row r="478">
      <x:c r="A478" s="49" t="str">
        <x:v>S-BATTERY</x:v>
      </x:c>
      <x:c r="B478" s="49" t="str">
        <x:v>A-RECEIVER</x:v>
      </x:c>
      <x:c r="C478" s="49" t="str">
        <x:v>Prerequisite</x:v>
      </x:c>
      <x:c r="D478" s="49" t="str">
        <x:v>Yes</x:v>
      </x:c>
      <x:c r="E478" s="49" t="str"/>
      <x:c r="F478" s="49" t="str">
        <x:v>Required for canonical route</x:v>
      </x:c>
      <x:c r="G478" s="49" t="n">
        <x:f>COUNTIF('Craft Nodes'!$A$5:$A$250,A478)</x:f>
        <x:v>1</x:v>
      </x:c>
      <x:c r="H478" s="49" t="n">
        <x:f>COUNTIF('Craft Nodes'!$A$5:$A$250,B478)</x:f>
        <x:v>1</x:v>
      </x:c>
      <x:c r="I478" s="49" t="str">
        <x:f>IF(AND(G478=1,H478=1),"OK",IF(G478=0,"MISSING FROM","MISSING TO"))</x:f>
        <x:v>OK</x:v>
      </x:c>
    </x:row>
    <x:row r="479">
      <x:c r="A479" s="49" t="str">
        <x:v>S-WIRE</x:v>
      </x:c>
      <x:c r="B479" s="49" t="str">
        <x:v>A-RECEIVER</x:v>
      </x:c>
      <x:c r="C479" s="49" t="str">
        <x:v>Prerequisite</x:v>
      </x:c>
      <x:c r="D479" s="49" t="str">
        <x:v>Yes</x:v>
      </x:c>
      <x:c r="E479" s="49" t="str"/>
      <x:c r="F479" s="49" t="str">
        <x:v>Required for canonical route</x:v>
      </x:c>
      <x:c r="G479" s="49" t="n">
        <x:f>COUNTIF('Craft Nodes'!$A$5:$A$250,A479)</x:f>
        <x:v>1</x:v>
      </x:c>
      <x:c r="H479" s="49" t="n">
        <x:f>COUNTIF('Craft Nodes'!$A$5:$A$250,B479)</x:f>
        <x:v>1</x:v>
      </x:c>
      <x:c r="I479" s="49" t="str">
        <x:f>IF(AND(G479=1,H479=1),"OK",IF(G479=0,"MISSING FROM","MISSING TO"))</x:f>
        <x:v>OK</x:v>
      </x:c>
    </x:row>
    <x:row r="480">
      <x:c r="A480" s="49" t="str">
        <x:v>A-ROOF</x:v>
      </x:c>
      <x:c r="B480" s="49" t="str">
        <x:v>A-RECEIVER</x:v>
      </x:c>
      <x:c r="C480" s="49" t="str">
        <x:v>Prerequisite</x:v>
      </x:c>
      <x:c r="D480" s="49" t="str">
        <x:v>Yes</x:v>
      </x:c>
      <x:c r="E480" s="49" t="str"/>
      <x:c r="F480" s="49" t="str">
        <x:v>Required for canonical route</x:v>
      </x:c>
      <x:c r="G480" s="49" t="n">
        <x:f>COUNTIF('Craft Nodes'!$A$5:$A$250,A480)</x:f>
        <x:v>1</x:v>
      </x:c>
      <x:c r="H480" s="49" t="n">
        <x:f>COUNTIF('Craft Nodes'!$A$5:$A$250,B480)</x:f>
        <x:v>1</x:v>
      </x:c>
      <x:c r="I480" s="49" t="str">
        <x:f>IF(AND(G480=1,H480=1),"OK",IF(G480=0,"MISSING FROM","MISSING TO"))</x:f>
        <x:v>OK</x:v>
      </x:c>
    </x:row>
    <x:row r="481">
      <x:c r="A481" s="49" t="str">
        <x:v>T-METER</x:v>
      </x:c>
      <x:c r="B481" s="49" t="str">
        <x:v>A-RECEIVER</x:v>
      </x:c>
      <x:c r="C481" s="49" t="str">
        <x:v>Tool</x:v>
      </x:c>
      <x:c r="D481" s="49" t="str">
        <x:v>Yes</x:v>
      </x:c>
      <x:c r="E481" s="49" t="str"/>
      <x:c r="F481" s="49" t="str">
        <x:v>Declared embodied tool use</x:v>
      </x:c>
      <x:c r="G481" s="49" t="n">
        <x:f>COUNTIF('Craft Nodes'!$A$5:$A$250,A481)</x:f>
        <x:v>1</x:v>
      </x:c>
      <x:c r="H481" s="49" t="n">
        <x:f>COUNTIF('Craft Nodes'!$A$5:$A$250,B481)</x:f>
        <x:v>1</x:v>
      </x:c>
      <x:c r="I481" s="49" t="str">
        <x:f>IF(AND(G481=1,H481=1),"OK",IF(G481=0,"MISSING FROM","MISSING TO"))</x:f>
        <x:v>OK</x:v>
      </x:c>
    </x:row>
    <x:row r="482">
      <x:c r="A482" s="49" t="str">
        <x:v>P-CONDUCTOR</x:v>
      </x:c>
      <x:c r="B482" s="49" t="str">
        <x:v>A-ANTENNA</x:v>
      </x:c>
      <x:c r="C482" s="49" t="str">
        <x:v>Prerequisite</x:v>
      </x:c>
      <x:c r="D482" s="49" t="str">
        <x:v>Yes</x:v>
      </x:c>
      <x:c r="E482" s="49" t="str"/>
      <x:c r="F482" s="49" t="str">
        <x:v>Required for canonical route</x:v>
      </x:c>
      <x:c r="G482" s="49" t="n">
        <x:f>COUNTIF('Craft Nodes'!$A$5:$A$250,A482)</x:f>
        <x:v>1</x:v>
      </x:c>
      <x:c r="H482" s="49" t="n">
        <x:f>COUNTIF('Craft Nodes'!$A$5:$A$250,B482)</x:f>
        <x:v>1</x:v>
      </x:c>
      <x:c r="I482" s="49" t="str">
        <x:f>IF(AND(G482=1,H482=1),"OK",IF(G482=0,"MISSING FROM","MISSING TO"))</x:f>
        <x:v>OK</x:v>
      </x:c>
    </x:row>
    <x:row r="483">
      <x:c r="A483" s="49" t="str">
        <x:v>P-STRAIGHT-POLE</x:v>
      </x:c>
      <x:c r="B483" s="49" t="str">
        <x:v>A-ANTENNA</x:v>
      </x:c>
      <x:c r="C483" s="49" t="str">
        <x:v>Prerequisite</x:v>
      </x:c>
      <x:c r="D483" s="49" t="str">
        <x:v>Yes</x:v>
      </x:c>
      <x:c r="E483" s="49" t="str"/>
      <x:c r="F483" s="49" t="str">
        <x:v>Required for canonical route</x:v>
      </x:c>
      <x:c r="G483" s="49" t="n">
        <x:f>COUNTIF('Craft Nodes'!$A$5:$A$250,A483)</x:f>
        <x:v>1</x:v>
      </x:c>
      <x:c r="H483" s="49" t="n">
        <x:f>COUNTIF('Craft Nodes'!$A$5:$A$250,B483)</x:f>
        <x:v>1</x:v>
      </x:c>
      <x:c r="I483" s="49" t="str">
        <x:f>IF(AND(G483=1,H483=1),"OK",IF(G483=0,"MISSING FROM","MISSING TO"))</x:f>
        <x:v>OK</x:v>
      </x:c>
    </x:row>
    <x:row r="484">
      <x:c r="A484" s="49" t="str">
        <x:v>S-GLASS</x:v>
      </x:c>
      <x:c r="B484" s="49" t="str">
        <x:v>A-ANTENNA</x:v>
      </x:c>
      <x:c r="C484" s="49" t="str">
        <x:v>Prerequisite</x:v>
      </x:c>
      <x:c r="D484" s="49" t="str">
        <x:v>Yes</x:v>
      </x:c>
      <x:c r="E484" s="49" t="str"/>
      <x:c r="F484" s="49" t="str">
        <x:v>Required for canonical route</x:v>
      </x:c>
      <x:c r="G484" s="49" t="n">
        <x:f>COUNTIF('Craft Nodes'!$A$5:$A$250,A484)</x:f>
        <x:v>1</x:v>
      </x:c>
      <x:c r="H484" s="49" t="n">
        <x:f>COUNTIF('Craft Nodes'!$A$5:$A$250,B484)</x:f>
        <x:v>1</x:v>
      </x:c>
      <x:c r="I484" s="49" t="str">
        <x:f>IF(AND(G484=1,H484=1),"OK",IF(G484=0,"MISSING FROM","MISSING TO"))</x:f>
        <x:v>OK</x:v>
      </x:c>
    </x:row>
    <x:row r="485">
      <x:c r="A485" s="49" t="str">
        <x:v>T-MEASURE</x:v>
      </x:c>
      <x:c r="B485" s="49" t="str">
        <x:v>A-ANTENNA</x:v>
      </x:c>
      <x:c r="C485" s="49" t="str">
        <x:v>Tool</x:v>
      </x:c>
      <x:c r="D485" s="49" t="str">
        <x:v>Yes</x:v>
      </x:c>
      <x:c r="E485" s="49" t="str"/>
      <x:c r="F485" s="49" t="str">
        <x:v>Required for canonical route</x:v>
      </x:c>
      <x:c r="G485" s="49" t="n">
        <x:f>COUNTIF('Craft Nodes'!$A$5:$A$250,A485)</x:f>
        <x:v>1</x:v>
      </x:c>
      <x:c r="H485" s="49" t="n">
        <x:f>COUNTIF('Craft Nodes'!$A$5:$A$250,B485)</x:f>
        <x:v>1</x:v>
      </x:c>
      <x:c r="I485" s="49" t="str">
        <x:f>IF(AND(G485=1,H485=1),"OK",IF(G485=0,"MISSING FROM","MISSING TO"))</x:f>
        <x:v>OK</x:v>
      </x:c>
    </x:row>
    <x:row r="486">
      <x:c r="A486" s="49" t="str">
        <x:v>A-RECEIVER</x:v>
      </x:c>
      <x:c r="B486" s="49" t="str">
        <x:v>A-TRANSMITTER</x:v>
      </x:c>
      <x:c r="C486" s="49" t="str">
        <x:v>Prerequisite</x:v>
      </x:c>
      <x:c r="D486" s="49" t="str">
        <x:v>Yes</x:v>
      </x:c>
      <x:c r="E486" s="49" t="str"/>
      <x:c r="F486" s="49" t="str">
        <x:v>Required for canonical route</x:v>
      </x:c>
      <x:c r="G486" s="49" t="n">
        <x:f>COUNTIF('Craft Nodes'!$A$5:$A$250,A486)</x:f>
        <x:v>1</x:v>
      </x:c>
      <x:c r="H486" s="49" t="n">
        <x:f>COUNTIF('Craft Nodes'!$A$5:$A$250,B486)</x:f>
        <x:v>1</x:v>
      </x:c>
      <x:c r="I486" s="49" t="str">
        <x:f>IF(AND(G486=1,H486=1),"OK",IF(G486=0,"MISSING FROM","MISSING TO"))</x:f>
        <x:v>OK</x:v>
      </x:c>
    </x:row>
    <x:row r="487">
      <x:c r="A487" s="49" t="str">
        <x:v>A-ANTENNA</x:v>
      </x:c>
      <x:c r="B487" s="49" t="str">
        <x:v>A-TRANSMITTER</x:v>
      </x:c>
      <x:c r="C487" s="49" t="str">
        <x:v>Prerequisite</x:v>
      </x:c>
      <x:c r="D487" s="49" t="str">
        <x:v>Yes</x:v>
      </x:c>
      <x:c r="E487" s="49" t="str"/>
      <x:c r="F487" s="49" t="str">
        <x:v>Required for canonical route</x:v>
      </x:c>
      <x:c r="G487" s="49" t="n">
        <x:f>COUNTIF('Craft Nodes'!$A$5:$A$250,A487)</x:f>
        <x:v>1</x:v>
      </x:c>
      <x:c r="H487" s="49" t="n">
        <x:f>COUNTIF('Craft Nodes'!$A$5:$A$250,B487)</x:f>
        <x:v>1</x:v>
      </x:c>
      <x:c r="I487" s="49" t="str">
        <x:f>IF(AND(G487=1,H487=1),"OK",IF(G487=0,"MISSING FROM","MISSING TO"))</x:f>
        <x:v>OK</x:v>
      </x:c>
    </x:row>
    <x:row r="488">
      <x:c r="A488" s="49" t="str">
        <x:v>A-GRID</x:v>
      </x:c>
      <x:c r="B488" s="49" t="str">
        <x:v>A-TRANSMITTER</x:v>
      </x:c>
      <x:c r="C488" s="49" t="str">
        <x:v>Prerequisite</x:v>
      </x:c>
      <x:c r="D488" s="49" t="str">
        <x:v>Yes</x:v>
      </x:c>
      <x:c r="E488" s="49" t="str"/>
      <x:c r="F488" s="49" t="str">
        <x:v>Required for canonical route</x:v>
      </x:c>
      <x:c r="G488" s="49" t="n">
        <x:f>COUNTIF('Craft Nodes'!$A$5:$A$250,A488)</x:f>
        <x:v>1</x:v>
      </x:c>
      <x:c r="H488" s="49" t="n">
        <x:f>COUNTIF('Craft Nodes'!$A$5:$A$250,B488)</x:f>
        <x:v>1</x:v>
      </x:c>
      <x:c r="I488" s="49" t="str">
        <x:f>IF(AND(G488=1,H488=1),"OK",IF(G488=0,"MISSING FROM","MISSING TO"))</x:f>
        <x:v>OK</x:v>
      </x:c>
    </x:row>
    <x:row r="489">
      <x:c r="A489" s="49" t="str">
        <x:v>W-ARCHIVE</x:v>
      </x:c>
      <x:c r="B489" s="49" t="str">
        <x:v>A-TRANSMITTER</x:v>
      </x:c>
      <x:c r="C489" s="49" t="str">
        <x:v>Workspace</x:v>
      </x:c>
      <x:c r="D489" s="49" t="str">
        <x:v>Yes</x:v>
      </x:c>
      <x:c r="E489" s="49" t="str"/>
      <x:c r="F489" s="49" t="str">
        <x:v>Required for canonical route</x:v>
      </x:c>
      <x:c r="G489" s="49" t="n">
        <x:f>COUNTIF('Craft Nodes'!$A$5:$A$250,A489)</x:f>
        <x:v>1</x:v>
      </x:c>
      <x:c r="H489" s="49" t="n">
        <x:f>COUNTIF('Craft Nodes'!$A$5:$A$250,B489)</x:f>
        <x:v>1</x:v>
      </x:c>
      <x:c r="I489" s="49" t="str">
        <x:f>IF(AND(G489=1,H489=1),"OK",IF(G489=0,"MISSING FROM","MISSING TO"))</x:f>
        <x:v>OK</x:v>
      </x:c>
    </x:row>
    <x:row r="490">
      <x:c r="A490" s="49" t="str">
        <x:v>T-METER</x:v>
      </x:c>
      <x:c r="B490" s="49" t="str">
        <x:v>A-TRANSMITTER</x:v>
      </x:c>
      <x:c r="C490" s="49" t="str">
        <x:v>Tool</x:v>
      </x:c>
      <x:c r="D490" s="49" t="str">
        <x:v>Yes</x:v>
      </x:c>
      <x:c r="E490" s="49" t="str"/>
      <x:c r="F490" s="49" t="str">
        <x:v>Declared embodied tool use</x:v>
      </x:c>
      <x:c r="G490" s="49" t="n">
        <x:f>COUNTIF('Craft Nodes'!$A$5:$A$250,A490)</x:f>
        <x:v>1</x:v>
      </x:c>
      <x:c r="H490" s="49" t="n">
        <x:f>COUNTIF('Craft Nodes'!$A$5:$A$250,B490)</x:f>
        <x:v>1</x:v>
      </x:c>
      <x:c r="I490" s="49" t="str">
        <x:f>IF(AND(G490=1,H490=1),"OK",IF(G490=0,"MISSING FROM","MISSING TO"))</x:f>
        <x:v>OK</x:v>
      </x:c>
    </x:row>
    <x:row r="491">
      <x:c r="A491" s="49" t="str">
        <x:v>A-TRANSMITTER</x:v>
      </x:c>
      <x:c r="B491" s="49" t="str">
        <x:v>A-BEACON</x:v>
      </x:c>
      <x:c r="C491" s="49" t="str">
        <x:v>Prerequisite</x:v>
      </x:c>
      <x:c r="D491" s="49" t="str">
        <x:v>Yes</x:v>
      </x:c>
      <x:c r="E491" s="49" t="str"/>
      <x:c r="F491" s="49" t="str">
        <x:v>Required for canonical route</x:v>
      </x:c>
      <x:c r="G491" s="49" t="n">
        <x:f>COUNTIF('Craft Nodes'!$A$5:$A$250,A491)</x:f>
        <x:v>1</x:v>
      </x:c>
      <x:c r="H491" s="49" t="n">
        <x:f>COUNTIF('Craft Nodes'!$A$5:$A$250,B491)</x:f>
        <x:v>1</x:v>
      </x:c>
      <x:c r="I491" s="49" t="str">
        <x:f>IF(AND(G491=1,H491=1),"OK",IF(G491=0,"MISSING FROM","MISSING TO"))</x:f>
        <x:v>OK</x:v>
      </x:c>
    </x:row>
    <x:row r="492">
      <x:c r="A492" s="49" t="str">
        <x:v>A-BOAT-B3</x:v>
      </x:c>
      <x:c r="B492" s="49" t="str">
        <x:v>A-BEACON</x:v>
      </x:c>
      <x:c r="C492" s="49" t="str">
        <x:v>Prerequisite</x:v>
      </x:c>
      <x:c r="D492" s="49" t="str">
        <x:v>Yes</x:v>
      </x:c>
      <x:c r="E492" s="49" t="str"/>
      <x:c r="F492" s="49" t="str">
        <x:v>Required for canonical route</x:v>
      </x:c>
      <x:c r="G492" s="49" t="n">
        <x:f>COUNTIF('Craft Nodes'!$A$5:$A$250,A492)</x:f>
        <x:v>1</x:v>
      </x:c>
      <x:c r="H492" s="49" t="n">
        <x:f>COUNTIF('Craft Nodes'!$A$5:$A$250,B492)</x:f>
        <x:v>1</x:v>
      </x:c>
      <x:c r="I492" s="49" t="str">
        <x:f>IF(AND(G492=1,H492=1),"OK",IF(G492=0,"MISSING FROM","MISSING TO"))</x:f>
        <x:v>OK</x:v>
      </x:c>
    </x:row>
    <x:row r="493">
      <x:c r="A493" s="49" t="str">
        <x:v>W-ARCHIVE</x:v>
      </x:c>
      <x:c r="B493" s="49" t="str">
        <x:v>A-BEACON</x:v>
      </x:c>
      <x:c r="C493" s="49" t="str">
        <x:v>Workspace</x:v>
      </x:c>
      <x:c r="D493" s="49" t="str">
        <x:v>Yes</x:v>
      </x:c>
      <x:c r="E493" s="49" t="str"/>
      <x:c r="F493" s="49" t="str">
        <x:v>Required for canonical route</x:v>
      </x:c>
      <x:c r="G493" s="49" t="n">
        <x:f>COUNTIF('Craft Nodes'!$A$5:$A$250,A493)</x:f>
        <x:v>1</x:v>
      </x:c>
      <x:c r="H493" s="49" t="n">
        <x:f>COUNTIF('Craft Nodes'!$A$5:$A$250,B493)</x:f>
        <x:v>1</x:v>
      </x:c>
      <x:c r="I493" s="49" t="str">
        <x:f>IF(AND(G493=1,H493=1),"OK",IF(G493=0,"MISSING FROM","MISSING TO"))</x:f>
        <x:v>OK</x:v>
      </x:c>
    </x:row>
    <x:row r="494">
      <x:c r="A494" s="49" t="str">
        <x:v>A-LAMP</x:v>
      </x:c>
      <x:c r="B494" s="49" t="str">
        <x:v>A-BEACON</x:v>
      </x:c>
      <x:c r="C494" s="49" t="str">
        <x:v>Prerequisite</x:v>
      </x:c>
      <x:c r="D494" s="49" t="str">
        <x:v>Yes</x:v>
      </x:c>
      <x:c r="E494" s="49" t="str"/>
      <x:c r="F494" s="49" t="str">
        <x:v>Required for canonical route</x:v>
      </x:c>
      <x:c r="G494" s="49" t="n">
        <x:f>COUNTIF('Craft Nodes'!$A$5:$A$250,A494)</x:f>
        <x:v>1</x:v>
      </x:c>
      <x:c r="H494" s="49" t="n">
        <x:f>COUNTIF('Craft Nodes'!$A$5:$A$250,B494)</x:f>
        <x:v>1</x:v>
      </x:c>
      <x:c r="I494" s="49" t="str">
        <x:f>IF(AND(G494=1,H494=1),"OK",IF(G494=0,"MISSING FROM","MISSING TO"))</x:f>
        <x:v>OK</x:v>
      </x:c>
    </x:row>
    <x:row r="495">
      <x:c r="A495" s="49" t="str">
        <x:v>T-METER</x:v>
      </x:c>
      <x:c r="B495" s="49" t="str">
        <x:v>A-BEACON</x:v>
      </x:c>
      <x:c r="C495" s="49" t="str">
        <x:v>Tool</x:v>
      </x:c>
      <x:c r="D495" s="49" t="str">
        <x:v>Yes</x:v>
      </x:c>
      <x:c r="E495" s="49" t="str"/>
      <x:c r="F495" s="49" t="str">
        <x:v>Declared embodied tool use</x:v>
      </x:c>
      <x:c r="G495" s="49" t="n">
        <x:f>COUNTIF('Craft Nodes'!$A$5:$A$250,A495)</x:f>
        <x:v>1</x:v>
      </x:c>
      <x:c r="H495" s="49" t="n">
        <x:f>COUNTIF('Craft Nodes'!$A$5:$A$250,B495)</x:f>
        <x:v>1</x:v>
      </x:c>
      <x:c r="I495" s="49" t="str">
        <x:f>IF(AND(G495=1,H495=1),"OK",IF(G495=0,"MISSING FROM","MISSING TO"))</x:f>
        <x:v>OK</x:v>
      </x:c>
    </x:row>
    <x:row r="496">
      <x:c r="A496" s="49" t="str">
        <x:v>A-BOAT-SAIL</x:v>
      </x:c>
      <x:c r="B496" s="49" t="str">
        <x:v>A-RETURN-CRAFT</x:v>
      </x:c>
      <x:c r="C496" s="49" t="str">
        <x:v>Prerequisite</x:v>
      </x:c>
      <x:c r="D496" s="49" t="str">
        <x:v>Yes</x:v>
      </x:c>
      <x:c r="E496" s="49" t="str"/>
      <x:c r="F496" s="49" t="str">
        <x:v>Required for canonical route</x:v>
      </x:c>
      <x:c r="G496" s="49" t="n">
        <x:f>COUNTIF('Craft Nodes'!$A$5:$A$250,A496)</x:f>
        <x:v>1</x:v>
      </x:c>
      <x:c r="H496" s="49" t="n">
        <x:f>COUNTIF('Craft Nodes'!$A$5:$A$250,B496)</x:f>
        <x:v>1</x:v>
      </x:c>
      <x:c r="I496" s="49" t="str">
        <x:f>IF(AND(G496=1,H496=1),"OK",IF(G496=0,"MISSING FROM","MISSING TO"))</x:f>
        <x:v>OK</x:v>
      </x:c>
    </x:row>
    <x:row r="497">
      <x:c r="A497" s="49" t="str">
        <x:v>A-BOAT-POWER</x:v>
      </x:c>
      <x:c r="B497" s="49" t="str">
        <x:v>A-RETURN-CRAFT</x:v>
      </x:c>
      <x:c r="C497" s="49" t="str">
        <x:v>Prerequisite</x:v>
      </x:c>
      <x:c r="D497" s="49" t="str">
        <x:v>Yes</x:v>
      </x:c>
      <x:c r="E497" s="49" t="str"/>
      <x:c r="F497" s="49" t="str">
        <x:v>Required for canonical route</x:v>
      </x:c>
      <x:c r="G497" s="49" t="n">
        <x:f>COUNTIF('Craft Nodes'!$A$5:$A$250,A497)</x:f>
        <x:v>1</x:v>
      </x:c>
      <x:c r="H497" s="49" t="n">
        <x:f>COUNTIF('Craft Nodes'!$A$5:$A$250,B497)</x:f>
        <x:v>1</x:v>
      </x:c>
      <x:c r="I497" s="49" t="str">
        <x:f>IF(AND(G497=1,H497=1),"OK",IF(G497=0,"MISSING FROM","MISSING TO"))</x:f>
        <x:v>OK</x:v>
      </x:c>
    </x:row>
    <x:row r="498">
      <x:c r="A498" s="49" t="str">
        <x:v>A-FOOD-STORE</x:v>
      </x:c>
      <x:c r="B498" s="49" t="str">
        <x:v>A-RETURN-CRAFT</x:v>
      </x:c>
      <x:c r="C498" s="49" t="str">
        <x:v>Prerequisite</x:v>
      </x:c>
      <x:c r="D498" s="49" t="str">
        <x:v>Yes</x:v>
      </x:c>
      <x:c r="E498" s="49" t="str"/>
      <x:c r="F498" s="49" t="str">
        <x:v>Required for canonical route</x:v>
      </x:c>
      <x:c r="G498" s="49" t="n">
        <x:f>COUNTIF('Craft Nodes'!$A$5:$A$250,A498)</x:f>
        <x:v>1</x:v>
      </x:c>
      <x:c r="H498" s="49" t="n">
        <x:f>COUNTIF('Craft Nodes'!$A$5:$A$250,B498)</x:f>
        <x:v>1</x:v>
      </x:c>
      <x:c r="I498" s="49" t="str">
        <x:f>IF(AND(G498=1,H498=1),"OK",IF(G498=0,"MISSING FROM","MISSING TO"))</x:f>
        <x:v>OK</x:v>
      </x:c>
    </x:row>
    <x:row r="499">
      <x:c r="A499" s="49" t="str">
        <x:v>A-CISTERN</x:v>
      </x:c>
      <x:c r="B499" s="49" t="str">
        <x:v>A-RETURN-CRAFT</x:v>
      </x:c>
      <x:c r="C499" s="49" t="str">
        <x:v>Prerequisite</x:v>
      </x:c>
      <x:c r="D499" s="49" t="str">
        <x:v>Yes</x:v>
      </x:c>
      <x:c r="E499" s="49" t="str"/>
      <x:c r="F499" s="49" t="str">
        <x:v>Required for canonical route</x:v>
      </x:c>
      <x:c r="G499" s="49" t="n">
        <x:f>COUNTIF('Craft Nodes'!$A$5:$A$250,A499)</x:f>
        <x:v>1</x:v>
      </x:c>
      <x:c r="H499" s="49" t="n">
        <x:f>COUNTIF('Craft Nodes'!$A$5:$A$250,B499)</x:f>
        <x:v>1</x:v>
      </x:c>
      <x:c r="I499" s="49" t="str">
        <x:f>IF(AND(G499=1,H499=1),"OK",IF(G499=0,"MISSING FROM","MISSING TO"))</x:f>
        <x:v>OK</x:v>
      </x:c>
    </x:row>
    <x:row r="500">
      <x:c r="A500" s="49" t="str">
        <x:v>W-ARCHIVE</x:v>
      </x:c>
      <x:c r="B500" s="49" t="str">
        <x:v>A-RETURN-CRAFT</x:v>
      </x:c>
      <x:c r="C500" s="49" t="str">
        <x:v>Workspace</x:v>
      </x:c>
      <x:c r="D500" s="49" t="str">
        <x:v>Yes</x:v>
      </x:c>
      <x:c r="E500" s="49" t="str"/>
      <x:c r="F500" s="49" t="str">
        <x:v>Required for canonical route</x:v>
      </x:c>
      <x:c r="G500" s="49" t="n">
        <x:f>COUNTIF('Craft Nodes'!$A$5:$A$250,A500)</x:f>
        <x:v>1</x:v>
      </x:c>
      <x:c r="H500" s="49" t="n">
        <x:f>COUNTIF('Craft Nodes'!$A$5:$A$250,B500)</x:f>
        <x:v>1</x:v>
      </x:c>
      <x:c r="I500" s="49" t="str">
        <x:f>IF(AND(G500=1,H500=1),"OK",IF(G500=0,"MISSING FROM","MISSING TO"))</x:f>
        <x:v>OK</x:v>
      </x:c>
    </x:row>
    <x:row r="501">
      <x:c r="A501" s="49" t="str">
        <x:v>W-BOATYARD</x:v>
      </x:c>
      <x:c r="B501" s="49" t="str">
        <x:v>A-RETURN-CRAFT</x:v>
      </x:c>
      <x:c r="C501" s="49" t="str">
        <x:v>Workspace</x:v>
      </x:c>
      <x:c r="D501" s="49" t="str">
        <x:v>Yes</x:v>
      </x:c>
      <x:c r="E501" s="49" t="str"/>
      <x:c r="F501" s="49" t="str">
        <x:v>Declared worksite dependency</x:v>
      </x:c>
      <x:c r="G501" s="49" t="n">
        <x:f>COUNTIF('Craft Nodes'!$A$5:$A$250,A501)</x:f>
        <x:v>1</x:v>
      </x:c>
      <x:c r="H501" s="49" t="n">
        <x:f>COUNTIF('Craft Nodes'!$A$5:$A$250,B501)</x:f>
        <x:v>1</x:v>
      </x:c>
      <x:c r="I501" s="49" t="str">
        <x:f>IF(AND(G501=1,H501=1),"OK",IF(G501=0,"MISSING FROM","MISSING TO"))</x:f>
        <x:v>OK</x:v>
      </x:c>
    </x:row>
    <x:row r="502">
      <x:c r="A502" s="49" t="str">
        <x:v>A-REFUGE</x:v>
      </x:c>
      <x:c r="B502" s="49" t="str">
        <x:v>A-ARRIVAL</x:v>
      </x:c>
      <x:c r="C502" s="49" t="str">
        <x:v>Prerequisite</x:v>
      </x:c>
      <x:c r="D502" s="49" t="str">
        <x:v>Yes</x:v>
      </x:c>
      <x:c r="E502" s="49" t="str"/>
      <x:c r="F502" s="49" t="str">
        <x:v>Required for canonical route</x:v>
      </x:c>
      <x:c r="G502" s="49" t="n">
        <x:f>COUNTIF('Craft Nodes'!$A$5:$A$250,A502)</x:f>
        <x:v>1</x:v>
      </x:c>
      <x:c r="H502" s="49" t="n">
        <x:f>COUNTIF('Craft Nodes'!$A$5:$A$250,B502)</x:f>
        <x:v>1</x:v>
      </x:c>
      <x:c r="I502" s="49" t="str">
        <x:f>IF(AND(G502=1,H502=1),"OK",IF(G502=0,"MISSING FROM","MISSING TO"))</x:f>
        <x:v>OK</x:v>
      </x:c>
    </x:row>
    <x:row r="503">
      <x:c r="A503" s="49" t="str">
        <x:v>C-COVERED-STORE</x:v>
      </x:c>
      <x:c r="B503" s="49" t="str">
        <x:v>A-ARRIVAL</x:v>
      </x:c>
      <x:c r="C503" s="49" t="str">
        <x:v>Prerequisite</x:v>
      </x:c>
      <x:c r="D503" s="49" t="str">
        <x:v>Yes</x:v>
      </x:c>
      <x:c r="E503" s="49" t="str"/>
      <x:c r="F503" s="49" t="str">
        <x:v>Required for canonical route</x:v>
      </x:c>
      <x:c r="G503" s="49" t="n">
        <x:f>COUNTIF('Craft Nodes'!$A$5:$A$250,A503)</x:f>
        <x:v>1</x:v>
      </x:c>
      <x:c r="H503" s="49" t="n">
        <x:f>COUNTIF('Craft Nodes'!$A$5:$A$250,B503)</x:f>
        <x:v>1</x:v>
      </x:c>
      <x:c r="I503" s="49" t="str">
        <x:f>IF(AND(G503=1,H503=1),"OK",IF(G503=0,"MISSING FROM","MISSING TO"))</x:f>
        <x:v>OK</x:v>
      </x:c>
    </x:row>
    <x:row r="504">
      <x:c r="A504" s="49" t="str">
        <x:v>A-FOOD-STORE</x:v>
      </x:c>
      <x:c r="B504" s="49" t="str">
        <x:v>A-ARRIVAL</x:v>
      </x:c>
      <x:c r="C504" s="49" t="str">
        <x:v>Prerequisite</x:v>
      </x:c>
      <x:c r="D504" s="49" t="str">
        <x:v>Yes</x:v>
      </x:c>
      <x:c r="E504" s="49" t="str"/>
      <x:c r="F504" s="49" t="str">
        <x:v>Required for canonical route</x:v>
      </x:c>
      <x:c r="G504" s="49" t="n">
        <x:f>COUNTIF('Craft Nodes'!$A$5:$A$250,A504)</x:f>
        <x:v>1</x:v>
      </x:c>
      <x:c r="H504" s="49" t="n">
        <x:f>COUNTIF('Craft Nodes'!$A$5:$A$250,B504)</x:f>
        <x:v>1</x:v>
      </x:c>
      <x:c r="I504" s="49" t="str">
        <x:f>IF(AND(G504=1,H504=1),"OK",IF(G504=0,"MISSING FROM","MISSING TO"))</x:f>
        <x:v>OK</x:v>
      </x:c>
    </x:row>
    <x:row r="505">
      <x:c r="A505" s="49" t="str">
        <x:v>W-CLEAN</x:v>
      </x:c>
      <x:c r="B505" s="49" t="str">
        <x:v>A-ARRIVAL</x:v>
      </x:c>
      <x:c r="C505" s="49" t="str">
        <x:v>Workspace</x:v>
      </x:c>
      <x:c r="D505" s="49" t="str">
        <x:v>Yes</x:v>
      </x:c>
      <x:c r="E505" s="49" t="str"/>
      <x:c r="F505" s="49" t="str">
        <x:v>Required for canonical route</x:v>
      </x:c>
      <x:c r="G505" s="49" t="n">
        <x:f>COUNTIF('Craft Nodes'!$A$5:$A$250,A505)</x:f>
        <x:v>1</x:v>
      </x:c>
      <x:c r="H505" s="49" t="n">
        <x:f>COUNTIF('Craft Nodes'!$A$5:$A$250,B505)</x:f>
        <x:v>1</x:v>
      </x:c>
      <x:c r="I505" s="49" t="str">
        <x:f>IF(AND(G505=1,H505=1),"OK",IF(G505=0,"MISSING FROM","MISSING TO"))</x:f>
        <x:v>OK</x:v>
      </x:c>
    </x:row>
    <x:row r="506">
      <x:c r="A506" s="49" t="str">
        <x:v>W-ARCHIVE</x:v>
      </x:c>
      <x:c r="B506" s="49" t="str">
        <x:v>A-ARRIVAL</x:v>
      </x:c>
      <x:c r="C506" s="49" t="str">
        <x:v>Workspace</x:v>
      </x:c>
      <x:c r="D506" s="49" t="str">
        <x:v>Yes</x:v>
      </x:c>
      <x:c r="E506" s="49" t="str"/>
      <x:c r="F506" s="49" t="str">
        <x:v>Required for canonical route</x:v>
      </x:c>
      <x:c r="G506" s="49" t="n">
        <x:f>COUNTIF('Craft Nodes'!$A$5:$A$250,A506)</x:f>
        <x:v>1</x:v>
      </x:c>
      <x:c r="H506" s="49" t="n">
        <x:f>COUNTIF('Craft Nodes'!$A$5:$A$250,B506)</x:f>
        <x:v>1</x:v>
      </x:c>
      <x:c r="I506" s="49" t="str">
        <x:f>IF(AND(G506=1,H506=1),"OK",IF(G506=0,"MISSING FROM","MISSING TO"))</x:f>
        <x:v>OK</x:v>
      </x:c>
    </x:row>
    <x:row r="507">
      <x:c r="A507" s="49" t="str">
        <x:v>S-ANOMALY</x:v>
      </x:c>
      <x:c r="B507" s="49" t="str">
        <x:v>A-TRIANGLE</x:v>
      </x:c>
      <x:c r="C507" s="49" t="str">
        <x:v>Prerequisite</x:v>
      </x:c>
      <x:c r="D507" s="49" t="str">
        <x:v>Yes</x:v>
      </x:c>
      <x:c r="E507" s="49" t="str"/>
      <x:c r="F507" s="49" t="str">
        <x:v>Required for canonical route</x:v>
      </x:c>
      <x:c r="G507" s="49" t="n">
        <x:f>COUNTIF('Craft Nodes'!$A$5:$A$250,A507)</x:f>
        <x:v>1</x:v>
      </x:c>
      <x:c r="H507" s="49" t="n">
        <x:f>COUNTIF('Craft Nodes'!$A$5:$A$250,B507)</x:f>
        <x:v>1</x:v>
      </x:c>
      <x:c r="I507" s="49" t="str">
        <x:f>IF(AND(G507=1,H507=1),"OK",IF(G507=0,"MISSING FROM","MISSING TO"))</x:f>
        <x:v>OK</x:v>
      </x:c>
    </x:row>
    <x:row r="508">
      <x:c r="A508" s="49" t="str">
        <x:v>A-GRID</x:v>
      </x:c>
      <x:c r="B508" s="49" t="str">
        <x:v>A-TRIANGLE</x:v>
      </x:c>
      <x:c r="C508" s="49" t="str">
        <x:v>Prerequisite</x:v>
      </x:c>
      <x:c r="D508" s="49" t="str">
        <x:v>Yes</x:v>
      </x:c>
      <x:c r="E508" s="49" t="str"/>
      <x:c r="F508" s="49" t="str">
        <x:v>Required for canonical route</x:v>
      </x:c>
      <x:c r="G508" s="49" t="n">
        <x:f>COUNTIF('Craft Nodes'!$A$5:$A$250,A508)</x:f>
        <x:v>1</x:v>
      </x:c>
      <x:c r="H508" s="49" t="n">
        <x:f>COUNTIF('Craft Nodes'!$A$5:$A$250,B508)</x:f>
        <x:v>1</x:v>
      </x:c>
      <x:c r="I508" s="49" t="str">
        <x:f>IF(AND(G508=1,H508=1),"OK",IF(G508=0,"MISSING FROM","MISSING TO"))</x:f>
        <x:v>OK</x:v>
      </x:c>
    </x:row>
    <x:row r="509">
      <x:c r="A509" s="49" t="str">
        <x:v>A-TRANSMITTER</x:v>
      </x:c>
      <x:c r="B509" s="49" t="str">
        <x:v>A-TRIANGLE</x:v>
      </x:c>
      <x:c r="C509" s="49" t="str">
        <x:v>Prerequisite</x:v>
      </x:c>
      <x:c r="D509" s="49" t="str">
        <x:v>Yes</x:v>
      </x:c>
      <x:c r="E509" s="49" t="str"/>
      <x:c r="F509" s="49" t="str">
        <x:v>Required for canonical route</x:v>
      </x:c>
      <x:c r="G509" s="49" t="n">
        <x:f>COUNTIF('Craft Nodes'!$A$5:$A$250,A509)</x:f>
        <x:v>1</x:v>
      </x:c>
      <x:c r="H509" s="49" t="n">
        <x:f>COUNTIF('Craft Nodes'!$A$5:$A$250,B509)</x:f>
        <x:v>1</x:v>
      </x:c>
      <x:c r="I509" s="49" t="str">
        <x:f>IF(AND(G509=1,H509=1),"OK",IF(G509=0,"MISSING FROM","MISSING TO"))</x:f>
        <x:v>OK</x:v>
      </x:c>
    </x:row>
    <x:row r="510">
      <x:c r="A510" s="49" t="str">
        <x:v>W-ARCHIVE</x:v>
      </x:c>
      <x:c r="B510" s="49" t="str">
        <x:v>A-TRIANGLE</x:v>
      </x:c>
      <x:c r="C510" s="49" t="str">
        <x:v>Workspace</x:v>
      </x:c>
      <x:c r="D510" s="49" t="str">
        <x:v>Yes</x:v>
      </x:c>
      <x:c r="E510" s="49" t="str"/>
      <x:c r="F510" s="49" t="str">
        <x:v>Required for canonical route</x:v>
      </x:c>
      <x:c r="G510" s="49" t="n">
        <x:f>COUNTIF('Craft Nodes'!$A$5:$A$250,A510)</x:f>
        <x:v>1</x:v>
      </x:c>
      <x:c r="H510" s="49" t="n">
        <x:f>COUNTIF('Craft Nodes'!$A$5:$A$250,B510)</x:f>
        <x:v>1</x:v>
      </x:c>
      <x:c r="I510" s="49" t="str">
        <x:f>IF(AND(G510=1,H510=1),"OK",IF(G510=0,"MISSING FROM","MISSING TO"))</x:f>
        <x:v>OK</x:v>
      </x:c>
    </x:row>
    <x:row r="511">
      <x:c r="A511" s="49" t="str">
        <x:v>T-METER</x:v>
      </x:c>
      <x:c r="B511" s="49" t="str">
        <x:v>A-TRIANGLE</x:v>
      </x:c>
      <x:c r="C511" s="49" t="str">
        <x:v>Tool</x:v>
      </x:c>
      <x:c r="D511" s="49" t="str">
        <x:v>Yes</x:v>
      </x:c>
      <x:c r="E511" s="49" t="str"/>
      <x:c r="F511" s="49" t="str">
        <x:v>Declared embodied tool use</x:v>
      </x:c>
      <x:c r="G511" s="49" t="n">
        <x:f>COUNTIF('Craft Nodes'!$A$5:$A$250,A511)</x:f>
        <x:v>1</x:v>
      </x:c>
      <x:c r="H511" s="49" t="n">
        <x:f>COUNTIF('Craft Nodes'!$A$5:$A$250,B511)</x:f>
        <x:v>1</x:v>
      </x:c>
      <x:c r="I511" s="49" t="str">
        <x:f>IF(AND(G511=1,H511=1),"OK",IF(G511=0,"MISSING FROM","MISSING TO"))</x:f>
        <x:v>OK</x:v>
      </x:c>
    </x:row>
    <x:row r="512">
      <x:c r="A512" s="49" t="str">
        <x:v>S-RAIN</x:v>
      </x:c>
      <x:c r="B512" s="49" t="str">
        <x:v>P-CLEAN-WATER</x:v>
      </x:c>
      <x:c r="C512" s="49" t="str">
        <x:v>Alternate feed</x:v>
      </x:c>
      <x:c r="D512" s="49" t="str">
        <x:v>No</x:v>
      </x:c>
      <x:c r="E512" s="49" t="str">
        <x:v>freshwater-source</x:v>
      </x:c>
      <x:c r="F512" s="49" t="str">
        <x:v>Rain still needs clean catchment and protected handling</x:v>
      </x:c>
      <x:c r="G512" s="49" t="n">
        <x:f>COUNTIF('Craft Nodes'!$A$5:$A$250,A512)</x:f>
        <x:v>1</x:v>
      </x:c>
      <x:c r="H512" s="49" t="n">
        <x:f>COUNTIF('Craft Nodes'!$A$5:$A$250,B512)</x:f>
        <x:v>1</x:v>
      </x:c>
      <x:c r="I512" s="49" t="str">
        <x:f>IF(AND(G512=1,H512=1),"OK",IF(G512=0,"MISSING FROM","MISSING TO"))</x:f>
        <x:v>OK</x:v>
      </x:c>
    </x:row>
    <x:row r="513">
      <x:c r="A513" s="49" t="str">
        <x:v>S-SPRING</x:v>
      </x:c>
      <x:c r="B513" s="49" t="str">
        <x:v>P-CLEAN-WATER</x:v>
      </x:c>
      <x:c r="C513" s="49" t="str">
        <x:v>Alternate feed</x:v>
      </x:c>
      <x:c r="D513" s="49" t="str">
        <x:v>No</x:v>
      </x:c>
      <x:c r="E513" s="49" t="str">
        <x:v>freshwater-source</x:v>
      </x:c>
      <x:c r="F513" s="49" t="str">
        <x:v>Source appearance is not proof of safety</x:v>
      </x:c>
      <x:c r="G513" s="49" t="n">
        <x:f>COUNTIF('Craft Nodes'!$A$5:$A$250,A513)</x:f>
        <x:v>1</x:v>
      </x:c>
      <x:c r="H513" s="49" t="n">
        <x:f>COUNTIF('Craft Nodes'!$A$5:$A$250,B513)</x:f>
        <x:v>1</x:v>
      </x:c>
      <x:c r="I513" s="49" t="str">
        <x:f>IF(AND(G513=1,H513=1),"OK",IF(G513=0,"MISSING FROM","MISSING TO"))</x:f>
        <x:v>OK</x:v>
      </x:c>
    </x:row>
    <x:row r="514">
      <x:c r="A514" s="49" t="str">
        <x:v>S-STREAM</x:v>
      </x:c>
      <x:c r="B514" s="49" t="str">
        <x:v>P-CLEAN-WATER</x:v>
      </x:c>
      <x:c r="C514" s="49" t="str">
        <x:v>Alternate feed</x:v>
      </x:c>
      <x:c r="D514" s="49" t="str">
        <x:v>No</x:v>
      </x:c>
      <x:c r="E514" s="49" t="str">
        <x:v>freshwater-source</x:v>
      </x:c>
      <x:c r="F514" s="49" t="str">
        <x:v>Weather and upstream activity change risk</x:v>
      </x:c>
      <x:c r="G514" s="49" t="n">
        <x:f>COUNTIF('Craft Nodes'!$A$5:$A$250,A514)</x:f>
        <x:v>1</x:v>
      </x:c>
      <x:c r="H514" s="49" t="n">
        <x:f>COUNTIF('Craft Nodes'!$A$5:$A$250,B514)</x:f>
        <x:v>1</x:v>
      </x:c>
      <x:c r="I514" s="49" t="str">
        <x:f>IF(AND(G514=1,H514=1),"OK",IF(G514=0,"MISSING FROM","MISSING TO"))</x:f>
        <x:v>OK</x:v>
      </x:c>
    </x:row>
    <x:row r="515">
      <x:c r="A515" s="49" t="str">
        <x:v>S-SEA</x:v>
      </x:c>
      <x:c r="B515" s="49" t="str">
        <x:v>A-DISTILLER</x:v>
      </x:c>
      <x:c r="C515" s="49" t="str">
        <x:v>Feed</x:v>
      </x:c>
      <x:c r="D515" s="49" t="str">
        <x:v>Yes</x:v>
      </x:c>
      <x:c r="E515" s="49" t="str">
        <x:v>saline-source</x:v>
      </x:c>
      <x:c r="F515" s="49" t="str">
        <x:v>Salt requires separation, not boiling alone</x:v>
      </x:c>
      <x:c r="G515" s="49" t="n">
        <x:f>COUNTIF('Craft Nodes'!$A$5:$A$250,A515)</x:f>
        <x:v>1</x:v>
      </x:c>
      <x:c r="H515" s="49" t="n">
        <x:f>COUNTIF('Craft Nodes'!$A$5:$A$250,B515)</x:f>
        <x:v>1</x:v>
      </x:c>
      <x:c r="I515" s="49" t="str">
        <x:f>IF(AND(G515=1,H515=1),"OK",IF(G515=0,"MISSING FROM","MISSING TO"))</x:f>
        <x:v>OK</x:v>
      </x:c>
    </x:row>
    <x:row r="516">
      <x:c r="A516" s="49" t="str">
        <x:v>S-PLANT-MED</x:v>
      </x:c>
      <x:c r="B516" s="49" t="str">
        <x:v>W-CLINIC</x:v>
      </x:c>
      <x:c r="C516" s="49" t="str">
        <x:v>Candidate input</x:v>
      </x:c>
      <x:c r="D516" s="49" t="str">
        <x:v>No</x:v>
      </x:c>
      <x:c r="E516" s="49" t="str">
        <x:v>care-option</x:v>
      </x:c>
      <x:c r="F516" s="49" t="str">
        <x:v>Requires identity, dose, contraindication and outcome evidence</x:v>
      </x:c>
      <x:c r="G516" s="49" t="n">
        <x:f>COUNTIF('Craft Nodes'!$A$5:$A$250,A516)</x:f>
        <x:v>1</x:v>
      </x:c>
      <x:c r="H516" s="49" t="n">
        <x:f>COUNTIF('Craft Nodes'!$A$5:$A$250,B516)</x:f>
        <x:v>1</x:v>
      </x:c>
      <x:c r="I516" s="49" t="str">
        <x:f>IF(AND(G516=1,H516=1),"OK",IF(G516=0,"MISSING FROM","MISSING TO"))</x:f>
        <x:v>OK</x:v>
      </x:c>
    </x:row>
    <x:row r="517">
      <x:c r="A517" s="49" t="str">
        <x:v>S-FOUND-ROPE</x:v>
      </x:c>
      <x:c r="B517" s="49" t="str">
        <x:v>P-CORD</x:v>
      </x:c>
      <x:c r="C517" s="49" t="str">
        <x:v>Substitute</x:v>
      </x:c>
      <x:c r="D517" s="49" t="str">
        <x:v>No</x:v>
      </x:c>
      <x:c r="E517" s="49" t="str">
        <x:v>cordage</x:v>
      </x:c>
      <x:c r="F517" s="49" t="str">
        <x:v>Must be condition- and load-qualified</x:v>
      </x:c>
      <x:c r="G517" s="49" t="n">
        <x:f>COUNTIF('Craft Nodes'!$A$5:$A$250,A517)</x:f>
        <x:v>1</x:v>
      </x:c>
      <x:c r="H517" s="49" t="n">
        <x:f>COUNTIF('Craft Nodes'!$A$5:$A$250,B517)</x:f>
        <x:v>1</x:v>
      </x:c>
      <x:c r="I517" s="49" t="str">
        <x:f>IF(AND(G517=1,H517=1),"OK",IF(G517=0,"MISSING FROM","MISSING TO"))</x:f>
        <x:v>OK</x:v>
      </x:c>
    </x:row>
    <x:row r="518">
      <x:c r="A518" s="49" t="str">
        <x:v>S-FOUND-ROPE</x:v>
      </x:c>
      <x:c r="B518" s="49" t="str">
        <x:v>P-ROPE</x:v>
      </x:c>
      <x:c r="C518" s="49" t="str">
        <x:v>Substitute</x:v>
      </x:c>
      <x:c r="D518" s="49" t="str">
        <x:v>No</x:v>
      </x:c>
      <x:c r="E518" s="49" t="str">
        <x:v>rope</x:v>
      </x:c>
      <x:c r="F518" s="49" t="str">
        <x:v>Must be condition- and load-qualified</x:v>
      </x:c>
      <x:c r="G518" s="49" t="n">
        <x:f>COUNTIF('Craft Nodes'!$A$5:$A$250,A518)</x:f>
        <x:v>1</x:v>
      </x:c>
      <x:c r="H518" s="49" t="n">
        <x:f>COUNTIF('Craft Nodes'!$A$5:$A$250,B518)</x:f>
        <x:v>1</x:v>
      </x:c>
      <x:c r="I518" s="49" t="str">
        <x:f>IF(AND(G518=1,H518=1),"OK",IF(G518=0,"MISSING FROM","MISSING TO"))</x:f>
        <x:v>OK</x:v>
      </x:c>
    </x:row>
    <x:row r="519">
      <x:c r="A519" s="49" t="str">
        <x:v>S-MEDICAL</x:v>
      </x:c>
      <x:c r="B519" s="49" t="str">
        <x:v>W-CLINIC</x:v>
      </x:c>
      <x:c r="C519" s="49" t="str">
        <x:v>Care stock</x:v>
      </x:c>
      <x:c r="D519" s="49" t="str">
        <x:v>No</x:v>
      </x:c>
      <x:c r="E519" s="49" t="str">
        <x:v>care-option</x:v>
      </x:c>
      <x:c r="F519" s="49" t="str">
        <x:v>Sealed, identified, in-date evidence required</x:v>
      </x:c>
      <x:c r="G519" s="49" t="n">
        <x:f>COUNTIF('Craft Nodes'!$A$5:$A$250,A519)</x:f>
        <x:v>1</x:v>
      </x:c>
      <x:c r="H519" s="49" t="n">
        <x:f>COUNTIF('Craft Nodes'!$A$5:$A$250,B519)</x:f>
        <x:v>1</x:v>
      </x:c>
      <x:c r="I519" s="49" t="str">
        <x:f>IF(AND(G519=1,H519=1),"OK",IF(G519=0,"MISSING FROM","MISSING TO"))</x:f>
        <x:v>OK</x:v>
      </x:c>
    </x:row>
    <x:row r="520">
      <x:c r="A520" s="49" t="str">
        <x:v>S-MEDICAL</x:v>
      </x:c>
      <x:c r="B520" s="49" t="str">
        <x:v>P-ORS</x:v>
      </x:c>
      <x:c r="C520" s="49" t="str">
        <x:v>Substitute</x:v>
      </x:c>
      <x:c r="D520" s="49" t="str">
        <x:v>No</x:v>
      </x:c>
      <x:c r="E520" s="49" t="str">
        <x:v>rehydration</x:v>
      </x:c>
      <x:c r="F520" s="49" t="str">
        <x:v>Only a correctly identified rehydration product substitutes</x:v>
      </x:c>
      <x:c r="G520" s="49" t="n">
        <x:f>COUNTIF('Craft Nodes'!$A$5:$A$250,A520)</x:f>
        <x:v>1</x:v>
      </x:c>
      <x:c r="H520" s="49" t="n">
        <x:f>COUNTIF('Craft Nodes'!$A$5:$A$250,B520)</x:f>
        <x:v>1</x:v>
      </x:c>
      <x:c r="I520" s="49" t="str">
        <x:f>IF(AND(G520=1,H520=1),"OK",IF(G520=0,"MISSING FROM","MISSING TO"))</x:f>
        <x:v>OK</x:v>
      </x:c>
    </x:row>
    <x:row r="521">
      <x:c r="A521" s="49" t="str">
        <x:v>P-ORS</x:v>
      </x:c>
      <x:c r="B521" s="49" t="str">
        <x:v>W-CLINIC</x:v>
      </x:c>
      <x:c r="C521" s="49" t="str">
        <x:v>Care input</x:v>
      </x:c>
      <x:c r="D521" s="49" t="str">
        <x:v>No</x:v>
      </x:c>
      <x:c r="E521" s="49" t="str">
        <x:v>rehydration</x:v>
      </x:c>
      <x:c r="F521" s="49" t="str">
        <x:v>Supportive rehydration; not a universal cure</x:v>
      </x:c>
      <x:c r="G521" s="49" t="n">
        <x:f>COUNTIF('Craft Nodes'!$A$5:$A$250,A521)</x:f>
        <x:v>1</x:v>
      </x:c>
      <x:c r="H521" s="49" t="n">
        <x:f>COUNTIF('Craft Nodes'!$A$5:$A$250,B521)</x:f>
        <x:v>1</x:v>
      </x:c>
      <x:c r="I521" s="49" t="str">
        <x:f>IF(AND(G521=1,H521=1),"OK",IF(G521=0,"MISSING FROM","MISSING TO"))</x:f>
        <x:v>OK</x:v>
      </x:c>
    </x:row>
    <x:row r="522">
      <x:c r="A522" s="49" t="str">
        <x:v>T-CHISEL</x:v>
      </x:c>
      <x:c r="B522" s="49" t="str">
        <x:v>P-PLANK</x:v>
      </x:c>
      <x:c r="C522" s="49" t="str">
        <x:v>Alternate tool</x:v>
      </x:c>
      <x:c r="D522" s="49" t="str">
        <x:v>No</x:v>
      </x:c>
      <x:c r="E522" s="49" t="str">
        <x:v>timber-shaping</x:v>
      </x:c>
      <x:c r="F522" s="49" t="str">
        <x:v>Wedge/hewing route when material and technique allow</x:v>
      </x:c>
      <x:c r="G522" s="49" t="n">
        <x:f>COUNTIF('Craft Nodes'!$A$5:$A$250,A522)</x:f>
        <x:v>1</x:v>
      </x:c>
      <x:c r="H522" s="49" t="n">
        <x:f>COUNTIF('Craft Nodes'!$A$5:$A$250,B522)</x:f>
        <x:v>1</x:v>
      </x:c>
      <x:c r="I522" s="49" t="str">
        <x:f>IF(AND(G522=1,H522=1),"OK",IF(G522=0,"MISSING FROM","MISSING TO"))</x:f>
        <x:v>OK</x:v>
      </x:c>
    </x:row>
    <x:row r="523">
      <x:c r="A523" s="49" t="str">
        <x:v>T-BOW-DRILL</x:v>
      </x:c>
      <x:c r="B523" s="49" t="str">
        <x:v>W-HEARTH</x:v>
      </x:c>
      <x:c r="C523" s="49" t="str">
        <x:v>Ignition tool</x:v>
      </x:c>
      <x:c r="D523" s="49" t="str">
        <x:v>No</x:v>
      </x:c>
      <x:c r="E523" s="49" t="str">
        <x:v>fire-start</x:v>
      </x:c>
      <x:c r="F523" s="49" t="str">
        <x:v>Embodied ignition route with dry suitable materials</x:v>
      </x:c>
      <x:c r="G523" s="49" t="n">
        <x:f>COUNTIF('Craft Nodes'!$A$5:$A$250,A523)</x:f>
        <x:v>1</x:v>
      </x:c>
      <x:c r="H523" s="49" t="n">
        <x:f>COUNTIF('Craft Nodes'!$A$5:$A$250,B523)</x:f>
        <x:v>1</x:v>
      </x:c>
      <x:c r="I523" s="49" t="str">
        <x:f>IF(AND(G523=1,H523=1),"OK",IF(G523=0,"MISSING FROM","MISSING TO"))</x:f>
        <x:v>OK</x:v>
      </x:c>
    </x:row>
    <x:row r="524">
      <x:c r="A524" s="49" t="str">
        <x:v>C-COCONUT-BOILER</x:v>
      </x:c>
      <x:c r="B524" s="49" t="str">
        <x:v>P-CLEAN-WATER</x:v>
      </x:c>
      <x:c r="C524" s="49" t="str">
        <x:v>Vessel route</x:v>
      </x:c>
      <x:c r="D524" s="49" t="str">
        <x:v>No</x:v>
      </x:c>
      <x:c r="E524" s="49" t="str">
        <x:v>boiling-vessel</x:v>
      </x:c>
      <x:c r="F524" s="49" t="str">
        <x:v>Small emergency batches with crack and scald risk</x:v>
      </x:c>
      <x:c r="G524" s="49" t="n">
        <x:f>COUNTIF('Craft Nodes'!$A$5:$A$250,A524)</x:f>
        <x:v>1</x:v>
      </x:c>
      <x:c r="H524" s="49" t="n">
        <x:f>COUNTIF('Craft Nodes'!$A$5:$A$250,B524)</x:f>
        <x:v>1</x:v>
      </x:c>
      <x:c r="I524" s="49" t="str">
        <x:f>IF(AND(G524=1,H524=1),"OK",IF(G524=0,"MISSING FROM","MISSING TO"))</x:f>
        <x:v>OK</x:v>
      </x:c>
    </x:row>
    <x:row r="525">
      <x:c r="A525" s="49" t="str">
        <x:v>C-HIDE-POUCH</x:v>
      </x:c>
      <x:c r="B525" s="49" t="str">
        <x:v>C-COVERED-STORE</x:v>
      </x:c>
      <x:c r="C525" s="49" t="str">
        <x:v>Container route</x:v>
      </x:c>
      <x:c r="D525" s="49" t="str">
        <x:v>No</x:v>
      </x:c>
      <x:c r="E525" s="49" t="str">
        <x:v>water-container</x:v>
      </x:c>
      <x:c r="F525" s="49" t="str">
        <x:v>Only after hygiene, leak and temperature-route qualification</x:v>
      </x:c>
      <x:c r="G525" s="49" t="n">
        <x:f>COUNTIF('Craft Nodes'!$A$5:$A$250,A525)</x:f>
        <x:v>1</x:v>
      </x:c>
      <x:c r="H525" s="49" t="n">
        <x:f>COUNTIF('Craft Nodes'!$A$5:$A$250,B525)</x:f>
        <x:v>1</x:v>
      </x:c>
      <x:c r="I525" s="49" t="str">
        <x:f>IF(AND(G525=1,H525=1),"OK",IF(G525=0,"MISSING FROM","MISSING TO"))</x:f>
        <x:v>OK</x:v>
      </x:c>
    </x:row>
    <x:row r="526">
      <x:c r="A526" s="49" t="str">
        <x:v>C-CLAY-POT</x:v>
      </x:c>
      <x:c r="B526" s="49" t="str">
        <x:v>P-CLEAN-WATER</x:v>
      </x:c>
      <x:c r="C526" s="49" t="str">
        <x:v>Vessel route</x:v>
      </x:c>
      <x:c r="D526" s="49" t="str">
        <x:v>No</x:v>
      </x:c>
      <x:c r="E526" s="49" t="str">
        <x:v>boiling-vessel</x:v>
      </x:c>
      <x:c r="F526" s="49" t="str">
        <x:v>Fired, leak-tested and thermal-cycled vessel</x:v>
      </x:c>
      <x:c r="G526" s="49" t="n">
        <x:f>COUNTIF('Craft Nodes'!$A$5:$A$250,A526)</x:f>
        <x:v>1</x:v>
      </x:c>
      <x:c r="H526" s="49" t="n">
        <x:f>COUNTIF('Craft Nodes'!$A$5:$A$250,B526)</x:f>
        <x:v>1</x:v>
      </x:c>
      <x:c r="I526" s="49" t="str">
        <x:f>IF(AND(G526=1,H526=1),"OK",IF(G526=0,"MISSING FROM","MISSING TO"))</x:f>
        <x:v>OK</x:v>
      </x:c>
    </x:row>
    <x:row r="527">
      <x:c r="A527" s="49" t="str">
        <x:v>A-HANDWASH</x:v>
      </x:c>
      <x:c r="B527" s="49" t="str">
        <x:v>W-CLINIC</x:v>
      </x:c>
      <x:c r="C527" s="49" t="str">
        <x:v>Hygiene system</x:v>
      </x:c>
      <x:c r="D527" s="49" t="str">
        <x:v>Yes</x:v>
      </x:c>
      <x:c r="E527" s="49" t="str">
        <x:v>care-infrastructure</x:v>
      </x:c>
      <x:c r="F527" s="49" t="str">
        <x:v>Controlled clean draw and drainage</x:v>
      </x:c>
      <x:c r="G527" s="49" t="n">
        <x:f>COUNTIF('Craft Nodes'!$A$5:$A$250,A527)</x:f>
        <x:v>1</x:v>
      </x:c>
      <x:c r="H527" s="49" t="n">
        <x:f>COUNTIF('Craft Nodes'!$A$5:$A$250,B527)</x:f>
        <x:v>1</x:v>
      </x:c>
      <x:c r="I527" s="49" t="str">
        <x:f>IF(AND(G527=1,H527=1),"OK",IF(G527=0,"MISSING FROM","MISSING TO"))</x:f>
        <x:v>OK</x:v>
      </x:c>
    </x:row>
    <x:row r="528">
      <x:c r="A528" s="49" t="str">
        <x:v>A-BANDAGE</x:v>
      </x:c>
      <x:c r="B528" s="49" t="str">
        <x:v>W-CLINIC</x:v>
      </x:c>
      <x:c r="C528" s="49" t="str">
        <x:v>Care capability</x:v>
      </x:c>
      <x:c r="D528" s="49" t="str">
        <x:v>No</x:v>
      </x:c>
      <x:c r="E528" s="49" t="str">
        <x:v>injury-care</x:v>
      </x:c>
      <x:c r="F528" s="49" t="str">
        <x:v>Applied clean-dressing capability</x:v>
      </x:c>
      <x:c r="G528" s="49" t="n">
        <x:f>COUNTIF('Craft Nodes'!$A$5:$A$250,A528)</x:f>
        <x:v>1</x:v>
      </x:c>
      <x:c r="H528" s="49" t="n">
        <x:f>COUNTIF('Craft Nodes'!$A$5:$A$250,B528)</x:f>
        <x:v>1</x:v>
      </x:c>
      <x:c r="I528" s="49" t="str">
        <x:f>IF(AND(G528=1,H528=1),"OK",IF(G528=0,"MISSING FROM","MISSING TO"))</x:f>
        <x:v>OK</x:v>
      </x:c>
    </x:row>
    <x:row r="529">
      <x:c r="A529" s="49" t="str">
        <x:v>A-SPLINT</x:v>
      </x:c>
      <x:c r="B529" s="49" t="str">
        <x:v>W-CLINIC</x:v>
      </x:c>
      <x:c r="C529" s="49" t="str">
        <x:v>Care capability</x:v>
      </x:c>
      <x:c r="D529" s="49" t="str">
        <x:v>No</x:v>
      </x:c>
      <x:c r="E529" s="49" t="str">
        <x:v>injury-care</x:v>
      </x:c>
      <x:c r="F529" s="49" t="str">
        <x:v>Fitted immobilization capability</x:v>
      </x:c>
      <x:c r="G529" s="49" t="n">
        <x:f>COUNTIF('Craft Nodes'!$A$5:$A$250,A529)</x:f>
        <x:v>1</x:v>
      </x:c>
      <x:c r="H529" s="49" t="n">
        <x:f>COUNTIF('Craft Nodes'!$A$5:$A$250,B529)</x:f>
        <x:v>1</x:v>
      </x:c>
      <x:c r="I529" s="49" t="str">
        <x:f>IF(AND(G529=1,H529=1),"OK",IF(G529=0,"MISSING FROM","MISSING TO"))</x:f>
        <x:v>OK</x:v>
      </x:c>
    </x:row>
    <x:row r="530">
      <x:c r="A530" s="49" t="str">
        <x:v>A-CRUTCH</x:v>
      </x:c>
      <x:c r="B530" s="49" t="str">
        <x:v>W-CLINIC</x:v>
      </x:c>
      <x:c r="C530" s="49" t="str">
        <x:v>Mobility aid</x:v>
      </x:c>
      <x:c r="D530" s="49" t="str">
        <x:v>No</x:v>
      </x:c>
      <x:c r="E530" s="49" t="str">
        <x:v>injury-care</x:v>
      </x:c>
      <x:c r="F530" s="49" t="str">
        <x:v>Fitted gait-support capability</x:v>
      </x:c>
      <x:c r="G530" s="49" t="n">
        <x:f>COUNTIF('Craft Nodes'!$A$5:$A$250,A530)</x:f>
        <x:v>1</x:v>
      </x:c>
      <x:c r="H530" s="49" t="n">
        <x:f>COUNTIF('Craft Nodes'!$A$5:$A$250,B530)</x:f>
        <x:v>1</x:v>
      </x:c>
      <x:c r="I530" s="49" t="str">
        <x:f>IF(AND(G530=1,H530=1),"OK",IF(G530=0,"MISSING FROM","MISSING TO"))</x:f>
        <x:v>OK</x:v>
      </x:c>
    </x:row>
    <x:row r="531">
      <x:c r="A531" s="49" t="str">
        <x:v>A-COOKING</x:v>
      </x:c>
      <x:c r="B531" s="49" t="str">
        <x:v>A-FOOD-STORE</x:v>
      </x:c>
      <x:c r="C531" s="49" t="str">
        <x:v>Food system</x:v>
      </x:c>
      <x:c r="D531" s="49" t="str">
        <x:v>Yes</x:v>
      </x:c>
      <x:c r="E531" s="49" t="str">
        <x:v>food-continuity</x:v>
      </x:c>
      <x:c r="F531" s="49" t="str">
        <x:v>Safe cooked food supports continuity</x:v>
      </x:c>
      <x:c r="G531" s="49" t="n">
        <x:f>COUNTIF('Craft Nodes'!$A$5:$A$250,A531)</x:f>
        <x:v>1</x:v>
      </x:c>
      <x:c r="H531" s="49" t="n">
        <x:f>COUNTIF('Craft Nodes'!$A$5:$A$250,B531)</x:f>
        <x:v>1</x:v>
      </x:c>
      <x:c r="I531" s="49" t="str">
        <x:f>IF(AND(G531=1,H531=1),"OK",IF(G531=0,"MISSING FROM","MISSING TO"))</x:f>
        <x:v>OK</x:v>
      </x:c>
    </x:row>
    <x:row r="532">
      <x:c r="A532" s="49" t="str">
        <x:v>A-FISH-LINE</x:v>
      </x:c>
      <x:c r="B532" s="49" t="str">
        <x:v>P-PRESERVED-FOOD</x:v>
      </x:c>
      <x:c r="C532" s="49" t="str">
        <x:v>Harvest route</x:v>
      </x:c>
      <x:c r="D532" s="49" t="str">
        <x:v>No</x:v>
      </x:c>
      <x:c r="E532" s="49" t="str">
        <x:v>food-harvest</x:v>
      </x:c>
      <x:c r="F532" s="49" t="str">
        <x:v>Catch still needs selection, hygiene and preservation</x:v>
      </x:c>
      <x:c r="G532" s="49" t="n">
        <x:f>COUNTIF('Craft Nodes'!$A$5:$A$250,A532)</x:f>
        <x:v>1</x:v>
      </x:c>
      <x:c r="H532" s="49" t="n">
        <x:f>COUNTIF('Craft Nodes'!$A$5:$A$250,B532)</x:f>
        <x:v>1</x:v>
      </x:c>
      <x:c r="I532" s="49" t="str">
        <x:f>IF(AND(G532=1,H532=1),"OK",IF(G532=0,"MISSING FROM","MISSING TO"))</x:f>
        <x:v>OK</x:v>
      </x:c>
    </x:row>
    <x:row r="533">
      <x:c r="A533" s="49" t="str">
        <x:v>A-FISH-TRAP</x:v>
      </x:c>
      <x:c r="B533" s="49" t="str">
        <x:v>P-PRESERVED-FOOD</x:v>
      </x:c>
      <x:c r="C533" s="49" t="str">
        <x:v>Harvest route</x:v>
      </x:c>
      <x:c r="D533" s="49" t="str">
        <x:v>No</x:v>
      </x:c>
      <x:c r="E533" s="49" t="str">
        <x:v>food-harvest</x:v>
      </x:c>
      <x:c r="F533" s="49" t="str">
        <x:v>Selective, marked and retrieved trap route</x:v>
      </x:c>
      <x:c r="G533" s="49" t="n">
        <x:f>COUNTIF('Craft Nodes'!$A$5:$A$250,A533)</x:f>
        <x:v>1</x:v>
      </x:c>
      <x:c r="H533" s="49" t="n">
        <x:f>COUNTIF('Craft Nodes'!$A$5:$A$250,B533)</x:f>
        <x:v>1</x:v>
      </x:c>
      <x:c r="I533" s="49" t="str">
        <x:f>IF(AND(G533=1,H533=1),"OK",IF(G533=0,"MISSING FROM","MISSING TO"))</x:f>
        <x:v>OK</x:v>
      </x:c>
    </x:row>
    <x:row r="534">
      <x:c r="A534" s="49" t="str">
        <x:v>A-SPEAR</x:v>
      </x:c>
      <x:c r="B534" s="49" t="str">
        <x:v>P-PRESERVED-FOOD</x:v>
      </x:c>
      <x:c r="C534" s="49" t="str">
        <x:v>Harvest route</x:v>
      </x:c>
      <x:c r="D534" s="49" t="str">
        <x:v>No</x:v>
      </x:c>
      <x:c r="E534" s="49" t="str">
        <x:v>food-harvest</x:v>
      </x:c>
      <x:c r="F534" s="49" t="str">
        <x:v>Harvest requires safe handling and preservation</x:v>
      </x:c>
      <x:c r="G534" s="49" t="n">
        <x:f>COUNTIF('Craft Nodes'!$A$5:$A$250,A534)</x:f>
        <x:v>1</x:v>
      </x:c>
      <x:c r="H534" s="49" t="n">
        <x:f>COUNTIF('Craft Nodes'!$A$5:$A$250,B534)</x:f>
        <x:v>1</x:v>
      </x:c>
      <x:c r="I534" s="49" t="str">
        <x:f>IF(AND(G534=1,H534=1),"OK",IF(G534=0,"MISSING FROM","MISSING TO"))</x:f>
        <x:v>OK</x:v>
      </x:c>
    </x:row>
    <x:row r="535">
      <x:c r="A535" s="49" t="str">
        <x:v>A-COMPOST</x:v>
      </x:c>
      <x:c r="B535" s="49" t="str">
        <x:v>A-GARDEN</x:v>
      </x:c>
      <x:c r="C535" s="49" t="str">
        <x:v>Soil input</x:v>
      </x:c>
      <x:c r="D535" s="49" t="str">
        <x:v>No</x:v>
      </x:c>
      <x:c r="E535" s="49" t="str">
        <x:v>cultivation</x:v>
      </x:c>
      <x:c r="F535" s="49" t="str">
        <x:v>Only mature, managed compost is admitted</x:v>
      </x:c>
      <x:c r="G535" s="49" t="n">
        <x:f>COUNTIF('Craft Nodes'!$A$5:$A$250,A535)</x:f>
        <x:v>1</x:v>
      </x:c>
      <x:c r="H535" s="49" t="n">
        <x:f>COUNTIF('Craft Nodes'!$A$5:$A$250,B535)</x:f>
        <x:v>1</x:v>
      </x:c>
      <x:c r="I535" s="49" t="str">
        <x:f>IF(AND(G535=1,H535=1),"OK",IF(G535=0,"MISSING FROM","MISSING TO"))</x:f>
        <x:v>OK</x:v>
      </x:c>
    </x:row>
    <x:row r="536">
      <x:c r="A536" s="49" t="str">
        <x:v>A-BASKET</x:v>
      </x:c>
      <x:c r="B536" s="49" t="str">
        <x:v>A-WORKING-HOME</x:v>
      </x:c>
      <x:c r="C536" s="49" t="str">
        <x:v>Logistics capability</x:v>
      </x:c>
      <x:c r="D536" s="49" t="str">
        <x:v>No</x:v>
      </x:c>
      <x:c r="E536" s="49" t="str">
        <x:v>human-carry</x:v>
      </x:c>
      <x:c r="F536" s="49" t="str">
        <x:v>Local carried-material flow</x:v>
      </x:c>
      <x:c r="G536" s="49" t="n">
        <x:f>COUNTIF('Craft Nodes'!$A$5:$A$250,A536)</x:f>
        <x:v>1</x:v>
      </x:c>
      <x:c r="H536" s="49" t="n">
        <x:f>COUNTIF('Craft Nodes'!$A$5:$A$250,B536)</x:f>
        <x:v>1</x:v>
      </x:c>
      <x:c r="I536" s="49" t="str">
        <x:f>IF(AND(G536=1,H536=1),"OK",IF(G536=0,"MISSING FROM","MISSING TO"))</x:f>
        <x:v>OK</x:v>
      </x:c>
    </x:row>
    <x:row r="537">
      <x:c r="A537" s="49" t="str">
        <x:v>A-PACK</x:v>
      </x:c>
      <x:c r="B537" s="49" t="str">
        <x:v>A-ARRIVAL</x:v>
      </x:c>
      <x:c r="C537" s="49" t="str">
        <x:v>Logistics capability</x:v>
      </x:c>
      <x:c r="D537" s="49" t="str">
        <x:v>No</x:v>
      </x:c>
      <x:c r="E537" s="49" t="str">
        <x:v>human-carry</x:v>
      </x:c>
      <x:c r="F537" s="49" t="str">
        <x:v>Fitted route-tested transport</x:v>
      </x:c>
      <x:c r="G537" s="49" t="n">
        <x:f>COUNTIF('Craft Nodes'!$A$5:$A$250,A537)</x:f>
        <x:v>1</x:v>
      </x:c>
      <x:c r="H537" s="49" t="n">
        <x:f>COUNTIF('Craft Nodes'!$A$5:$A$250,B537)</x:f>
        <x:v>1</x:v>
      </x:c>
      <x:c r="I537" s="49" t="str">
        <x:f>IF(AND(G537=1,H537=1),"OK",IF(G537=0,"MISSING FROM","MISSING TO"))</x:f>
        <x:v>OK</x:v>
      </x:c>
    </x:row>
    <x:row r="538">
      <x:c r="A538" s="50" t="str">
        <x:v>A-SLED</x:v>
      </x:c>
      <x:c r="B538" s="50" t="str">
        <x:v>A-CART</x:v>
      </x:c>
      <x:c r="C538" s="50" t="str">
        <x:v>Substitute</x:v>
      </x:c>
      <x:c r="D538" s="50" t="str">
        <x:v>No</x:v>
      </x:c>
      <x:c r="E538" s="50" t="str">
        <x:v>ground-haul</x:v>
      </x:c>
      <x:c r="F538" s="50" t="str">
        <x:v>Low-tech drag route before wheels</x:v>
      </x:c>
      <x:c r="G538" s="50" t="n">
        <x:f>COUNTIF('Craft Nodes'!$A$5:$A$250,A538)</x:f>
        <x:v>1</x:v>
      </x:c>
      <x:c r="H538" s="50" t="n">
        <x:f>COUNTIF('Craft Nodes'!$A$5:$A$250,B538)</x:f>
        <x:v>1</x:v>
      </x:c>
      <x:c r="I538" s="50" t="str">
        <x:f>IF(AND(G538=1,H538=1),"OK",IF(G538=0,"MISSING FROM","MISSING TO"))</x:f>
        <x:v>OK</x:v>
      </x:c>
    </x:row>
    <x:row r="539">
      <x:c r="A539" s="83" t="str">
        <x:v>S-COIR</x:v>
      </x:c>
      <x:c r="B539" s="83" t="str">
        <x:v>P-GRADED-FIBER</x:v>
      </x:c>
      <x:c r="C539" s="83" t="str">
        <x:v>Prerequisite</x:v>
      </x:c>
      <x:c r="D539" s="83" t="str">
        <x:v>Yes</x:v>
      </x:c>
      <x:c r="E539" s="83"/>
      <x:c r="F539" s="83" t="str">
        <x:v>v2.7 Civilization Weave</x:v>
      </x:c>
      <x:c r="G539" s="83" t="n">
        <x:f>COUNTIF('Craft Nodes'!$A$5:$A$250,A539)</x:f>
        <x:v>1</x:v>
      </x:c>
      <x:c r="H539" s="83" t="n">
        <x:f>COUNTIF('Craft Nodes'!$A$5:$A$250,B539)</x:f>
        <x:v>1</x:v>
      </x:c>
      <x:c r="I539" s="83" t="str">
        <x:f>IF(AND(G539=1,H539=1),"OK",IF(G539=0,"MISSING FROM","MISSING TO"))</x:f>
        <x:v>OK</x:v>
      </x:c>
    </x:row>
    <x:row r="540">
      <x:c r="A540" s="83" t="str">
        <x:v>S-LEAF-FIBER</x:v>
      </x:c>
      <x:c r="B540" s="83" t="str">
        <x:v>P-GRADED-FIBER</x:v>
      </x:c>
      <x:c r="C540" s="83" t="str">
        <x:v>Prerequisite</x:v>
      </x:c>
      <x:c r="D540" s="83" t="str">
        <x:v>Yes</x:v>
      </x:c>
      <x:c r="E540" s="83"/>
      <x:c r="F540" s="83" t="str">
        <x:v>v2.7 Civilization Weave</x:v>
      </x:c>
      <x:c r="G540" s="83" t="n">
        <x:f>COUNTIF('Craft Nodes'!$A$5:$A$250,A540)</x:f>
        <x:v>1</x:v>
      </x:c>
      <x:c r="H540" s="83" t="n">
        <x:f>COUNTIF('Craft Nodes'!$A$5:$A$250,B540)</x:f>
        <x:v>1</x:v>
      </x:c>
      <x:c r="I540" s="83" t="str">
        <x:f>IF(AND(G540=1,H540=1),"OK",IF(G540=0,"MISSING FROM","MISSING TO"))</x:f>
        <x:v>OK</x:v>
      </x:c>
    </x:row>
    <x:row r="541">
      <x:c r="A541" s="83" t="str">
        <x:v>S-BAST-FIBER</x:v>
      </x:c>
      <x:c r="B541" s="83" t="str">
        <x:v>P-GRADED-FIBER</x:v>
      </x:c>
      <x:c r="C541" s="83" t="str">
        <x:v>Prerequisite</x:v>
      </x:c>
      <x:c r="D541" s="83" t="str">
        <x:v>Yes</x:v>
      </x:c>
      <x:c r="E541" s="83"/>
      <x:c r="F541" s="83" t="str">
        <x:v>v2.7 Civilization Weave</x:v>
      </x:c>
      <x:c r="G541" s="83" t="n">
        <x:f>COUNTIF('Craft Nodes'!$A$5:$A$250,A541)</x:f>
        <x:v>1</x:v>
      </x:c>
      <x:c r="H541" s="83" t="n">
        <x:f>COUNTIF('Craft Nodes'!$A$5:$A$250,B541)</x:f>
        <x:v>1</x:v>
      </x:c>
      <x:c r="I541" s="83" t="str">
        <x:f>IF(AND(G541=1,H541=1),"OK",IF(G541=0,"MISSING FROM","MISSING TO"))</x:f>
        <x:v>OK</x:v>
      </x:c>
    </x:row>
    <x:row r="542">
      <x:c r="A542" s="83" t="str">
        <x:v>S-SALV-TEXTILE</x:v>
      </x:c>
      <x:c r="B542" s="83" t="str">
        <x:v>P-GRADED-FIBER</x:v>
      </x:c>
      <x:c r="C542" s="83" t="str">
        <x:v>Prerequisite</x:v>
      </x:c>
      <x:c r="D542" s="83" t="str">
        <x:v>Yes</x:v>
      </x:c>
      <x:c r="E542" s="83"/>
      <x:c r="F542" s="83" t="str">
        <x:v>v2.7 Civilization Weave</x:v>
      </x:c>
      <x:c r="G542" s="83" t="n">
        <x:f>COUNTIF('Craft Nodes'!$A$5:$A$250,A542)</x:f>
        <x:v>1</x:v>
      </x:c>
      <x:c r="H542" s="83" t="n">
        <x:f>COUNTIF('Craft Nodes'!$A$5:$A$250,B542)</x:f>
        <x:v>1</x:v>
      </x:c>
      <x:c r="I542" s="83" t="str">
        <x:f>IF(AND(G542=1,H542=1),"OK",IF(G542=0,"MISSING FROM","MISSING TO"))</x:f>
        <x:v>OK</x:v>
      </x:c>
    </x:row>
    <x:row r="543">
      <x:c r="A543" s="83" t="str">
        <x:v>P-STRAIGHT-POLE</x:v>
      </x:c>
      <x:c r="B543" s="83" t="str">
        <x:v>T-SPINDLE</x:v>
      </x:c>
      <x:c r="C543" s="83" t="str">
        <x:v>Prerequisite</x:v>
      </x:c>
      <x:c r="D543" s="83" t="str">
        <x:v>Yes</x:v>
      </x:c>
      <x:c r="E543" s="83"/>
      <x:c r="F543" s="83" t="str">
        <x:v>v2.7 Civilization Weave</x:v>
      </x:c>
      <x:c r="G543" s="83" t="n">
        <x:f>COUNTIF('Craft Nodes'!$A$5:$A$250,A543)</x:f>
        <x:v>1</x:v>
      </x:c>
      <x:c r="H543" s="83" t="n">
        <x:f>COUNTIF('Craft Nodes'!$A$5:$A$250,B543)</x:f>
        <x:v>1</x:v>
      </x:c>
      <x:c r="I543" s="83" t="str">
        <x:f>IF(AND(G543=1,H543=1),"OK",IF(G543=0,"MISSING FROM","MISSING TO"))</x:f>
        <x:v>OK</x:v>
      </x:c>
    </x:row>
    <x:row r="544">
      <x:c r="A544" s="83" t="str">
        <x:v>P-PEG</x:v>
      </x:c>
      <x:c r="B544" s="83" t="str">
        <x:v>T-SPINDLE</x:v>
      </x:c>
      <x:c r="C544" s="83" t="str">
        <x:v>Prerequisite</x:v>
      </x:c>
      <x:c r="D544" s="83" t="str">
        <x:v>Yes</x:v>
      </x:c>
      <x:c r="E544" s="83"/>
      <x:c r="F544" s="83" t="str">
        <x:v>v2.7 Civilization Weave</x:v>
      </x:c>
      <x:c r="G544" s="83" t="n">
        <x:f>COUNTIF('Craft Nodes'!$A$5:$A$250,A544)</x:f>
        <x:v>1</x:v>
      </x:c>
      <x:c r="H544" s="83" t="n">
        <x:f>COUNTIF('Craft Nodes'!$A$5:$A$250,B544)</x:f>
        <x:v>1</x:v>
      </x:c>
      <x:c r="I544" s="83" t="str">
        <x:f>IF(AND(G544=1,H544=1),"OK",IF(G544=0,"MISSING FROM","MISSING TO"))</x:f>
        <x:v>OK</x:v>
      </x:c>
    </x:row>
    <x:row r="545">
      <x:c r="A545" s="83" t="str">
        <x:v>P-GRADED-FIBER</x:v>
      </x:c>
      <x:c r="B545" s="83" t="str">
        <x:v>P-YARN</x:v>
      </x:c>
      <x:c r="C545" s="83" t="str">
        <x:v>Prerequisite</x:v>
      </x:c>
      <x:c r="D545" s="83" t="str">
        <x:v>Yes</x:v>
      </x:c>
      <x:c r="E545" s="83"/>
      <x:c r="F545" s="83" t="str">
        <x:v>v2.7 Civilization Weave</x:v>
      </x:c>
      <x:c r="G545" s="83" t="n">
        <x:f>COUNTIF('Craft Nodes'!$A$5:$A$250,A545)</x:f>
        <x:v>1</x:v>
      </x:c>
      <x:c r="H545" s="83" t="n">
        <x:f>COUNTIF('Craft Nodes'!$A$5:$A$250,B545)</x:f>
        <x:v>1</x:v>
      </x:c>
      <x:c r="I545" s="83" t="str">
        <x:f>IF(AND(G545=1,H545=1),"OK",IF(G545=0,"MISSING FROM","MISSING TO"))</x:f>
        <x:v>OK</x:v>
      </x:c>
    </x:row>
    <x:row r="546">
      <x:c r="A546" s="83" t="str">
        <x:v>T-SPINDLE</x:v>
      </x:c>
      <x:c r="B546" s="83" t="str">
        <x:v>P-YARN</x:v>
      </x:c>
      <x:c r="C546" s="83" t="str">
        <x:v>Prerequisite</x:v>
      </x:c>
      <x:c r="D546" s="83" t="str">
        <x:v>Yes</x:v>
      </x:c>
      <x:c r="E546" s="83"/>
      <x:c r="F546" s="83" t="str">
        <x:v>v2.7 Civilization Weave</x:v>
      </x:c>
      <x:c r="G546" s="83" t="n">
        <x:f>COUNTIF('Craft Nodes'!$A$5:$A$250,A546)</x:f>
        <x:v>1</x:v>
      </x:c>
      <x:c r="H546" s="83" t="n">
        <x:f>COUNTIF('Craft Nodes'!$A$5:$A$250,B546)</x:f>
        <x:v>1</x:v>
      </x:c>
      <x:c r="I546" s="83" t="str">
        <x:f>IF(AND(G546=1,H546=1),"OK",IF(G546=0,"MISSING FROM","MISSING TO"))</x:f>
        <x:v>OK</x:v>
      </x:c>
    </x:row>
    <x:row r="547">
      <x:c r="A547" s="83" t="str">
        <x:v>P-STRAIGHT-POLE</x:v>
      </x:c>
      <x:c r="B547" s="83" t="str">
        <x:v>T-LOOM</x:v>
      </x:c>
      <x:c r="C547" s="83" t="str">
        <x:v>Prerequisite</x:v>
      </x:c>
      <x:c r="D547" s="83" t="str">
        <x:v>Yes</x:v>
      </x:c>
      <x:c r="E547" s="83"/>
      <x:c r="F547" s="83" t="str">
        <x:v>v2.7 Civilization Weave</x:v>
      </x:c>
      <x:c r="G547" s="83" t="n">
        <x:f>COUNTIF('Craft Nodes'!$A$5:$A$250,A547)</x:f>
        <x:v>1</x:v>
      </x:c>
      <x:c r="H547" s="83" t="n">
        <x:f>COUNTIF('Craft Nodes'!$A$5:$A$250,B547)</x:f>
        <x:v>1</x:v>
      </x:c>
      <x:c r="I547" s="83" t="str">
        <x:f>IF(AND(G547=1,H547=1),"OK",IF(G547=0,"MISSING FROM","MISSING TO"))</x:f>
        <x:v>OK</x:v>
      </x:c>
    </x:row>
    <x:row r="548">
      <x:c r="A548" s="83" t="str">
        <x:v>T-MEASURE</x:v>
      </x:c>
      <x:c r="B548" s="83" t="str">
        <x:v>T-LOOM</x:v>
      </x:c>
      <x:c r="C548" s="83" t="str">
        <x:v>Prerequisite</x:v>
      </x:c>
      <x:c r="D548" s="83" t="str">
        <x:v>Yes</x:v>
      </x:c>
      <x:c r="E548" s="83"/>
      <x:c r="F548" s="83" t="str">
        <x:v>v2.7 Civilization Weave</x:v>
      </x:c>
      <x:c r="G548" s="83" t="n">
        <x:f>COUNTIF('Craft Nodes'!$A$5:$A$250,A548)</x:f>
        <x:v>1</x:v>
      </x:c>
      <x:c r="H548" s="83" t="n">
        <x:f>COUNTIF('Craft Nodes'!$A$5:$A$250,B548)</x:f>
        <x:v>1</x:v>
      </x:c>
      <x:c r="I548" s="83" t="str">
        <x:f>IF(AND(G548=1,H548=1),"OK",IF(G548=0,"MISSING FROM","MISSING TO"))</x:f>
        <x:v>OK</x:v>
      </x:c>
    </x:row>
    <x:row r="549">
      <x:c r="A549" s="83" t="str">
        <x:v>P-YARN</x:v>
      </x:c>
      <x:c r="B549" s="83" t="str">
        <x:v>P-CLOTH</x:v>
      </x:c>
      <x:c r="C549" s="83" t="str">
        <x:v>Prerequisite</x:v>
      </x:c>
      <x:c r="D549" s="83" t="str">
        <x:v>Yes</x:v>
      </x:c>
      <x:c r="E549" s="83"/>
      <x:c r="F549" s="83" t="str">
        <x:v>v2.7 Civilization Weave</x:v>
      </x:c>
      <x:c r="G549" s="83" t="n">
        <x:f>COUNTIF('Craft Nodes'!$A$5:$A$250,A549)</x:f>
        <x:v>1</x:v>
      </x:c>
      <x:c r="H549" s="83" t="n">
        <x:f>COUNTIF('Craft Nodes'!$A$5:$A$250,B549)</x:f>
        <x:v>1</x:v>
      </x:c>
      <x:c r="I549" s="83" t="str">
        <x:f>IF(AND(G549=1,H549=1),"OK",IF(G549=0,"MISSING FROM","MISSING TO"))</x:f>
        <x:v>OK</x:v>
      </x:c>
    </x:row>
    <x:row r="550">
      <x:c r="A550" s="83" t="str">
        <x:v>T-LOOM</x:v>
      </x:c>
      <x:c r="B550" s="83" t="str">
        <x:v>P-CLOTH</x:v>
      </x:c>
      <x:c r="C550" s="83" t="str">
        <x:v>Prerequisite</x:v>
      </x:c>
      <x:c r="D550" s="83" t="str">
        <x:v>Yes</x:v>
      </x:c>
      <x:c r="E550" s="83"/>
      <x:c r="F550" s="83" t="str">
        <x:v>v2.7 Civilization Weave</x:v>
      </x:c>
      <x:c r="G550" s="83" t="n">
        <x:f>COUNTIF('Craft Nodes'!$A$5:$A$250,A550)</x:f>
        <x:v>1</x:v>
      </x:c>
      <x:c r="H550" s="83" t="n">
        <x:f>COUNTIF('Craft Nodes'!$A$5:$A$250,B550)</x:f>
        <x:v>1</x:v>
      </x:c>
      <x:c r="I550" s="83" t="str">
        <x:f>IF(AND(G550=1,H550=1),"OK",IF(G550=0,"MISSING FROM","MISSING TO"))</x:f>
        <x:v>OK</x:v>
      </x:c>
    </x:row>
    <x:row r="551">
      <x:c r="A551" s="83" t="str">
        <x:v>W-BENCH</x:v>
      </x:c>
      <x:c r="B551" s="83" t="str">
        <x:v>A-FIBER-STATION</x:v>
      </x:c>
      <x:c r="C551" s="83" t="str">
        <x:v>Prerequisite</x:v>
      </x:c>
      <x:c r="D551" s="83" t="str">
        <x:v>Yes</x:v>
      </x:c>
      <x:c r="E551" s="83"/>
      <x:c r="F551" s="83" t="str">
        <x:v>v2.7 Civilization Weave</x:v>
      </x:c>
      <x:c r="G551" s="83" t="n">
        <x:f>COUNTIF('Craft Nodes'!$A$5:$A$250,A551)</x:f>
        <x:v>1</x:v>
      </x:c>
      <x:c r="H551" s="83" t="n">
        <x:f>COUNTIF('Craft Nodes'!$A$5:$A$250,B551)</x:f>
        <x:v>1</x:v>
      </x:c>
      <x:c r="I551" s="83" t="str">
        <x:f>IF(AND(G551=1,H551=1),"OK",IF(G551=0,"MISSING FROM","MISSING TO"))</x:f>
        <x:v>OK</x:v>
      </x:c>
    </x:row>
    <x:row r="552">
      <x:c r="A552" s="83" t="str">
        <x:v>T-LOOM</x:v>
      </x:c>
      <x:c r="B552" s="83" t="str">
        <x:v>A-FIBER-STATION</x:v>
      </x:c>
      <x:c r="C552" s="83" t="str">
        <x:v>Prerequisite</x:v>
      </x:c>
      <x:c r="D552" s="83" t="str">
        <x:v>Yes</x:v>
      </x:c>
      <x:c r="E552" s="83"/>
      <x:c r="F552" s="83" t="str">
        <x:v>v2.7 Civilization Weave</x:v>
      </x:c>
      <x:c r="G552" s="83" t="n">
        <x:f>COUNTIF('Craft Nodes'!$A$5:$A$250,A552)</x:f>
        <x:v>1</x:v>
      </x:c>
      <x:c r="H552" s="83" t="n">
        <x:f>COUNTIF('Craft Nodes'!$A$5:$A$250,B552)</x:f>
        <x:v>1</x:v>
      </x:c>
      <x:c r="I552" s="83" t="str">
        <x:f>IF(AND(G552=1,H552=1),"OK",IF(G552=0,"MISSING FROM","MISSING TO"))</x:f>
        <x:v>OK</x:v>
      </x:c>
    </x:row>
    <x:row r="553">
      <x:c r="A553" s="83" t="str">
        <x:v>P-CLOTH</x:v>
      </x:c>
      <x:c r="B553" s="83" t="str">
        <x:v>A-MEDICAL-TEXTILE</x:v>
      </x:c>
      <x:c r="C553" s="83" t="str">
        <x:v>Prerequisite</x:v>
      </x:c>
      <x:c r="D553" s="83" t="str">
        <x:v>Yes</x:v>
      </x:c>
      <x:c r="E553" s="83"/>
      <x:c r="F553" s="83" t="str">
        <x:v>v2.7 Civilization Weave</x:v>
      </x:c>
      <x:c r="G553" s="83" t="n">
        <x:f>COUNTIF('Craft Nodes'!$A$5:$A$250,A553)</x:f>
        <x:v>1</x:v>
      </x:c>
      <x:c r="H553" s="83" t="n">
        <x:f>COUNTIF('Craft Nodes'!$A$5:$A$250,B553)</x:f>
        <x:v>1</x:v>
      </x:c>
      <x:c r="I553" s="83" t="str">
        <x:f>IF(AND(G553=1,H553=1),"OK",IF(G553=0,"MISSING FROM","MISSING TO"))</x:f>
        <x:v>OK</x:v>
      </x:c>
    </x:row>
    <x:row r="554">
      <x:c r="A554" s="83" t="str">
        <x:v>W-CLEAN</x:v>
      </x:c>
      <x:c r="B554" s="83" t="str">
        <x:v>A-MEDICAL-TEXTILE</x:v>
      </x:c>
      <x:c r="C554" s="83" t="str">
        <x:v>Prerequisite</x:v>
      </x:c>
      <x:c r="D554" s="83" t="str">
        <x:v>Yes</x:v>
      </x:c>
      <x:c r="E554" s="83"/>
      <x:c r="F554" s="83" t="str">
        <x:v>v2.7 Civilization Weave</x:v>
      </x:c>
      <x:c r="G554" s="83" t="n">
        <x:f>COUNTIF('Craft Nodes'!$A$5:$A$250,A554)</x:f>
        <x:v>1</x:v>
      </x:c>
      <x:c r="H554" s="83" t="n">
        <x:f>COUNTIF('Craft Nodes'!$A$5:$A$250,B554)</x:f>
        <x:v>1</x:v>
      </x:c>
      <x:c r="I554" s="83" t="str">
        <x:f>IF(AND(G554=1,H554=1),"OK",IF(G554=0,"MISSING FROM","MISSING TO"))</x:f>
        <x:v>OK</x:v>
      </x:c>
    </x:row>
    <x:row r="555">
      <x:c r="A555" s="83" t="str">
        <x:v>P-CORD</x:v>
      </x:c>
      <x:c r="B555" s="83" t="str">
        <x:v>A-NET</x:v>
      </x:c>
      <x:c r="C555" s="83" t="str">
        <x:v>Prerequisite</x:v>
      </x:c>
      <x:c r="D555" s="83" t="str">
        <x:v>Yes</x:v>
      </x:c>
      <x:c r="E555" s="83"/>
      <x:c r="F555" s="83" t="str">
        <x:v>v2.7 Civilization Weave</x:v>
      </x:c>
      <x:c r="G555" s="83" t="n">
        <x:f>COUNTIF('Craft Nodes'!$A$5:$A$250,A555)</x:f>
        <x:v>1</x:v>
      </x:c>
      <x:c r="H555" s="83" t="n">
        <x:f>COUNTIF('Craft Nodes'!$A$5:$A$250,B555)</x:f>
        <x:v>1</x:v>
      </x:c>
      <x:c r="I555" s="83" t="str">
        <x:f>IF(AND(G555=1,H555=1),"OK",IF(G555=0,"MISSING FROM","MISSING TO"))</x:f>
        <x:v>OK</x:v>
      </x:c>
    </x:row>
    <x:row r="556">
      <x:c r="A556" s="83" t="str">
        <x:v>A-FIBER-STATION</x:v>
      </x:c>
      <x:c r="B556" s="83" t="str">
        <x:v>A-NET</x:v>
      </x:c>
      <x:c r="C556" s="83" t="str">
        <x:v>Prerequisite</x:v>
      </x:c>
      <x:c r="D556" s="83" t="str">
        <x:v>Yes</x:v>
      </x:c>
      <x:c r="E556" s="83"/>
      <x:c r="F556" s="83" t="str">
        <x:v>v2.7 Civilization Weave</x:v>
      </x:c>
      <x:c r="G556" s="83" t="n">
        <x:f>COUNTIF('Craft Nodes'!$A$5:$A$250,A556)</x:f>
        <x:v>1</x:v>
      </x:c>
      <x:c r="H556" s="83" t="n">
        <x:f>COUNTIF('Craft Nodes'!$A$5:$A$250,B556)</x:f>
        <x:v>1</x:v>
      </x:c>
      <x:c r="I556" s="83" t="str">
        <x:f>IF(AND(G556=1,H556=1),"OK",IF(G556=0,"MISSING FROM","MISSING TO"))</x:f>
        <x:v>OK</x:v>
      </x:c>
    </x:row>
    <x:row r="557">
      <x:c r="A557" s="83" t="str">
        <x:v>P-GRADED-FIBER</x:v>
      </x:c>
      <x:c r="B557" s="83" t="str">
        <x:v>A-BOWSTRING</x:v>
      </x:c>
      <x:c r="C557" s="83" t="str">
        <x:v>Prerequisite</x:v>
      </x:c>
      <x:c r="D557" s="83" t="str">
        <x:v>Yes</x:v>
      </x:c>
      <x:c r="E557" s="83"/>
      <x:c r="F557" s="83" t="str">
        <x:v>v2.7 Civilization Weave</x:v>
      </x:c>
      <x:c r="G557" s="83" t="n">
        <x:f>COUNTIF('Craft Nodes'!$A$5:$A$250,A557)</x:f>
        <x:v>1</x:v>
      </x:c>
      <x:c r="H557" s="83" t="n">
        <x:f>COUNTIF('Craft Nodes'!$A$5:$A$250,B557)</x:f>
        <x:v>1</x:v>
      </x:c>
      <x:c r="I557" s="83" t="str">
        <x:f>IF(AND(G557=1,H557=1),"OK",IF(G557=0,"MISSING FROM","MISSING TO"))</x:f>
        <x:v>OK</x:v>
      </x:c>
    </x:row>
    <x:row r="558">
      <x:c r="A558" s="83" t="str">
        <x:v>T-SPINDLE</x:v>
      </x:c>
      <x:c r="B558" s="83" t="str">
        <x:v>A-BOWSTRING</x:v>
      </x:c>
      <x:c r="C558" s="83" t="str">
        <x:v>Prerequisite</x:v>
      </x:c>
      <x:c r="D558" s="83" t="str">
        <x:v>Yes</x:v>
      </x:c>
      <x:c r="E558" s="83"/>
      <x:c r="F558" s="83" t="str">
        <x:v>v2.7 Civilization Weave</x:v>
      </x:c>
      <x:c r="G558" s="83" t="n">
        <x:f>COUNTIF('Craft Nodes'!$A$5:$A$250,A558)</x:f>
        <x:v>1</x:v>
      </x:c>
      <x:c r="H558" s="83" t="n">
        <x:f>COUNTIF('Craft Nodes'!$A$5:$A$250,B558)</x:f>
        <x:v>1</x:v>
      </x:c>
      <x:c r="I558" s="83" t="str">
        <x:f>IF(AND(G558=1,H558=1),"OK",IF(G558=0,"MISSING FROM","MISSING TO"))</x:f>
        <x:v>OK</x:v>
      </x:c>
    </x:row>
    <x:row r="559">
      <x:c r="A559" s="83" t="str">
        <x:v>S-MIXED-SCRAP</x:v>
      </x:c>
      <x:c r="B559" s="83" t="str">
        <x:v>P-ALLOY-SORT</x:v>
      </x:c>
      <x:c r="C559" s="83" t="str">
        <x:v>Prerequisite</x:v>
      </x:c>
      <x:c r="D559" s="83" t="str">
        <x:v>Yes</x:v>
      </x:c>
      <x:c r="E559" s="83"/>
      <x:c r="F559" s="83" t="str">
        <x:v>v2.7 Civilization Weave</x:v>
      </x:c>
      <x:c r="G559" s="83" t="n">
        <x:f>COUNTIF('Craft Nodes'!$A$5:$A$250,A559)</x:f>
        <x:v>1</x:v>
      </x:c>
      <x:c r="H559" s="83" t="n">
        <x:f>COUNTIF('Craft Nodes'!$A$5:$A$250,B559)</x:f>
        <x:v>1</x:v>
      </x:c>
      <x:c r="I559" s="83" t="str">
        <x:f>IF(AND(G559=1,H559=1),"OK",IF(G559=0,"MISSING FROM","MISSING TO"))</x:f>
        <x:v>OK</x:v>
      </x:c>
    </x:row>
    <x:row r="560">
      <x:c r="A560" s="83" t="str">
        <x:v>T-FILE</x:v>
      </x:c>
      <x:c r="B560" s="83" t="str">
        <x:v>P-ALLOY-SORT</x:v>
      </x:c>
      <x:c r="C560" s="83" t="str">
        <x:v>Prerequisite</x:v>
      </x:c>
      <x:c r="D560" s="83" t="str">
        <x:v>Yes</x:v>
      </x:c>
      <x:c r="E560" s="83"/>
      <x:c r="F560" s="83" t="str">
        <x:v>v2.7 Civilization Weave</x:v>
      </x:c>
      <x:c r="G560" s="83" t="n">
        <x:f>COUNTIF('Craft Nodes'!$A$5:$A$250,A560)</x:f>
        <x:v>1</x:v>
      </x:c>
      <x:c r="H560" s="83" t="n">
        <x:f>COUNTIF('Craft Nodes'!$A$5:$A$250,B560)</x:f>
        <x:v>1</x:v>
      </x:c>
      <x:c r="I560" s="83" t="str">
        <x:f>IF(AND(G560=1,H560=1),"OK",IF(G560=0,"MISSING FROM","MISSING TO"))</x:f>
        <x:v>OK</x:v>
      </x:c>
    </x:row>
    <x:row r="561">
      <x:c r="A561" s="83" t="str">
        <x:v>S-ORE</x:v>
      </x:c>
      <x:c r="B561" s="83" t="str">
        <x:v>P-ORE-CONC</x:v>
      </x:c>
      <x:c r="C561" s="83" t="str">
        <x:v>Prerequisite</x:v>
      </x:c>
      <x:c r="D561" s="83" t="str">
        <x:v>Yes</x:v>
      </x:c>
      <x:c r="E561" s="83"/>
      <x:c r="F561" s="83" t="str">
        <x:v>v2.7 Civilization Weave</x:v>
      </x:c>
      <x:c r="G561" s="83" t="n">
        <x:f>COUNTIF('Craft Nodes'!$A$5:$A$250,A561)</x:f>
        <x:v>1</x:v>
      </x:c>
      <x:c r="H561" s="83" t="n">
        <x:f>COUNTIF('Craft Nodes'!$A$5:$A$250,B561)</x:f>
        <x:v>1</x:v>
      </x:c>
      <x:c r="I561" s="83" t="str">
        <x:f>IF(AND(G561=1,H561=1),"OK",IF(G561=0,"MISSING FROM","MISSING TO"))</x:f>
        <x:v>OK</x:v>
      </x:c>
    </x:row>
    <x:row r="562">
      <x:c r="A562" s="83" t="str">
        <x:v>T-HAMMER</x:v>
      </x:c>
      <x:c r="B562" s="83" t="str">
        <x:v>P-ORE-CONC</x:v>
      </x:c>
      <x:c r="C562" s="83" t="str">
        <x:v>Prerequisite</x:v>
      </x:c>
      <x:c r="D562" s="83" t="str">
        <x:v>Yes</x:v>
      </x:c>
      <x:c r="E562" s="83"/>
      <x:c r="F562" s="83" t="str">
        <x:v>v2.7 Civilization Weave</x:v>
      </x:c>
      <x:c r="G562" s="83" t="n">
        <x:f>COUNTIF('Craft Nodes'!$A$5:$A$250,A562)</x:f>
        <x:v>1</x:v>
      </x:c>
      <x:c r="H562" s="83" t="n">
        <x:f>COUNTIF('Craft Nodes'!$A$5:$A$250,B562)</x:f>
        <x:v>1</x:v>
      </x:c>
      <x:c r="I562" s="83" t="str">
        <x:f>IF(AND(G562=1,H562=1),"OK",IF(G562=0,"MISSING FROM","MISSING TO"))</x:f>
        <x:v>OK</x:v>
      </x:c>
    </x:row>
    <x:row r="563">
      <x:c r="A563" s="83" t="str">
        <x:v>P-ALLOY-SORT</x:v>
      </x:c>
      <x:c r="B563" s="83" t="str">
        <x:v>P-BILLET</x:v>
      </x:c>
      <x:c r="C563" s="83" t="str">
        <x:v>Prerequisite</x:v>
      </x:c>
      <x:c r="D563" s="83" t="str">
        <x:v>Yes</x:v>
      </x:c>
      <x:c r="E563" s="83"/>
      <x:c r="F563" s="83" t="str">
        <x:v>v2.7 Civilization Weave</x:v>
      </x:c>
      <x:c r="G563" s="83" t="n">
        <x:f>COUNTIF('Craft Nodes'!$A$5:$A$250,A563)</x:f>
        <x:v>1</x:v>
      </x:c>
      <x:c r="H563" s="83" t="n">
        <x:f>COUNTIF('Craft Nodes'!$A$5:$A$250,B563)</x:f>
        <x:v>1</x:v>
      </x:c>
      <x:c r="I563" s="83" t="str">
        <x:f>IF(AND(G563=1,H563=1),"OK",IF(G563=0,"MISSING FROM","MISSING TO"))</x:f>
        <x:v>OK</x:v>
      </x:c>
    </x:row>
    <x:row r="564">
      <x:c r="A564" s="83" t="str">
        <x:v>W-FORGE</x:v>
      </x:c>
      <x:c r="B564" s="83" t="str">
        <x:v>P-BILLET</x:v>
      </x:c>
      <x:c r="C564" s="83" t="str">
        <x:v>Prerequisite</x:v>
      </x:c>
      <x:c r="D564" s="83" t="str">
        <x:v>Yes</x:v>
      </x:c>
      <x:c r="E564" s="83"/>
      <x:c r="F564" s="83" t="str">
        <x:v>v2.7 Civilization Weave</x:v>
      </x:c>
      <x:c r="G564" s="83" t="n">
        <x:f>COUNTIF('Craft Nodes'!$A$5:$A$250,A564)</x:f>
        <x:v>1</x:v>
      </x:c>
      <x:c r="H564" s="83" t="n">
        <x:f>COUNTIF('Craft Nodes'!$A$5:$A$250,B564)</x:f>
        <x:v>1</x:v>
      </x:c>
      <x:c r="I564" s="83" t="str">
        <x:f>IF(AND(G564=1,H564=1),"OK",IF(G564=0,"MISSING FROM","MISSING TO"))</x:f>
        <x:v>OK</x:v>
      </x:c>
    </x:row>
    <x:row r="565">
      <x:c r="A565" s="83" t="str">
        <x:v>P-ORE-CONC</x:v>
      </x:c>
      <x:c r="B565" s="83" t="str">
        <x:v>P-SMELTED-METAL</x:v>
      </x:c>
      <x:c r="C565" s="83" t="str">
        <x:v>Prerequisite</x:v>
      </x:c>
      <x:c r="D565" s="83" t="str">
        <x:v>Yes</x:v>
      </x:c>
      <x:c r="E565" s="83"/>
      <x:c r="F565" s="83" t="str">
        <x:v>v2.7 Civilization Weave</x:v>
      </x:c>
      <x:c r="G565" s="83" t="n">
        <x:f>COUNTIF('Craft Nodes'!$A$5:$A$250,A565)</x:f>
        <x:v>1</x:v>
      </x:c>
      <x:c r="H565" s="83" t="n">
        <x:f>COUNTIF('Craft Nodes'!$A$5:$A$250,B565)</x:f>
        <x:v>1</x:v>
      </x:c>
      <x:c r="I565" s="83" t="str">
        <x:f>IF(AND(G565=1,H565=1),"OK",IF(G565=0,"MISSING FROM","MISSING TO"))</x:f>
        <x:v>OK</x:v>
      </x:c>
    </x:row>
    <x:row r="566">
      <x:c r="A566" s="83" t="str">
        <x:v>W-FORGE</x:v>
      </x:c>
      <x:c r="B566" s="83" t="str">
        <x:v>P-SMELTED-METAL</x:v>
      </x:c>
      <x:c r="C566" s="83" t="str">
        <x:v>Prerequisite</x:v>
      </x:c>
      <x:c r="D566" s="83" t="str">
        <x:v>Yes</x:v>
      </x:c>
      <x:c r="E566" s="83"/>
      <x:c r="F566" s="83" t="str">
        <x:v>v2.7 Civilization Weave</x:v>
      </x:c>
      <x:c r="G566" s="83" t="n">
        <x:f>COUNTIF('Craft Nodes'!$A$5:$A$250,A566)</x:f>
        <x:v>1</x:v>
      </x:c>
      <x:c r="H566" s="83" t="n">
        <x:f>COUNTIF('Craft Nodes'!$A$5:$A$250,B566)</x:f>
        <x:v>1</x:v>
      </x:c>
      <x:c r="I566" s="83" t="str">
        <x:f>IF(AND(G566=1,H566=1),"OK",IF(G566=0,"MISSING FROM","MISSING TO"))</x:f>
        <x:v>OK</x:v>
      </x:c>
    </x:row>
    <x:row r="567">
      <x:c r="A567" s="83" t="str">
        <x:v>W-BENCH</x:v>
      </x:c>
      <x:c r="B567" s="83" t="str">
        <x:v>W-PRECISION</x:v>
      </x:c>
      <x:c r="C567" s="83" t="str">
        <x:v>Prerequisite</x:v>
      </x:c>
      <x:c r="D567" s="83" t="str">
        <x:v>Yes</x:v>
      </x:c>
      <x:c r="E567" s="83"/>
      <x:c r="F567" s="83" t="str">
        <x:v>v2.7 Civilization Weave</x:v>
      </x:c>
      <x:c r="G567" s="83" t="n">
        <x:f>COUNTIF('Craft Nodes'!$A$5:$A$250,A567)</x:f>
        <x:v>1</x:v>
      </x:c>
      <x:c r="H567" s="83" t="n">
        <x:f>COUNTIF('Craft Nodes'!$A$5:$A$250,B567)</x:f>
        <x:v>1</x:v>
      </x:c>
      <x:c r="I567" s="83" t="str">
        <x:f>IF(AND(G567=1,H567=1),"OK",IF(G567=0,"MISSING FROM","MISSING TO"))</x:f>
        <x:v>OK</x:v>
      </x:c>
    </x:row>
    <x:row r="568">
      <x:c r="A568" s="83" t="str">
        <x:v>T-CLAMP</x:v>
      </x:c>
      <x:c r="B568" s="83" t="str">
        <x:v>W-PRECISION</x:v>
      </x:c>
      <x:c r="C568" s="83" t="str">
        <x:v>Prerequisite</x:v>
      </x:c>
      <x:c r="D568" s="83" t="str">
        <x:v>Yes</x:v>
      </x:c>
      <x:c r="E568" s="83"/>
      <x:c r="F568" s="83" t="str">
        <x:v>v2.7 Civilization Weave</x:v>
      </x:c>
      <x:c r="G568" s="83" t="n">
        <x:f>COUNTIF('Craft Nodes'!$A$5:$A$250,A568)</x:f>
        <x:v>1</x:v>
      </x:c>
      <x:c r="H568" s="83" t="n">
        <x:f>COUNTIF('Craft Nodes'!$A$5:$A$250,B568)</x:f>
        <x:v>1</x:v>
      </x:c>
      <x:c r="I568" s="83" t="str">
        <x:f>IF(AND(G568=1,H568=1),"OK",IF(G568=0,"MISSING FROM","MISSING TO"))</x:f>
        <x:v>OK</x:v>
      </x:c>
    </x:row>
    <x:row r="569">
      <x:c r="A569" s="83" t="str">
        <x:v>W-ARCHIVE</x:v>
      </x:c>
      <x:c r="B569" s="83" t="str">
        <x:v>A-PARTS-CATALOG</x:v>
      </x:c>
      <x:c r="C569" s="83" t="str">
        <x:v>Prerequisite</x:v>
      </x:c>
      <x:c r="D569" s="83" t="str">
        <x:v>Yes</x:v>
      </x:c>
      <x:c r="E569" s="83"/>
      <x:c r="F569" s="83" t="str">
        <x:v>v2.7 Civilization Weave</x:v>
      </x:c>
      <x:c r="G569" s="83" t="n">
        <x:f>COUNTIF('Craft Nodes'!$A$5:$A$250,A569)</x:f>
        <x:v>1</x:v>
      </x:c>
      <x:c r="H569" s="83" t="n">
        <x:f>COUNTIF('Craft Nodes'!$A$5:$A$250,B569)</x:f>
        <x:v>1</x:v>
      </x:c>
      <x:c r="I569" s="83" t="str">
        <x:f>IF(AND(G569=1,H569=1),"OK",IF(G569=0,"MISSING FROM","MISSING TO"))</x:f>
        <x:v>OK</x:v>
      </x:c>
    </x:row>
    <x:row r="570">
      <x:c r="A570" s="83" t="str">
        <x:v>S-MANUAL</x:v>
      </x:c>
      <x:c r="B570" s="83" t="str">
        <x:v>A-PARTS-CATALOG</x:v>
      </x:c>
      <x:c r="C570" s="83" t="str">
        <x:v>Prerequisite</x:v>
      </x:c>
      <x:c r="D570" s="83" t="str">
        <x:v>Yes</x:v>
      </x:c>
      <x:c r="E570" s="83"/>
      <x:c r="F570" s="83" t="str">
        <x:v>v2.7 Civilization Weave</x:v>
      </x:c>
      <x:c r="G570" s="83" t="n">
        <x:f>COUNTIF('Craft Nodes'!$A$5:$A$250,A570)</x:f>
        <x:v>1</x:v>
      </x:c>
      <x:c r="H570" s="83" t="n">
        <x:f>COUNTIF('Craft Nodes'!$A$5:$A$250,B570)</x:f>
        <x:v>1</x:v>
      </x:c>
      <x:c r="I570" s="83" t="str">
        <x:f>IF(AND(G570=1,H570=1),"OK",IF(G570=0,"MISSING FROM","MISSING TO"))</x:f>
        <x:v>OK</x:v>
      </x:c>
    </x:row>
    <x:row r="571">
      <x:c r="A571" s="83" t="str">
        <x:v>A-COVERED-STORE</x:v>
      </x:c>
      <x:c r="B571" s="83" t="str">
        <x:v>A-SALVAGE-YARD</x:v>
      </x:c>
      <x:c r="C571" s="83" t="str">
        <x:v>Prerequisite</x:v>
      </x:c>
      <x:c r="D571" s="83" t="str">
        <x:v>Yes</x:v>
      </x:c>
      <x:c r="E571" s="83"/>
      <x:c r="F571" s="83" t="str">
        <x:v>v2.7 Civilization Weave</x:v>
      </x:c>
      <x:c r="G571" s="83" t="n">
        <x:f>COUNTIF('Craft Nodes'!$A$5:$A$250,A571)</x:f>
        <x:v>1</x:v>
      </x:c>
      <x:c r="H571" s="83" t="n">
        <x:f>COUNTIF('Craft Nodes'!$A$5:$A$250,B571)</x:f>
        <x:v>1</x:v>
      </x:c>
      <x:c r="I571" s="83" t="str">
        <x:f>IF(AND(G571=1,H571=1),"OK",IF(G571=0,"MISSING FROM","MISSING TO"))</x:f>
        <x:v>OK</x:v>
      </x:c>
    </x:row>
    <x:row r="572">
      <x:c r="A572" s="83" t="str">
        <x:v>A-ROOF</x:v>
      </x:c>
      <x:c r="B572" s="83" t="str">
        <x:v>A-SALVAGE-YARD</x:v>
      </x:c>
      <x:c r="C572" s="83" t="str">
        <x:v>Prerequisite</x:v>
      </x:c>
      <x:c r="D572" s="83" t="str">
        <x:v>Yes</x:v>
      </x:c>
      <x:c r="E572" s="83"/>
      <x:c r="F572" s="83" t="str">
        <x:v>v2.7 Civilization Weave</x:v>
      </x:c>
      <x:c r="G572" s="83" t="n">
        <x:f>COUNTIF('Craft Nodes'!$A$5:$A$250,A572)</x:f>
        <x:v>1</x:v>
      </x:c>
      <x:c r="H572" s="83" t="n">
        <x:f>COUNTIF('Craft Nodes'!$A$5:$A$250,B572)</x:f>
        <x:v>1</x:v>
      </x:c>
      <x:c r="I572" s="83" t="str">
        <x:f>IF(AND(G572=1,H572=1),"OK",IF(G572=0,"MISSING FROM","MISSING TO"))</x:f>
        <x:v>OK</x:v>
      </x:c>
    </x:row>
    <x:row r="573">
      <x:c r="A573" s="83" t="str">
        <x:v>A-ROOF</x:v>
      </x:c>
      <x:c r="B573" s="83" t="str">
        <x:v>A-QUARANTINE</x:v>
      </x:c>
      <x:c r="C573" s="83" t="str">
        <x:v>Prerequisite</x:v>
      </x:c>
      <x:c r="D573" s="83" t="str">
        <x:v>Yes</x:v>
      </x:c>
      <x:c r="E573" s="83"/>
      <x:c r="F573" s="83" t="str">
        <x:v>v2.7 Civilization Weave</x:v>
      </x:c>
      <x:c r="G573" s="83" t="n">
        <x:f>COUNTIF('Craft Nodes'!$A$5:$A$250,A573)</x:f>
        <x:v>1</x:v>
      </x:c>
      <x:c r="H573" s="83" t="n">
        <x:f>COUNTIF('Craft Nodes'!$A$5:$A$250,B573)</x:f>
        <x:v>1</x:v>
      </x:c>
      <x:c r="I573" s="83" t="str">
        <x:f>IF(AND(G573=1,H573=1),"OK",IF(G573=0,"MISSING FROM","MISSING TO"))</x:f>
        <x:v>OK</x:v>
      </x:c>
    </x:row>
    <x:row r="574">
      <x:c r="A574" s="83" t="str">
        <x:v>W-CLEAN</x:v>
      </x:c>
      <x:c r="B574" s="83" t="str">
        <x:v>A-QUARANTINE</x:v>
      </x:c>
      <x:c r="C574" s="83" t="str">
        <x:v>Prerequisite</x:v>
      </x:c>
      <x:c r="D574" s="83" t="str">
        <x:v>Yes</x:v>
      </x:c>
      <x:c r="E574" s="83"/>
      <x:c r="F574" s="83" t="str">
        <x:v>v2.7 Civilization Weave</x:v>
      </x:c>
      <x:c r="G574" s="83" t="n">
        <x:f>COUNTIF('Craft Nodes'!$A$5:$A$250,A574)</x:f>
        <x:v>1</x:v>
      </x:c>
      <x:c r="H574" s="83" t="n">
        <x:f>COUNTIF('Craft Nodes'!$A$5:$A$250,B574)</x:f>
        <x:v>1</x:v>
      </x:c>
      <x:c r="I574" s="83" t="str">
        <x:f>IF(AND(G574=1,H574=1),"OK",IF(G574=0,"MISSING FROM","MISSING TO"))</x:f>
        <x:v>OK</x:v>
      </x:c>
    </x:row>
    <x:row r="575">
      <x:c r="A575" s="83" t="str">
        <x:v>A-SALVAGE-YARD</x:v>
      </x:c>
      <x:c r="B575" s="83" t="str">
        <x:v>A-WASTE-CONTROL</x:v>
      </x:c>
      <x:c r="C575" s="83" t="str">
        <x:v>Prerequisite</x:v>
      </x:c>
      <x:c r="D575" s="83" t="str">
        <x:v>Yes</x:v>
      </x:c>
      <x:c r="E575" s="83"/>
      <x:c r="F575" s="83" t="str">
        <x:v>v2.7 Civilization Weave</x:v>
      </x:c>
      <x:c r="G575" s="83" t="n">
        <x:f>COUNTIF('Craft Nodes'!$A$5:$A$250,A575)</x:f>
        <x:v>1</x:v>
      </x:c>
      <x:c r="H575" s="83" t="n">
        <x:f>COUNTIF('Craft Nodes'!$A$5:$A$250,B575)</x:f>
        <x:v>1</x:v>
      </x:c>
      <x:c r="I575" s="83" t="str">
        <x:f>IF(AND(G575=1,H575=1),"OK",IF(G575=0,"MISSING FROM","MISSING TO"))</x:f>
        <x:v>OK</x:v>
      </x:c>
    </x:row>
    <x:row r="576">
      <x:c r="A576" s="83" t="str">
        <x:v>A-LATRINE</x:v>
      </x:c>
      <x:c r="B576" s="83" t="str">
        <x:v>A-WASTE-CONTROL</x:v>
      </x:c>
      <x:c r="C576" s="83" t="str">
        <x:v>Prerequisite</x:v>
      </x:c>
      <x:c r="D576" s="83" t="str">
        <x:v>Yes</x:v>
      </x:c>
      <x:c r="E576" s="83"/>
      <x:c r="F576" s="83" t="str">
        <x:v>v2.7 Civilization Weave</x:v>
      </x:c>
      <x:c r="G576" s="83" t="n">
        <x:f>COUNTIF('Craft Nodes'!$A$5:$A$250,A576)</x:f>
        <x:v>1</x:v>
      </x:c>
      <x:c r="H576" s="83" t="n">
        <x:f>COUNTIF('Craft Nodes'!$A$5:$A$250,B576)</x:f>
        <x:v>1</x:v>
      </x:c>
      <x:c r="I576" s="83" t="str">
        <x:f>IF(AND(G576=1,H576=1),"OK",IF(G576=0,"MISSING FROM","MISSING TO"))</x:f>
        <x:v>OK</x:v>
      </x:c>
    </x:row>
    <x:row r="577">
      <x:c r="A577" s="83" t="str">
        <x:v>T-SHOVEL</x:v>
      </x:c>
      <x:c r="B577" s="83" t="str">
        <x:v>A-BURIED-RECOVERY</x:v>
      </x:c>
      <x:c r="C577" s="83" t="str">
        <x:v>Prerequisite</x:v>
      </x:c>
      <x:c r="D577" s="83" t="str">
        <x:v>Yes</x:v>
      </x:c>
      <x:c r="E577" s="83"/>
      <x:c r="F577" s="83" t="str">
        <x:v>v2.7 Civilization Weave</x:v>
      </x:c>
      <x:c r="G577" s="83" t="n">
        <x:f>COUNTIF('Craft Nodes'!$A$5:$A$250,A577)</x:f>
        <x:v>1</x:v>
      </x:c>
      <x:c r="H577" s="83" t="n">
        <x:f>COUNTIF('Craft Nodes'!$A$5:$A$250,B577)</x:f>
        <x:v>1</x:v>
      </x:c>
      <x:c r="I577" s="83" t="str">
        <x:f>IF(AND(G577=1,H577=1),"OK",IF(G577=0,"MISSING FROM","MISSING TO"))</x:f>
        <x:v>OK</x:v>
      </x:c>
    </x:row>
    <x:row r="578">
      <x:c r="A578" s="83" t="str">
        <x:v>T-PRY</x:v>
      </x:c>
      <x:c r="B578" s="83" t="str">
        <x:v>A-BURIED-RECOVERY</x:v>
      </x:c>
      <x:c r="C578" s="83" t="str">
        <x:v>Prerequisite</x:v>
      </x:c>
      <x:c r="D578" s="83" t="str">
        <x:v>Yes</x:v>
      </x:c>
      <x:c r="E578" s="83"/>
      <x:c r="F578" s="83" t="str">
        <x:v>v2.7 Civilization Weave</x:v>
      </x:c>
      <x:c r="G578" s="83" t="n">
        <x:f>COUNTIF('Craft Nodes'!$A$5:$A$250,A578)</x:f>
        <x:v>1</x:v>
      </x:c>
      <x:c r="H578" s="83" t="n">
        <x:f>COUNTIF('Craft Nodes'!$A$5:$A$250,B578)</x:f>
        <x:v>1</x:v>
      </x:c>
      <x:c r="I578" s="83" t="str">
        <x:f>IF(AND(G578=1,H578=1),"OK",IF(G578=0,"MISSING FROM","MISSING TO"))</x:f>
        <x:v>OK</x:v>
      </x:c>
    </x:row>
    <x:row r="579">
      <x:c r="A579" s="83" t="str">
        <x:v>W-HEARTH</x:v>
      </x:c>
      <x:c r="B579" s="83" t="str">
        <x:v>A-STOVE</x:v>
      </x:c>
      <x:c r="C579" s="83" t="str">
        <x:v>Prerequisite</x:v>
      </x:c>
      <x:c r="D579" s="83" t="str">
        <x:v>Yes</x:v>
      </x:c>
      <x:c r="E579" s="83"/>
      <x:c r="F579" s="83" t="str">
        <x:v>v2.7 Civilization Weave</x:v>
      </x:c>
      <x:c r="G579" s="83" t="n">
        <x:f>COUNTIF('Craft Nodes'!$A$5:$A$250,A579)</x:f>
        <x:v>1</x:v>
      </x:c>
      <x:c r="H579" s="83" t="n">
        <x:f>COUNTIF('Craft Nodes'!$A$5:$A$250,B579)</x:f>
        <x:v>1</x:v>
      </x:c>
      <x:c r="I579" s="83" t="str">
        <x:f>IF(AND(G579=1,H579=1),"OK",IF(G579=0,"MISSING FROM","MISSING TO"))</x:f>
        <x:v>OK</x:v>
      </x:c>
    </x:row>
    <x:row r="580">
      <x:c r="A580" s="83" t="str">
        <x:v>P-FIRED-CERAMIC</x:v>
      </x:c>
      <x:c r="B580" s="83" t="str">
        <x:v>A-STOVE</x:v>
      </x:c>
      <x:c r="C580" s="83" t="str">
        <x:v>Prerequisite</x:v>
      </x:c>
      <x:c r="D580" s="83" t="str">
        <x:v>Yes</x:v>
      </x:c>
      <x:c r="E580" s="83"/>
      <x:c r="F580" s="83" t="str">
        <x:v>v2.7 Civilization Weave</x:v>
      </x:c>
      <x:c r="G580" s="83" t="n">
        <x:f>COUNTIF('Craft Nodes'!$A$5:$A$250,A580)</x:f>
        <x:v>1</x:v>
      </x:c>
      <x:c r="H580" s="83" t="n">
        <x:f>COUNTIF('Craft Nodes'!$A$5:$A$250,B580)</x:f>
        <x:v>1</x:v>
      </x:c>
      <x:c r="I580" s="83" t="str">
        <x:f>IF(AND(G580=1,H580=1),"OK",IF(G580=0,"MISSING FROM","MISSING TO"))</x:f>
        <x:v>OK</x:v>
      </x:c>
    </x:row>
    <x:row r="581">
      <x:c r="A581" s="83" t="str">
        <x:v>A-STOVE</x:v>
      </x:c>
      <x:c r="B581" s="83" t="str">
        <x:v>A-OVEN</x:v>
      </x:c>
      <x:c r="C581" s="83" t="str">
        <x:v>Prerequisite</x:v>
      </x:c>
      <x:c r="D581" s="83" t="str">
        <x:v>Yes</x:v>
      </x:c>
      <x:c r="E581" s="83"/>
      <x:c r="F581" s="83" t="str">
        <x:v>v2.7 Civilization Weave</x:v>
      </x:c>
      <x:c r="G581" s="83" t="n">
        <x:f>COUNTIF('Craft Nodes'!$A$5:$A$250,A581)</x:f>
        <x:v>1</x:v>
      </x:c>
      <x:c r="H581" s="83" t="n">
        <x:f>COUNTIF('Craft Nodes'!$A$5:$A$250,B581)</x:f>
        <x:v>1</x:v>
      </x:c>
      <x:c r="I581" s="83" t="str">
        <x:f>IF(AND(G581=1,H581=1),"OK",IF(G581=0,"MISSING FROM","MISSING TO"))</x:f>
        <x:v>OK</x:v>
      </x:c>
    </x:row>
    <x:row r="582">
      <x:c r="A582" s="83" t="str">
        <x:v>P-FIRED-CERAMIC</x:v>
      </x:c>
      <x:c r="B582" s="83" t="str">
        <x:v>A-OVEN</x:v>
      </x:c>
      <x:c r="C582" s="83" t="str">
        <x:v>Prerequisite</x:v>
      </x:c>
      <x:c r="D582" s="83" t="str">
        <x:v>Yes</x:v>
      </x:c>
      <x:c r="E582" s="83"/>
      <x:c r="F582" s="83" t="str">
        <x:v>v2.7 Civilization Weave</x:v>
      </x:c>
      <x:c r="G582" s="83" t="n">
        <x:f>COUNTIF('Craft Nodes'!$A$5:$A$250,A582)</x:f>
        <x:v>1</x:v>
      </x:c>
      <x:c r="H582" s="83" t="n">
        <x:f>COUNTIF('Craft Nodes'!$A$5:$A$250,B582)</x:f>
        <x:v>1</x:v>
      </x:c>
      <x:c r="I582" s="83" t="str">
        <x:f>IF(AND(G582=1,H582=1),"OK",IF(G582=0,"MISSING FROM","MISSING TO"))</x:f>
        <x:v>OK</x:v>
      </x:c>
    </x:row>
    <x:row r="583">
      <x:c r="A583" s="83" t="str">
        <x:v>C-FOUND-PAN</x:v>
      </x:c>
      <x:c r="B583" s="83" t="str">
        <x:v>A-OPEN-STEAM</x:v>
      </x:c>
      <x:c r="C583" s="83" t="str">
        <x:v>Prerequisite</x:v>
      </x:c>
      <x:c r="D583" s="83" t="str">
        <x:v>Yes</x:v>
      </x:c>
      <x:c r="E583" s="83"/>
      <x:c r="F583" s="83" t="str">
        <x:v>v2.7 Civilization Weave</x:v>
      </x:c>
      <x:c r="G583" s="83" t="n">
        <x:f>COUNTIF('Craft Nodes'!$A$5:$A$250,A583)</x:f>
        <x:v>1</x:v>
      </x:c>
      <x:c r="H583" s="83" t="n">
        <x:f>COUNTIF('Craft Nodes'!$A$5:$A$250,B583)</x:f>
        <x:v>1</x:v>
      </x:c>
      <x:c r="I583" s="83" t="str">
        <x:f>IF(AND(G583=1,H583=1),"OK",IF(G583=0,"MISSING FROM","MISSING TO"))</x:f>
        <x:v>OK</x:v>
      </x:c>
    </x:row>
    <x:row r="584">
      <x:c r="A584" s="83" t="str">
        <x:v>A-PIPE</x:v>
      </x:c>
      <x:c r="B584" s="83" t="str">
        <x:v>A-OPEN-STEAM</x:v>
      </x:c>
      <x:c r="C584" s="83" t="str">
        <x:v>Prerequisite</x:v>
      </x:c>
      <x:c r="D584" s="83" t="str">
        <x:v>Yes</x:v>
      </x:c>
      <x:c r="E584" s="83"/>
      <x:c r="F584" s="83" t="str">
        <x:v>v2.7 Civilization Weave</x:v>
      </x:c>
      <x:c r="G584" s="83" t="n">
        <x:f>COUNTIF('Craft Nodes'!$A$5:$A$250,A584)</x:f>
        <x:v>1</x:v>
      </x:c>
      <x:c r="H584" s="83" t="n">
        <x:f>COUNTIF('Craft Nodes'!$A$5:$A$250,B584)</x:f>
        <x:v>1</x:v>
      </x:c>
      <x:c r="I584" s="83" t="str">
        <x:f>IF(AND(G584=1,H584=1),"OK",IF(G584=0,"MISSING FROM","MISSING TO"))</x:f>
        <x:v>OK</x:v>
      </x:c>
    </x:row>
    <x:row r="585">
      <x:c r="A585" s="83" t="str">
        <x:v>A-VALVE</x:v>
      </x:c>
      <x:c r="B585" s="83" t="str">
        <x:v>A-PRESSURE-CONTROL</x:v>
      </x:c>
      <x:c r="C585" s="83" t="str">
        <x:v>Prerequisite</x:v>
      </x:c>
      <x:c r="D585" s="83" t="str">
        <x:v>Yes</x:v>
      </x:c>
      <x:c r="E585" s="83"/>
      <x:c r="F585" s="83" t="str">
        <x:v>v2.7 Civilization Weave</x:v>
      </x:c>
      <x:c r="G585" s="83" t="n">
        <x:f>COUNTIF('Craft Nodes'!$A$5:$A$250,A585)</x:f>
        <x:v>1</x:v>
      </x:c>
      <x:c r="H585" s="83" t="n">
        <x:f>COUNTIF('Craft Nodes'!$A$5:$A$250,B585)</x:f>
        <x:v>1</x:v>
      </x:c>
      <x:c r="I585" s="83" t="str">
        <x:f>IF(AND(G585=1,H585=1),"OK",IF(G585=0,"MISSING FROM","MISSING TO"))</x:f>
        <x:v>OK</x:v>
      </x:c>
    </x:row>
    <x:row r="586">
      <x:c r="A586" s="83" t="str">
        <x:v>T-METER</x:v>
      </x:c>
      <x:c r="B586" s="83" t="str">
        <x:v>A-PRESSURE-CONTROL</x:v>
      </x:c>
      <x:c r="C586" s="83" t="str">
        <x:v>Prerequisite</x:v>
      </x:c>
      <x:c r="D586" s="83" t="str">
        <x:v>Yes</x:v>
      </x:c>
      <x:c r="E586" s="83"/>
      <x:c r="F586" s="83" t="str">
        <x:v>v2.7 Civilization Weave</x:v>
      </x:c>
      <x:c r="G586" s="83" t="n">
        <x:f>COUNTIF('Craft Nodes'!$A$5:$A$250,A586)</x:f>
        <x:v>1</x:v>
      </x:c>
      <x:c r="H586" s="83" t="n">
        <x:f>COUNTIF('Craft Nodes'!$A$5:$A$250,B586)</x:f>
        <x:v>1</x:v>
      </x:c>
      <x:c r="I586" s="83" t="str">
        <x:f>IF(AND(G586=1,H586=1),"OK",IF(G586=0,"MISSING FROM","MISSING TO"))</x:f>
        <x:v>OK</x:v>
      </x:c>
    </x:row>
    <x:row r="587">
      <x:c r="A587" s="83" t="str">
        <x:v>P-METAL-STOCK</x:v>
      </x:c>
      <x:c r="B587" s="83" t="str">
        <x:v>A-PRESSURE-BOILER</x:v>
      </x:c>
      <x:c r="C587" s="83" t="str">
        <x:v>Prerequisite</x:v>
      </x:c>
      <x:c r="D587" s="83" t="str">
        <x:v>Yes</x:v>
      </x:c>
      <x:c r="E587" s="83"/>
      <x:c r="F587" s="83" t="str">
        <x:v>v2.7 Civilization Weave</x:v>
      </x:c>
      <x:c r="G587" s="83" t="n">
        <x:f>COUNTIF('Craft Nodes'!$A$5:$A$250,A587)</x:f>
        <x:v>1</x:v>
      </x:c>
      <x:c r="H587" s="83" t="n">
        <x:f>COUNTIF('Craft Nodes'!$A$5:$A$250,B587)</x:f>
        <x:v>1</x:v>
      </x:c>
      <x:c r="I587" s="83" t="str">
        <x:f>IF(AND(G587=1,H587=1),"OK",IF(G587=0,"MISSING FROM","MISSING TO"))</x:f>
        <x:v>OK</x:v>
      </x:c>
    </x:row>
    <x:row r="588">
      <x:c r="A588" s="83" t="str">
        <x:v>A-PRESSURE-CONTROL</x:v>
      </x:c>
      <x:c r="B588" s="83" t="str">
        <x:v>A-PRESSURE-BOILER</x:v>
      </x:c>
      <x:c r="C588" s="83" t="str">
        <x:v>Prerequisite</x:v>
      </x:c>
      <x:c r="D588" s="83" t="str">
        <x:v>Yes</x:v>
      </x:c>
      <x:c r="E588" s="83"/>
      <x:c r="F588" s="83" t="str">
        <x:v>v2.7 Civilization Weave</x:v>
      </x:c>
      <x:c r="G588" s="83" t="n">
        <x:f>COUNTIF('Craft Nodes'!$A$5:$A$250,A588)</x:f>
        <x:v>1</x:v>
      </x:c>
      <x:c r="H588" s="83" t="n">
        <x:f>COUNTIF('Craft Nodes'!$A$5:$A$250,B588)</x:f>
        <x:v>1</x:v>
      </x:c>
      <x:c r="I588" s="83" t="str">
        <x:f>IF(AND(G588=1,H588=1),"OK",IF(G588=0,"MISSING FROM","MISSING TO"))</x:f>
        <x:v>OK</x:v>
      </x:c>
    </x:row>
    <x:row r="589">
      <x:c r="A589" s="83" t="str">
        <x:v>A-PRESSURE-BOILER</x:v>
      </x:c>
      <x:c r="B589" s="83" t="str">
        <x:v>A-STEAM-ENGINE</x:v>
      </x:c>
      <x:c r="C589" s="83" t="str">
        <x:v>Prerequisite</x:v>
      </x:c>
      <x:c r="D589" s="83" t="str">
        <x:v>Yes</x:v>
      </x:c>
      <x:c r="E589" s="83"/>
      <x:c r="F589" s="83" t="str">
        <x:v>v2.7 Civilization Weave</x:v>
      </x:c>
      <x:c r="G589" s="83" t="n">
        <x:f>COUNTIF('Craft Nodes'!$A$5:$A$250,A589)</x:f>
        <x:v>1</x:v>
      </x:c>
      <x:c r="H589" s="83" t="n">
        <x:f>COUNTIF('Craft Nodes'!$A$5:$A$250,B589)</x:f>
        <x:v>1</x:v>
      </x:c>
      <x:c r="I589" s="83" t="str">
        <x:f>IF(AND(G589=1,H589=1),"OK",IF(G589=0,"MISSING FROM","MISSING TO"))</x:f>
        <x:v>OK</x:v>
      </x:c>
    </x:row>
    <x:row r="590">
      <x:c r="A590" s="83" t="str">
        <x:v>S-BEARING</x:v>
      </x:c>
      <x:c r="B590" s="83" t="str">
        <x:v>A-STEAM-ENGINE</x:v>
      </x:c>
      <x:c r="C590" s="83" t="str">
        <x:v>Prerequisite</x:v>
      </x:c>
      <x:c r="D590" s="83" t="str">
        <x:v>Yes</x:v>
      </x:c>
      <x:c r="E590" s="83"/>
      <x:c r="F590" s="83" t="str">
        <x:v>v2.7 Civilization Weave</x:v>
      </x:c>
      <x:c r="G590" s="83" t="n">
        <x:f>COUNTIF('Craft Nodes'!$A$5:$A$250,A590)</x:f>
        <x:v>1</x:v>
      </x:c>
      <x:c r="H590" s="83" t="n">
        <x:f>COUNTIF('Craft Nodes'!$A$5:$A$250,B590)</x:f>
        <x:v>1</x:v>
      </x:c>
      <x:c r="I590" s="83" t="str">
        <x:f>IF(AND(G590=1,H590=1),"OK",IF(G590=0,"MISSING FROM","MISSING TO"))</x:f>
        <x:v>OK</x:v>
      </x:c>
    </x:row>
    <x:row r="591">
      <x:c r="A591" s="83" t="str">
        <x:v>A-STEAM-ENGINE</x:v>
      </x:c>
      <x:c r="B591" s="83" t="str">
        <x:v>A-STEAM-PUMP</x:v>
      </x:c>
      <x:c r="C591" s="83" t="str">
        <x:v>Prerequisite</x:v>
      </x:c>
      <x:c r="D591" s="83" t="str">
        <x:v>Yes</x:v>
      </x:c>
      <x:c r="E591" s="83"/>
      <x:c r="F591" s="83" t="str">
        <x:v>v2.7 Civilization Weave</x:v>
      </x:c>
      <x:c r="G591" s="83" t="n">
        <x:f>COUNTIF('Craft Nodes'!$A$5:$A$250,A591)</x:f>
        <x:v>1</x:v>
      </x:c>
      <x:c r="H591" s="83" t="n">
        <x:f>COUNTIF('Craft Nodes'!$A$5:$A$250,B591)</x:f>
        <x:v>1</x:v>
      </x:c>
      <x:c r="I591" s="83" t="str">
        <x:f>IF(AND(G591=1,H591=1),"OK",IF(G591=0,"MISSING FROM","MISSING TO"))</x:f>
        <x:v>OK</x:v>
      </x:c>
    </x:row>
    <x:row r="592">
      <x:c r="A592" s="83" t="str">
        <x:v>A-PUMP</x:v>
      </x:c>
      <x:c r="B592" s="83" t="str">
        <x:v>A-STEAM-PUMP</x:v>
      </x:c>
      <x:c r="C592" s="83" t="str">
        <x:v>Prerequisite</x:v>
      </x:c>
      <x:c r="D592" s="83" t="str">
        <x:v>Yes</x:v>
      </x:c>
      <x:c r="E592" s="83"/>
      <x:c r="F592" s="83" t="str">
        <x:v>v2.7 Civilization Weave</x:v>
      </x:c>
      <x:c r="G592" s="83" t="n">
        <x:f>COUNTIF('Craft Nodes'!$A$5:$A$250,A592)</x:f>
        <x:v>1</x:v>
      </x:c>
      <x:c r="H592" s="83" t="n">
        <x:f>COUNTIF('Craft Nodes'!$A$5:$A$250,B592)</x:f>
        <x:v>1</x:v>
      </x:c>
      <x:c r="I592" s="83" t="str">
        <x:f>IF(AND(G592=1,H592=1),"OK",IF(G592=0,"MISSING FROM","MISSING TO"))</x:f>
        <x:v>OK</x:v>
      </x:c>
    </x:row>
    <x:row r="593">
      <x:c r="A593" s="83" t="str">
        <x:v>A-STEAM-ENGINE</x:v>
      </x:c>
      <x:c r="B593" s="83" t="str">
        <x:v>A-STEAM-GEN</x:v>
      </x:c>
      <x:c r="C593" s="83" t="str">
        <x:v>Prerequisite</x:v>
      </x:c>
      <x:c r="D593" s="83" t="str">
        <x:v>Yes</x:v>
      </x:c>
      <x:c r="E593" s="83"/>
      <x:c r="F593" s="83" t="str">
        <x:v>v2.7 Civilization Weave</x:v>
      </x:c>
      <x:c r="G593" s="83" t="n">
        <x:f>COUNTIF('Craft Nodes'!$A$5:$A$250,A593)</x:f>
        <x:v>1</x:v>
      </x:c>
      <x:c r="H593" s="83" t="n">
        <x:f>COUNTIF('Craft Nodes'!$A$5:$A$250,B593)</x:f>
        <x:v>1</x:v>
      </x:c>
      <x:c r="I593" s="83" t="str">
        <x:f>IF(AND(G593=1,H593=1),"OK",IF(G593=0,"MISSING FROM","MISSING TO"))</x:f>
        <x:v>OK</x:v>
      </x:c>
    </x:row>
    <x:row r="594">
      <x:c r="A594" s="83" t="str">
        <x:v>A-GENERATOR</x:v>
      </x:c>
      <x:c r="B594" s="83" t="str">
        <x:v>A-STEAM-GEN</x:v>
      </x:c>
      <x:c r="C594" s="83" t="str">
        <x:v>Prerequisite</x:v>
      </x:c>
      <x:c r="D594" s="83" t="str">
        <x:v>Yes</x:v>
      </x:c>
      <x:c r="E594" s="83"/>
      <x:c r="F594" s="83" t="str">
        <x:v>v2.7 Civilization Weave</x:v>
      </x:c>
      <x:c r="G594" s="83" t="n">
        <x:f>COUNTIF('Craft Nodes'!$A$5:$A$250,A594)</x:f>
        <x:v>1</x:v>
      </x:c>
      <x:c r="H594" s="83" t="n">
        <x:f>COUNTIF('Craft Nodes'!$A$5:$A$250,B594)</x:f>
        <x:v>1</x:v>
      </x:c>
      <x:c r="I594" s="83" t="str">
        <x:f>IF(AND(G594=1,H594=1),"OK",IF(G594=0,"MISSING FROM","MISSING TO"))</x:f>
        <x:v>OK</x:v>
      </x:c>
    </x:row>
    <x:row r="595">
      <x:c r="A595" s="83" t="str">
        <x:v>A-FIBER-STATION</x:v>
      </x:c>
      <x:c r="B595" s="83" t="str">
        <x:v>W-FIBER-CELL</x:v>
      </x:c>
      <x:c r="C595" s="83" t="str">
        <x:v>Prerequisite</x:v>
      </x:c>
      <x:c r="D595" s="83" t="str">
        <x:v>Yes</x:v>
      </x:c>
      <x:c r="E595" s="83"/>
      <x:c r="F595" s="83" t="str">
        <x:v>v2.7 Civilization Weave</x:v>
      </x:c>
      <x:c r="G595" s="83" t="n">
        <x:f>COUNTIF('Craft Nodes'!$A$5:$A$250,A595)</x:f>
        <x:v>1</x:v>
      </x:c>
      <x:c r="H595" s="83" t="n">
        <x:f>COUNTIF('Craft Nodes'!$A$5:$A$250,B595)</x:f>
        <x:v>1</x:v>
      </x:c>
      <x:c r="I595" s="83" t="str">
        <x:f>IF(AND(G595=1,H595=1),"OK",IF(G595=0,"MISSING FROM","MISSING TO"))</x:f>
        <x:v>OK</x:v>
      </x:c>
    </x:row>
    <x:row r="596">
      <x:c r="A596" s="83" t="str">
        <x:v>W-BENCH</x:v>
      </x:c>
      <x:c r="B596" s="83" t="str">
        <x:v>W-FIBER-CELL</x:v>
      </x:c>
      <x:c r="C596" s="83" t="str">
        <x:v>Prerequisite</x:v>
      </x:c>
      <x:c r="D596" s="83" t="str">
        <x:v>Yes</x:v>
      </x:c>
      <x:c r="E596" s="83"/>
      <x:c r="F596" s="83" t="str">
        <x:v>v2.7 Civilization Weave</x:v>
      </x:c>
      <x:c r="G596" s="83" t="n">
        <x:f>COUNTIF('Craft Nodes'!$A$5:$A$250,A596)</x:f>
        <x:v>1</x:v>
      </x:c>
      <x:c r="H596" s="83" t="n">
        <x:f>COUNTIF('Craft Nodes'!$A$5:$A$250,B596)</x:f>
        <x:v>1</x:v>
      </x:c>
      <x:c r="I596" s="83" t="str">
        <x:f>IF(AND(G596=1,H596=1),"OK",IF(G596=0,"MISSING FROM","MISSING TO"))</x:f>
        <x:v>OK</x:v>
      </x:c>
    </x:row>
    <x:row r="597">
      <x:c r="A597" s="83" t="str">
        <x:v>W-BENCH</x:v>
      </x:c>
      <x:c r="B597" s="83" t="str">
        <x:v>W-FOOD-CELL</x:v>
      </x:c>
      <x:c r="C597" s="83" t="str">
        <x:v>Prerequisite</x:v>
      </x:c>
      <x:c r="D597" s="83" t="str">
        <x:v>Yes</x:v>
      </x:c>
      <x:c r="E597" s="83"/>
      <x:c r="F597" s="83" t="str">
        <x:v>v2.7 Civilization Weave</x:v>
      </x:c>
      <x:c r="G597" s="83" t="n">
        <x:f>COUNTIF('Craft Nodes'!$A$5:$A$250,A597)</x:f>
        <x:v>1</x:v>
      </x:c>
      <x:c r="H597" s="83" t="n">
        <x:f>COUNTIF('Craft Nodes'!$A$5:$A$250,B597)</x:f>
        <x:v>1</x:v>
      </x:c>
      <x:c r="I597" s="83" t="str">
        <x:f>IF(AND(G597=1,H597=1),"OK",IF(G597=0,"MISSING FROM","MISSING TO"))</x:f>
        <x:v>OK</x:v>
      </x:c>
    </x:row>
    <x:row r="598">
      <x:c r="A598" s="83" t="str">
        <x:v>W-CLEAN</x:v>
      </x:c>
      <x:c r="B598" s="83" t="str">
        <x:v>W-FOOD-CELL</x:v>
      </x:c>
      <x:c r="C598" s="83" t="str">
        <x:v>Prerequisite</x:v>
      </x:c>
      <x:c r="D598" s="83" t="str">
        <x:v>Yes</x:v>
      </x:c>
      <x:c r="E598" s="83"/>
      <x:c r="F598" s="83" t="str">
        <x:v>v2.7 Civilization Weave</x:v>
      </x:c>
      <x:c r="G598" s="83" t="n">
        <x:f>COUNTIF('Craft Nodes'!$A$5:$A$250,A598)</x:f>
        <x:v>1</x:v>
      </x:c>
      <x:c r="H598" s="83" t="n">
        <x:f>COUNTIF('Craft Nodes'!$A$5:$A$250,B598)</x:f>
        <x:v>1</x:v>
      </x:c>
      <x:c r="I598" s="83" t="str">
        <x:f>IF(AND(G598=1,H598=1),"OK",IF(G598=0,"MISSING FROM","MISSING TO"))</x:f>
        <x:v>OK</x:v>
      </x:c>
    </x:row>
    <x:row r="599">
      <x:c r="A599" s="83" t="str">
        <x:v>W-PRECISION</x:v>
      </x:c>
      <x:c r="B599" s="83" t="str">
        <x:v>W-ENGINE-CELL</x:v>
      </x:c>
      <x:c r="C599" s="83" t="str">
        <x:v>Prerequisite</x:v>
      </x:c>
      <x:c r="D599" s="83" t="str">
        <x:v>Yes</x:v>
      </x:c>
      <x:c r="E599" s="83"/>
      <x:c r="F599" s="83" t="str">
        <x:v>v2.7 Civilization Weave</x:v>
      </x:c>
      <x:c r="G599" s="83" t="n">
        <x:f>COUNTIF('Craft Nodes'!$A$5:$A$250,A599)</x:f>
        <x:v>1</x:v>
      </x:c>
      <x:c r="H599" s="83" t="n">
        <x:f>COUNTIF('Craft Nodes'!$A$5:$A$250,B599)</x:f>
        <x:v>1</x:v>
      </x:c>
      <x:c r="I599" s="83" t="str">
        <x:f>IF(AND(G599=1,H599=1),"OK",IF(G599=0,"MISSING FROM","MISSING TO"))</x:f>
        <x:v>OK</x:v>
      </x:c>
    </x:row>
    <x:row r="600">
      <x:c r="A600" s="83" t="str">
        <x:v>A-TRIPOD</x:v>
      </x:c>
      <x:c r="B600" s="83" t="str">
        <x:v>W-ENGINE-CELL</x:v>
      </x:c>
      <x:c r="C600" s="83" t="str">
        <x:v>Prerequisite</x:v>
      </x:c>
      <x:c r="D600" s="83" t="str">
        <x:v>Yes</x:v>
      </x:c>
      <x:c r="E600" s="83"/>
      <x:c r="F600" s="83" t="str">
        <x:v>v2.7 Civilization Weave</x:v>
      </x:c>
      <x:c r="G600" s="83" t="n">
        <x:f>COUNTIF('Craft Nodes'!$A$5:$A$250,A600)</x:f>
        <x:v>1</x:v>
      </x:c>
      <x:c r="H600" s="83" t="n">
        <x:f>COUNTIF('Craft Nodes'!$A$5:$A$250,B600)</x:f>
        <x:v>1</x:v>
      </x:c>
      <x:c r="I600" s="83" t="str">
        <x:f>IF(AND(G600=1,H600=1),"OK",IF(G600=0,"MISSING FROM","MISSING TO"))</x:f>
        <x:v>OK</x:v>
      </x:c>
    </x:row>
    <x:row r="601">
      <x:c r="A601" s="83" t="str">
        <x:v>T-SHOVEL</x:v>
      </x:c>
      <x:c r="B601" s="83" t="str">
        <x:v>A-DRAINAGE</x:v>
      </x:c>
      <x:c r="C601" s="83" t="str">
        <x:v>Prerequisite</x:v>
      </x:c>
      <x:c r="D601" s="83" t="str">
        <x:v>Yes</x:v>
      </x:c>
      <x:c r="E601" s="83"/>
      <x:c r="F601" s="83" t="str">
        <x:v>v2.7 Civilization Weave</x:v>
      </x:c>
      <x:c r="G601" s="83" t="n">
        <x:f>COUNTIF('Craft Nodes'!$A$5:$A$250,A601)</x:f>
        <x:v>1</x:v>
      </x:c>
      <x:c r="H601" s="83" t="n">
        <x:f>COUNTIF('Craft Nodes'!$A$5:$A$250,B601)</x:f>
        <x:v>1</x:v>
      </x:c>
      <x:c r="I601" s="83" t="str">
        <x:f>IF(AND(G601=1,H601=1),"OK",IF(G601=0,"MISSING FROM","MISSING TO"))</x:f>
        <x:v>OK</x:v>
      </x:c>
    </x:row>
    <x:row r="602">
      <x:c r="A602" s="83" t="str">
        <x:v>T-MEASURE</x:v>
      </x:c>
      <x:c r="B602" s="83" t="str">
        <x:v>A-DRAINAGE</x:v>
      </x:c>
      <x:c r="C602" s="83" t="str">
        <x:v>Prerequisite</x:v>
      </x:c>
      <x:c r="D602" s="83" t="str">
        <x:v>Yes</x:v>
      </x:c>
      <x:c r="E602" s="83"/>
      <x:c r="F602" s="83" t="str">
        <x:v>v2.7 Civilization Weave</x:v>
      </x:c>
      <x:c r="G602" s="83" t="n">
        <x:f>COUNTIF('Craft Nodes'!$A$5:$A$250,A602)</x:f>
        <x:v>1</x:v>
      </x:c>
      <x:c r="H602" s="83" t="n">
        <x:f>COUNTIF('Craft Nodes'!$A$5:$A$250,B602)</x:f>
        <x:v>1</x:v>
      </x:c>
      <x:c r="I602" s="83" t="str">
        <x:f>IF(AND(G602=1,H602=1),"OK",IF(G602=0,"MISSING FROM","MISSING TO"))</x:f>
        <x:v>OK</x:v>
      </x:c>
    </x:row>
    <x:row r="603">
      <x:c r="A603" s="83" t="str">
        <x:v>P-PLANK</x:v>
      </x:c>
      <x:c r="B603" s="83" t="str">
        <x:v>A-SHUTTERS</x:v>
      </x:c>
      <x:c r="C603" s="83" t="str">
        <x:v>Prerequisite</x:v>
      </x:c>
      <x:c r="D603" s="83" t="str">
        <x:v>Yes</x:v>
      </x:c>
      <x:c r="E603" s="83"/>
      <x:c r="F603" s="83" t="str">
        <x:v>v2.7 Civilization Weave</x:v>
      </x:c>
      <x:c r="G603" s="83" t="n">
        <x:f>COUNTIF('Craft Nodes'!$A$5:$A$250,A603)</x:f>
        <x:v>1</x:v>
      </x:c>
      <x:c r="H603" s="83" t="n">
        <x:f>COUNTIF('Craft Nodes'!$A$5:$A$250,B603)</x:f>
        <x:v>1</x:v>
      </x:c>
      <x:c r="I603" s="83" t="str">
        <x:f>IF(AND(G603=1,H603=1),"OK",IF(G603=0,"MISSING FROM","MISSING TO"))</x:f>
        <x:v>OK</x:v>
      </x:c>
    </x:row>
    <x:row r="604">
      <x:c r="A604" s="83" t="str">
        <x:v>P-CORD</x:v>
      </x:c>
      <x:c r="B604" s="83" t="str">
        <x:v>A-SHUTTERS</x:v>
      </x:c>
      <x:c r="C604" s="83" t="str">
        <x:v>Prerequisite</x:v>
      </x:c>
      <x:c r="D604" s="83" t="str">
        <x:v>Yes</x:v>
      </x:c>
      <x:c r="E604" s="83"/>
      <x:c r="F604" s="83" t="str">
        <x:v>v2.7 Civilization Weave</x:v>
      </x:c>
      <x:c r="G604" s="83" t="n">
        <x:f>COUNTIF('Craft Nodes'!$A$5:$A$250,A604)</x:f>
        <x:v>1</x:v>
      </x:c>
      <x:c r="H604" s="83" t="n">
        <x:f>COUNTIF('Craft Nodes'!$A$5:$A$250,B604)</x:f>
        <x:v>1</x:v>
      </x:c>
      <x:c r="I604" s="83" t="str">
        <x:f>IF(AND(G604=1,H604=1),"OK",IF(G604=0,"MISSING FROM","MISSING TO"))</x:f>
        <x:v>OK</x:v>
      </x:c>
    </x:row>
    <x:row r="605">
      <x:c r="A605" s="83" t="str">
        <x:v>A-ROOF</x:v>
      </x:c>
      <x:c r="B605" s="83" t="str">
        <x:v>A-VENT</x:v>
      </x:c>
      <x:c r="C605" s="83" t="str">
        <x:v>Prerequisite</x:v>
      </x:c>
      <x:c r="D605" s="83" t="str">
        <x:v>Yes</x:v>
      </x:c>
      <x:c r="E605" s="83"/>
      <x:c r="F605" s="83" t="str">
        <x:v>v2.7 Civilization Weave</x:v>
      </x:c>
      <x:c r="G605" s="83" t="n">
        <x:f>COUNTIF('Craft Nodes'!$A$5:$A$250,A605)</x:f>
        <x:v>1</x:v>
      </x:c>
      <x:c r="H605" s="83" t="n">
        <x:f>COUNTIF('Craft Nodes'!$A$5:$A$250,B605)</x:f>
        <x:v>1</x:v>
      </x:c>
      <x:c r="I605" s="83" t="str">
        <x:f>IF(AND(G605=1,H605=1),"OK",IF(G605=0,"MISSING FROM","MISSING TO"))</x:f>
        <x:v>OK</x:v>
      </x:c>
    </x:row>
    <x:row r="606">
      <x:c r="A606" s="83" t="str">
        <x:v>P-PLANK</x:v>
      </x:c>
      <x:c r="B606" s="83" t="str">
        <x:v>A-VENT</x:v>
      </x:c>
      <x:c r="C606" s="83" t="str">
        <x:v>Prerequisite</x:v>
      </x:c>
      <x:c r="D606" s="83" t="str">
        <x:v>Yes</x:v>
      </x:c>
      <x:c r="E606" s="83"/>
      <x:c r="F606" s="83" t="str">
        <x:v>v2.7 Civilization Weave</x:v>
      </x:c>
      <x:c r="G606" s="83" t="n">
        <x:f>COUNTIF('Craft Nodes'!$A$5:$A$250,A606)</x:f>
        <x:v>1</x:v>
      </x:c>
      <x:c r="H606" s="83" t="n">
        <x:f>COUNTIF('Craft Nodes'!$A$5:$A$250,B606)</x:f>
        <x:v>1</x:v>
      </x:c>
      <x:c r="I606" s="83" t="str">
        <x:f>IF(AND(G606=1,H606=1),"OK",IF(G606=0,"MISSING FROM","MISSING TO"))</x:f>
        <x:v>OK</x:v>
      </x:c>
    </x:row>
    <x:row r="607">
      <x:c r="A607" s="83" t="str">
        <x:v>S-STONE</x:v>
      </x:c>
      <x:c r="B607" s="83" t="str">
        <x:v>A-FIRE-SEPARATION</x:v>
      </x:c>
      <x:c r="C607" s="83" t="str">
        <x:v>Prerequisite</x:v>
      </x:c>
      <x:c r="D607" s="83" t="str">
        <x:v>Yes</x:v>
      </x:c>
      <x:c r="E607" s="83"/>
      <x:c r="F607" s="83" t="str">
        <x:v>v2.7 Civilization Weave</x:v>
      </x:c>
      <x:c r="G607" s="83" t="n">
        <x:f>COUNTIF('Craft Nodes'!$A$5:$A$250,A607)</x:f>
        <x:v>1</x:v>
      </x:c>
      <x:c r="H607" s="83" t="n">
        <x:f>COUNTIF('Craft Nodes'!$A$5:$A$250,B607)</x:f>
        <x:v>1</x:v>
      </x:c>
      <x:c r="I607" s="83" t="str">
        <x:f>IF(AND(G607=1,H607=1),"OK",IF(G607=0,"MISSING FROM","MISSING TO"))</x:f>
        <x:v>OK</x:v>
      </x:c>
    </x:row>
    <x:row r="608">
      <x:c r="A608" s="83" t="str">
        <x:v>W-HEARTH</x:v>
      </x:c>
      <x:c r="B608" s="83" t="str">
        <x:v>A-FIRE-SEPARATION</x:v>
      </x:c>
      <x:c r="C608" s="83" t="str">
        <x:v>Prerequisite</x:v>
      </x:c>
      <x:c r="D608" s="83" t="str">
        <x:v>Yes</x:v>
      </x:c>
      <x:c r="E608" s="83"/>
      <x:c r="F608" s="83" t="str">
        <x:v>v2.7 Civilization Weave</x:v>
      </x:c>
      <x:c r="G608" s="83" t="n">
        <x:f>COUNTIF('Craft Nodes'!$A$5:$A$250,A608)</x:f>
        <x:v>1</x:v>
      </x:c>
      <x:c r="H608" s="83" t="n">
        <x:f>COUNTIF('Craft Nodes'!$A$5:$A$250,B608)</x:f>
        <x:v>1</x:v>
      </x:c>
      <x:c r="I608" s="83" t="str">
        <x:f>IF(AND(G608=1,H608=1),"OK",IF(G608=0,"MISSING FROM","MISSING TO"))</x:f>
        <x:v>OK</x:v>
      </x:c>
    </x:row>
    <x:row r="609">
      <x:c r="A609" s="83" t="str">
        <x:v>A-REFUGE</x:v>
      </x:c>
      <x:c r="B609" s="83" t="str">
        <x:v>A-SAFE-CELL</x:v>
      </x:c>
      <x:c r="C609" s="83" t="str">
        <x:v>Prerequisite</x:v>
      </x:c>
      <x:c r="D609" s="83" t="str">
        <x:v>Yes</x:v>
      </x:c>
      <x:c r="E609" s="83"/>
      <x:c r="F609" s="83" t="str">
        <x:v>v2.7 Civilization Weave</x:v>
      </x:c>
      <x:c r="G609" s="83" t="n">
        <x:f>COUNTIF('Craft Nodes'!$A$5:$A$250,A609)</x:f>
        <x:v>1</x:v>
      </x:c>
      <x:c r="H609" s="83" t="n">
        <x:f>COUNTIF('Craft Nodes'!$A$5:$A$250,B609)</x:f>
        <x:v>1</x:v>
      </x:c>
      <x:c r="I609" s="83" t="str">
        <x:f>IF(AND(G609=1,H609=1),"OK",IF(G609=0,"MISSING FROM","MISSING TO"))</x:f>
        <x:v>OK</x:v>
      </x:c>
    </x:row>
    <x:row r="610">
      <x:c r="A610" s="83" t="str">
        <x:v>A-SHUTTERS</x:v>
      </x:c>
      <x:c r="B610" s="83" t="str">
        <x:v>A-SAFE-CELL</x:v>
      </x:c>
      <x:c r="C610" s="83" t="str">
        <x:v>Prerequisite</x:v>
      </x:c>
      <x:c r="D610" s="83" t="str">
        <x:v>Yes</x:v>
      </x:c>
      <x:c r="E610" s="83"/>
      <x:c r="F610" s="83" t="str">
        <x:v>v2.7 Civilization Weave</x:v>
      </x:c>
      <x:c r="G610" s="83" t="n">
        <x:f>COUNTIF('Craft Nodes'!$A$5:$A$250,A610)</x:f>
        <x:v>1</x:v>
      </x:c>
      <x:c r="H610" s="83" t="n">
        <x:f>COUNTIF('Craft Nodes'!$A$5:$A$250,B610)</x:f>
        <x:v>1</x:v>
      </x:c>
      <x:c r="I610" s="83" t="str">
        <x:f>IF(AND(G610=1,H610=1),"OK",IF(G610=0,"MISSING FROM","MISSING TO"))</x:f>
        <x:v>OK</x:v>
      </x:c>
    </x:row>
    <x:row r="611">
      <x:c r="A611" s="83" t="str">
        <x:v>A-DRAINAGE</x:v>
      </x:c>
      <x:c r="B611" s="83" t="str">
        <x:v>A-SAFE-CELL</x:v>
      </x:c>
      <x:c r="C611" s="83" t="str">
        <x:v>Prerequisite</x:v>
      </x:c>
      <x:c r="D611" s="83" t="str">
        <x:v>Yes</x:v>
      </x:c>
      <x:c r="E611" s="83"/>
      <x:c r="F611" s="83" t="str">
        <x:v>v2.7 Civilization Weave</x:v>
      </x:c>
      <x:c r="G611" s="83" t="n">
        <x:f>COUNTIF('Craft Nodes'!$A$5:$A$250,A611)</x:f>
        <x:v>1</x:v>
      </x:c>
      <x:c r="H611" s="83" t="n">
        <x:f>COUNTIF('Craft Nodes'!$A$5:$A$250,B611)</x:f>
        <x:v>1</x:v>
      </x:c>
      <x:c r="I611" s="83" t="str">
        <x:f>IF(AND(G611=1,H611=1),"OK",IF(G611=0,"MISSING FROM","MISSING TO"))</x:f>
        <x:v>OK</x:v>
      </x:c>
    </x:row>
    <x:row r="612">
      <x:c r="A612" s="83" t="str">
        <x:v>A-COVERED-STORE</x:v>
      </x:c>
      <x:c r="B612" s="83" t="str">
        <x:v>A-STORM-STORE</x:v>
      </x:c>
      <x:c r="C612" s="83" t="str">
        <x:v>Prerequisite</x:v>
      </x:c>
      <x:c r="D612" s="83" t="str">
        <x:v>Yes</x:v>
      </x:c>
      <x:c r="E612" s="83"/>
      <x:c r="F612" s="83" t="str">
        <x:v>v2.7 Civilization Weave</x:v>
      </x:c>
      <x:c r="G612" s="83" t="n">
        <x:f>COUNTIF('Craft Nodes'!$A$5:$A$250,A612)</x:f>
        <x:v>1</x:v>
      </x:c>
      <x:c r="H612" s="83" t="n">
        <x:f>COUNTIF('Craft Nodes'!$A$5:$A$250,B612)</x:f>
        <x:v>1</x:v>
      </x:c>
      <x:c r="I612" s="83" t="str">
        <x:f>IF(AND(G612=1,H612=1),"OK",IF(G612=0,"MISSING FROM","MISSING TO"))</x:f>
        <x:v>OK</x:v>
      </x:c>
    </x:row>
    <x:row r="613">
      <x:c r="A613" s="83" t="str">
        <x:v>A-SAFE-CELL</x:v>
      </x:c>
      <x:c r="B613" s="83" t="str">
        <x:v>A-STORM-STORE</x:v>
      </x:c>
      <x:c r="C613" s="83" t="str">
        <x:v>Prerequisite</x:v>
      </x:c>
      <x:c r="D613" s="83" t="str">
        <x:v>Yes</x:v>
      </x:c>
      <x:c r="E613" s="83"/>
      <x:c r="F613" s="83" t="str">
        <x:v>v2.7 Civilization Weave</x:v>
      </x:c>
      <x:c r="G613" s="83" t="n">
        <x:f>COUNTIF('Craft Nodes'!$A$5:$A$250,A613)</x:f>
        <x:v>1</x:v>
      </x:c>
      <x:c r="H613" s="83" t="n">
        <x:f>COUNTIF('Craft Nodes'!$A$5:$A$250,B613)</x:f>
        <x:v>1</x:v>
      </x:c>
      <x:c r="I613" s="83" t="str">
        <x:f>IF(AND(G613=1,H613=1),"OK",IF(G613=0,"MISSING FROM","MISSING TO"))</x:f>
        <x:v>OK</x:v>
      </x:c>
    </x:row>
    <x:row r="614">
      <x:c r="A614" s="83" t="str">
        <x:v>S-FOOD</x:v>
      </x:c>
      <x:c r="B614" s="83" t="str">
        <x:v>A-FORAGE-MAP</x:v>
      </x:c>
      <x:c r="C614" s="83" t="str">
        <x:v>Prerequisite</x:v>
      </x:c>
      <x:c r="D614" s="83" t="str">
        <x:v>Yes</x:v>
      </x:c>
      <x:c r="E614" s="83"/>
      <x:c r="F614" s="83" t="str">
        <x:v>v2.7 Civilization Weave</x:v>
      </x:c>
      <x:c r="G614" s="83" t="n">
        <x:f>COUNTIF('Craft Nodes'!$A$5:$A$250,A614)</x:f>
        <x:v>1</x:v>
      </x:c>
      <x:c r="H614" s="83" t="n">
        <x:f>COUNTIF('Craft Nodes'!$A$5:$A$250,B614)</x:f>
        <x:v>1</x:v>
      </x:c>
      <x:c r="I614" s="83" t="str">
        <x:f>IF(AND(G614=1,H614=1),"OK",IF(G614=0,"MISSING FROM","MISSING TO"))</x:f>
        <x:v>OK</x:v>
      </x:c>
    </x:row>
    <x:row r="615">
      <x:c r="A615" s="83" t="str">
        <x:v>W-ARCHIVE</x:v>
      </x:c>
      <x:c r="B615" s="83" t="str">
        <x:v>A-FORAGE-MAP</x:v>
      </x:c>
      <x:c r="C615" s="83" t="str">
        <x:v>Prerequisite</x:v>
      </x:c>
      <x:c r="D615" s="83" t="str">
        <x:v>Yes</x:v>
      </x:c>
      <x:c r="E615" s="83"/>
      <x:c r="F615" s="83" t="str">
        <x:v>v2.7 Civilization Weave</x:v>
      </x:c>
      <x:c r="G615" s="83" t="n">
        <x:f>COUNTIF('Craft Nodes'!$A$5:$A$250,A615)</x:f>
        <x:v>1</x:v>
      </x:c>
      <x:c r="H615" s="83" t="n">
        <x:f>COUNTIF('Craft Nodes'!$A$5:$A$250,B615)</x:f>
        <x:v>1</x:v>
      </x:c>
      <x:c r="I615" s="83" t="str">
        <x:f>IF(AND(G615=1,H615=1),"OK",IF(G615=0,"MISSING FROM","MISSING TO"))</x:f>
        <x:v>OK</x:v>
      </x:c>
    </x:row>
    <x:row r="616">
      <x:c r="A616" s="83" t="str">
        <x:v>T-DIG</x:v>
      </x:c>
      <x:c r="B616" s="83" t="str">
        <x:v>T-HOE</x:v>
      </x:c>
      <x:c r="C616" s="83" t="str">
        <x:v>Prerequisite</x:v>
      </x:c>
      <x:c r="D616" s="83" t="str">
        <x:v>Yes</x:v>
      </x:c>
      <x:c r="E616" s="83"/>
      <x:c r="F616" s="83" t="str">
        <x:v>v2.7 Civilization Weave</x:v>
      </x:c>
      <x:c r="G616" s="83" t="n">
        <x:f>COUNTIF('Craft Nodes'!$A$5:$A$250,A616)</x:f>
        <x:v>1</x:v>
      </x:c>
      <x:c r="H616" s="83" t="n">
        <x:f>COUNTIF('Craft Nodes'!$A$5:$A$250,B616)</x:f>
        <x:v>1</x:v>
      </x:c>
      <x:c r="I616" s="83" t="str">
        <x:f>IF(AND(G616=1,H616=1),"OK",IF(G616=0,"MISSING FROM","MISSING TO"))</x:f>
        <x:v>OK</x:v>
      </x:c>
    </x:row>
    <x:row r="617">
      <x:c r="A617" s="83" t="str">
        <x:v>P-STRAIGHT-POLE</x:v>
      </x:c>
      <x:c r="B617" s="83" t="str">
        <x:v>T-HOE</x:v>
      </x:c>
      <x:c r="C617" s="83" t="str">
        <x:v>Prerequisite</x:v>
      </x:c>
      <x:c r="D617" s="83" t="str">
        <x:v>Yes</x:v>
      </x:c>
      <x:c r="E617" s="83"/>
      <x:c r="F617" s="83" t="str">
        <x:v>v2.7 Civilization Weave</x:v>
      </x:c>
      <x:c r="G617" s="83" t="n">
        <x:f>COUNTIF('Craft Nodes'!$A$5:$A$250,A617)</x:f>
        <x:v>1</x:v>
      </x:c>
      <x:c r="H617" s="83" t="n">
        <x:f>COUNTIF('Craft Nodes'!$A$5:$A$250,B617)</x:f>
        <x:v>1</x:v>
      </x:c>
      <x:c r="I617" s="83" t="str">
        <x:f>IF(AND(G617=1,H617=1),"OK",IF(G617=0,"MISSING FROM","MISSING TO"))</x:f>
        <x:v>OK</x:v>
      </x:c>
    </x:row>
    <x:row r="618">
      <x:c r="A618" s="83" t="str">
        <x:v>P-SEED-LOT</x:v>
      </x:c>
      <x:c r="B618" s="83" t="str">
        <x:v>A-NURSERY</x:v>
      </x:c>
      <x:c r="C618" s="83" t="str">
        <x:v>Prerequisite</x:v>
      </x:c>
      <x:c r="D618" s="83" t="str">
        <x:v>Yes</x:v>
      </x:c>
      <x:c r="E618" s="83"/>
      <x:c r="F618" s="83" t="str">
        <x:v>v2.7 Civilization Weave</x:v>
      </x:c>
      <x:c r="G618" s="83" t="n">
        <x:f>COUNTIF('Craft Nodes'!$A$5:$A$250,A618)</x:f>
        <x:v>1</x:v>
      </x:c>
      <x:c r="H618" s="83" t="n">
        <x:f>COUNTIF('Craft Nodes'!$A$5:$A$250,B618)</x:f>
        <x:v>1</x:v>
      </x:c>
      <x:c r="I618" s="83" t="str">
        <x:f>IF(AND(G618=1,H618=1),"OK",IF(G618=0,"MISSING FROM","MISSING TO"))</x:f>
        <x:v>OK</x:v>
      </x:c>
    </x:row>
    <x:row r="619">
      <x:c r="A619" s="83" t="str">
        <x:v>T-HOE</x:v>
      </x:c>
      <x:c r="B619" s="83" t="str">
        <x:v>A-NURSERY</x:v>
      </x:c>
      <x:c r="C619" s="83" t="str">
        <x:v>Prerequisite</x:v>
      </x:c>
      <x:c r="D619" s="83" t="str">
        <x:v>Yes</x:v>
      </x:c>
      <x:c r="E619" s="83"/>
      <x:c r="F619" s="83" t="str">
        <x:v>v2.7 Civilization Weave</x:v>
      </x:c>
      <x:c r="G619" s="83" t="n">
        <x:f>COUNTIF('Craft Nodes'!$A$5:$A$250,A619)</x:f>
        <x:v>1</x:v>
      </x:c>
      <x:c r="H619" s="83" t="n">
        <x:f>COUNTIF('Craft Nodes'!$A$5:$A$250,B619)</x:f>
        <x:v>1</x:v>
      </x:c>
      <x:c r="I619" s="83" t="str">
        <x:f>IF(AND(G619=1,H619=1),"OK",IF(G619=0,"MISSING FROM","MISSING TO"))</x:f>
        <x:v>OK</x:v>
      </x:c>
    </x:row>
    <x:row r="620">
      <x:c r="A620" s="83" t="str">
        <x:v>A-CISTERN</x:v>
      </x:c>
      <x:c r="B620" s="83" t="str">
        <x:v>A-IRRIGATION</x:v>
      </x:c>
      <x:c r="C620" s="83" t="str">
        <x:v>Prerequisite</x:v>
      </x:c>
      <x:c r="D620" s="83" t="str">
        <x:v>Yes</x:v>
      </x:c>
      <x:c r="E620" s="83"/>
      <x:c r="F620" s="83" t="str">
        <x:v>v2.7 Civilization Weave</x:v>
      </x:c>
      <x:c r="G620" s="83" t="n">
        <x:f>COUNTIF('Craft Nodes'!$A$5:$A$250,A620)</x:f>
        <x:v>1</x:v>
      </x:c>
      <x:c r="H620" s="83" t="n">
        <x:f>COUNTIF('Craft Nodes'!$A$5:$A$250,B620)</x:f>
        <x:v>1</x:v>
      </x:c>
      <x:c r="I620" s="83" t="str">
        <x:f>IF(AND(G620=1,H620=1),"OK",IF(G620=0,"MISSING FROM","MISSING TO"))</x:f>
        <x:v>OK</x:v>
      </x:c>
    </x:row>
    <x:row r="621">
      <x:c r="A621" s="83" t="str">
        <x:v>A-PIPE</x:v>
      </x:c>
      <x:c r="B621" s="83" t="str">
        <x:v>A-IRRIGATION</x:v>
      </x:c>
      <x:c r="C621" s="83" t="str">
        <x:v>Prerequisite</x:v>
      </x:c>
      <x:c r="D621" s="83" t="str">
        <x:v>Yes</x:v>
      </x:c>
      <x:c r="E621" s="83"/>
      <x:c r="F621" s="83" t="str">
        <x:v>v2.7 Civilization Weave</x:v>
      </x:c>
      <x:c r="G621" s="83" t="n">
        <x:f>COUNTIF('Craft Nodes'!$A$5:$A$250,A621)</x:f>
        <x:v>1</x:v>
      </x:c>
      <x:c r="H621" s="83" t="n">
        <x:f>COUNTIF('Craft Nodes'!$A$5:$A$250,B621)</x:f>
        <x:v>1</x:v>
      </x:c>
      <x:c r="I621" s="83" t="str">
        <x:f>IF(AND(G621=1,H621=1),"OK",IF(G621=0,"MISSING FROM","MISSING TO"))</x:f>
        <x:v>OK</x:v>
      </x:c>
    </x:row>
    <x:row r="622">
      <x:c r="A622" s="83" t="str">
        <x:v>P-STRAIGHT-POLE</x:v>
      </x:c>
      <x:c r="B622" s="83" t="str">
        <x:v>A-ANIMAL-ENC</x:v>
      </x:c>
      <x:c r="C622" s="83" t="str">
        <x:v>Prerequisite</x:v>
      </x:c>
      <x:c r="D622" s="83" t="str">
        <x:v>Yes</x:v>
      </x:c>
      <x:c r="E622" s="83"/>
      <x:c r="F622" s="83" t="str">
        <x:v>v2.7 Civilization Weave</x:v>
      </x:c>
      <x:c r="G622" s="83" t="n">
        <x:f>COUNTIF('Craft Nodes'!$A$5:$A$250,A622)</x:f>
        <x:v>1</x:v>
      </x:c>
      <x:c r="H622" s="83" t="n">
        <x:f>COUNTIF('Craft Nodes'!$A$5:$A$250,B622)</x:f>
        <x:v>1</x:v>
      </x:c>
      <x:c r="I622" s="83" t="str">
        <x:f>IF(AND(G622=1,H622=1),"OK",IF(G622=0,"MISSING FROM","MISSING TO"))</x:f>
        <x:v>OK</x:v>
      </x:c>
    </x:row>
    <x:row r="623">
      <x:c r="A623" s="83" t="str">
        <x:v>P-CORD</x:v>
      </x:c>
      <x:c r="B623" s="83" t="str">
        <x:v>A-ANIMAL-ENC</x:v>
      </x:c>
      <x:c r="C623" s="83" t="str">
        <x:v>Prerequisite</x:v>
      </x:c>
      <x:c r="D623" s="83" t="str">
        <x:v>Yes</x:v>
      </x:c>
      <x:c r="E623" s="83"/>
      <x:c r="F623" s="83" t="str">
        <x:v>v2.7 Civilization Weave</x:v>
      </x:c>
      <x:c r="G623" s="83" t="n">
        <x:f>COUNTIF('Craft Nodes'!$A$5:$A$250,A623)</x:f>
        <x:v>1</x:v>
      </x:c>
      <x:c r="H623" s="83" t="n">
        <x:f>COUNTIF('Craft Nodes'!$A$5:$A$250,B623)</x:f>
        <x:v>1</x:v>
      </x:c>
      <x:c r="I623" s="83" t="str">
        <x:f>IF(AND(G623=1,H623=1),"OK",IF(G623=0,"MISSING FROM","MISSING TO"))</x:f>
        <x:v>OK</x:v>
      </x:c>
    </x:row>
    <x:row r="624">
      <x:c r="A624" s="83" t="str">
        <x:v>S-ANIMAL</x:v>
      </x:c>
      <x:c r="B624" s="83" t="str">
        <x:v>A-HUSBANDRY</x:v>
      </x:c>
      <x:c r="C624" s="83" t="str">
        <x:v>Prerequisite</x:v>
      </x:c>
      <x:c r="D624" s="83" t="str">
        <x:v>Yes</x:v>
      </x:c>
      <x:c r="E624" s="83"/>
      <x:c r="F624" s="83" t="str">
        <x:v>v2.7 Civilization Weave</x:v>
      </x:c>
      <x:c r="G624" s="83" t="n">
        <x:f>COUNTIF('Craft Nodes'!$A$5:$A$250,A624)</x:f>
        <x:v>1</x:v>
      </x:c>
      <x:c r="H624" s="83" t="n">
        <x:f>COUNTIF('Craft Nodes'!$A$5:$A$250,B624)</x:f>
        <x:v>1</x:v>
      </x:c>
      <x:c r="I624" s="83" t="str">
        <x:f>IF(AND(G624=1,H624=1),"OK",IF(G624=0,"MISSING FROM","MISSING TO"))</x:f>
        <x:v>OK</x:v>
      </x:c>
    </x:row>
    <x:row r="625">
      <x:c r="A625" s="83" t="str">
        <x:v>S-FODDER</x:v>
      </x:c>
      <x:c r="B625" s="83" t="str">
        <x:v>A-HUSBANDRY</x:v>
      </x:c>
      <x:c r="C625" s="83" t="str">
        <x:v>Prerequisite</x:v>
      </x:c>
      <x:c r="D625" s="83" t="str">
        <x:v>Yes</x:v>
      </x:c>
      <x:c r="E625" s="83"/>
      <x:c r="F625" s="83" t="str">
        <x:v>v2.7 Civilization Weave</x:v>
      </x:c>
      <x:c r="G625" s="83" t="n">
        <x:f>COUNTIF('Craft Nodes'!$A$5:$A$250,A625)</x:f>
        <x:v>1</x:v>
      </x:c>
      <x:c r="H625" s="83" t="n">
        <x:f>COUNTIF('Craft Nodes'!$A$5:$A$250,B625)</x:f>
        <x:v>1</x:v>
      </x:c>
      <x:c r="I625" s="83" t="str">
        <x:f>IF(AND(G625=1,H625=1),"OK",IF(G625=0,"MISSING FROM","MISSING TO"))</x:f>
        <x:v>OK</x:v>
      </x:c>
    </x:row>
    <x:row r="626">
      <x:c r="A626" s="83" t="str">
        <x:v>A-ANIMAL-ENC</x:v>
      </x:c>
      <x:c r="B626" s="83" t="str">
        <x:v>A-HUSBANDRY</x:v>
      </x:c>
      <x:c r="C626" s="83" t="str">
        <x:v>Prerequisite</x:v>
      </x:c>
      <x:c r="D626" s="83" t="str">
        <x:v>Yes</x:v>
      </x:c>
      <x:c r="E626" s="83"/>
      <x:c r="F626" s="83" t="str">
        <x:v>v2.7 Civilization Weave</x:v>
      </x:c>
      <x:c r="G626" s="83" t="n">
        <x:f>COUNTIF('Craft Nodes'!$A$5:$A$250,A626)</x:f>
        <x:v>1</x:v>
      </x:c>
      <x:c r="H626" s="83" t="n">
        <x:f>COUNTIF('Craft Nodes'!$A$5:$A$250,B626)</x:f>
        <x:v>1</x:v>
      </x:c>
      <x:c r="I626" s="83" t="str">
        <x:f>IF(AND(G626=1,H626=1),"OK",IF(G626=0,"MISSING FROM","MISSING TO"))</x:f>
        <x:v>OK</x:v>
      </x:c>
    </x:row>
    <x:row r="627">
      <x:c r="A627" s="83" t="str">
        <x:v>T-SHOVEL</x:v>
      </x:c>
      <x:c r="B627" s="83" t="str">
        <x:v>A-WELL</x:v>
      </x:c>
      <x:c r="C627" s="83" t="str">
        <x:v>Prerequisite</x:v>
      </x:c>
      <x:c r="D627" s="83" t="str">
        <x:v>Yes</x:v>
      </x:c>
      <x:c r="E627" s="83"/>
      <x:c r="F627" s="83" t="str">
        <x:v>v2.7 Civilization Weave</x:v>
      </x:c>
      <x:c r="G627" s="83" t="n">
        <x:f>COUNTIF('Craft Nodes'!$A$5:$A$250,A627)</x:f>
        <x:v>1</x:v>
      </x:c>
      <x:c r="H627" s="83" t="n">
        <x:f>COUNTIF('Craft Nodes'!$A$5:$A$250,B627)</x:f>
        <x:v>1</x:v>
      </x:c>
      <x:c r="I627" s="83" t="str">
        <x:f>IF(AND(G627=1,H627=1),"OK",IF(G627=0,"MISSING FROM","MISSING TO"))</x:f>
        <x:v>OK</x:v>
      </x:c>
    </x:row>
    <x:row r="628">
      <x:c r="A628" s="83" t="str">
        <x:v>A-PUMP</x:v>
      </x:c>
      <x:c r="B628" s="83" t="str">
        <x:v>A-WELL</x:v>
      </x:c>
      <x:c r="C628" s="83" t="str">
        <x:v>Prerequisite</x:v>
      </x:c>
      <x:c r="D628" s="83" t="str">
        <x:v>Yes</x:v>
      </x:c>
      <x:c r="E628" s="83"/>
      <x:c r="F628" s="83" t="str">
        <x:v>v2.7 Civilization Weave</x:v>
      </x:c>
      <x:c r="G628" s="83" t="n">
        <x:f>COUNTIF('Craft Nodes'!$A$5:$A$250,A628)</x:f>
        <x:v>1</x:v>
      </x:c>
      <x:c r="H628" s="83" t="n">
        <x:f>COUNTIF('Craft Nodes'!$A$5:$A$250,B628)</x:f>
        <x:v>1</x:v>
      </x:c>
      <x:c r="I628" s="83" t="str">
        <x:f>IF(AND(G628=1,H628=1),"OK",IF(G628=0,"MISSING FROM","MISSING TO"))</x:f>
        <x:v>OK</x:v>
      </x:c>
    </x:row>
    <x:row r="629">
      <x:c r="A629" s="83" t="str">
        <x:v>A-DRAINAGE</x:v>
      </x:c>
      <x:c r="B629" s="83" t="str">
        <x:v>A-WELL</x:v>
      </x:c>
      <x:c r="C629" s="83" t="str">
        <x:v>Prerequisite</x:v>
      </x:c>
      <x:c r="D629" s="83" t="str">
        <x:v>Yes</x:v>
      </x:c>
      <x:c r="E629" s="83"/>
      <x:c r="F629" s="83" t="str">
        <x:v>v2.7 Civilization Weave</x:v>
      </x:c>
      <x:c r="G629" s="83" t="n">
        <x:f>COUNTIF('Craft Nodes'!$A$5:$A$250,A629)</x:f>
        <x:v>1</x:v>
      </x:c>
      <x:c r="H629" s="83" t="n">
        <x:f>COUNTIF('Craft Nodes'!$A$5:$A$250,B629)</x:f>
        <x:v>1</x:v>
      </x:c>
      <x:c r="I629" s="83" t="str">
        <x:f>IF(AND(G629=1,H629=1),"OK",IF(G629=0,"MISSING FROM","MISSING TO"))</x:f>
        <x:v>OK</x:v>
      </x:c>
    </x:row>
    <x:row r="630">
      <x:c r="A630" s="83" t="str">
        <x:v>S-FOG</x:v>
      </x:c>
      <x:c r="B630" s="83" t="str">
        <x:v>A-FOG-COLLECTOR</x:v>
      </x:c>
      <x:c r="C630" s="83" t="str">
        <x:v>Prerequisite</x:v>
      </x:c>
      <x:c r="D630" s="83" t="str">
        <x:v>Yes</x:v>
      </x:c>
      <x:c r="E630" s="83"/>
      <x:c r="F630" s="83" t="str">
        <x:v>v2.7 Civilization Weave</x:v>
      </x:c>
      <x:c r="G630" s="83" t="n">
        <x:f>COUNTIF('Craft Nodes'!$A$5:$A$250,A630)</x:f>
        <x:v>1</x:v>
      </x:c>
      <x:c r="H630" s="83" t="n">
        <x:f>COUNTIF('Craft Nodes'!$A$5:$A$250,B630)</x:f>
        <x:v>1</x:v>
      </x:c>
      <x:c r="I630" s="83" t="str">
        <x:f>IF(AND(G630=1,H630=1),"OK",IF(G630=0,"MISSING FROM","MISSING TO"))</x:f>
        <x:v>OK</x:v>
      </x:c>
    </x:row>
    <x:row r="631">
      <x:c r="A631" s="83" t="str">
        <x:v>A-NET</x:v>
      </x:c>
      <x:c r="B631" s="83" t="str">
        <x:v>A-FOG-COLLECTOR</x:v>
      </x:c>
      <x:c r="C631" s="83" t="str">
        <x:v>Prerequisite</x:v>
      </x:c>
      <x:c r="D631" s="83" t="str">
        <x:v>Yes</x:v>
      </x:c>
      <x:c r="E631" s="83"/>
      <x:c r="F631" s="83" t="str">
        <x:v>v2.7 Civilization Weave</x:v>
      </x:c>
      <x:c r="G631" s="83" t="n">
        <x:f>COUNTIF('Craft Nodes'!$A$5:$A$250,A631)</x:f>
        <x:v>1</x:v>
      </x:c>
      <x:c r="H631" s="83" t="n">
        <x:f>COUNTIF('Craft Nodes'!$A$5:$A$250,B631)</x:f>
        <x:v>1</x:v>
      </x:c>
      <x:c r="I631" s="83" t="str">
        <x:f>IF(AND(G631=1,H631=1),"OK",IF(G631=0,"MISSING FROM","MISSING TO"))</x:f>
        <x:v>OK</x:v>
      </x:c>
    </x:row>
    <x:row r="632">
      <x:c r="A632" s="83" t="str">
        <x:v>A-CISTERN</x:v>
      </x:c>
      <x:c r="B632" s="83" t="str">
        <x:v>A-FOG-COLLECTOR</x:v>
      </x:c>
      <x:c r="C632" s="83" t="str">
        <x:v>Prerequisite</x:v>
      </x:c>
      <x:c r="D632" s="83" t="str">
        <x:v>Yes</x:v>
      </x:c>
      <x:c r="E632" s="83"/>
      <x:c r="F632" s="83" t="str">
        <x:v>v2.7 Civilization Weave</x:v>
      </x:c>
      <x:c r="G632" s="83" t="n">
        <x:f>COUNTIF('Craft Nodes'!$A$5:$A$250,A632)</x:f>
        <x:v>1</x:v>
      </x:c>
      <x:c r="H632" s="83" t="n">
        <x:f>COUNTIF('Craft Nodes'!$A$5:$A$250,B632)</x:f>
        <x:v>1</x:v>
      </x:c>
      <x:c r="I632" s="83" t="str">
        <x:f>IF(AND(G632=1,H632=1),"OK",IF(G632=0,"MISSING FROM","MISSING TO"))</x:f>
        <x:v>OK</x:v>
      </x:c>
    </x:row>
    <x:row r="633">
      <x:c r="A633" s="83" t="str">
        <x:v>P-STRAIGHT-POLE</x:v>
      </x:c>
      <x:c r="B633" s="83" t="str">
        <x:v>T-BOW</x:v>
      </x:c>
      <x:c r="C633" s="83" t="str">
        <x:v>Prerequisite</x:v>
      </x:c>
      <x:c r="D633" s="83" t="str">
        <x:v>Yes</x:v>
      </x:c>
      <x:c r="E633" s="83"/>
      <x:c r="F633" s="83" t="str">
        <x:v>v2.7 Civilization Weave</x:v>
      </x:c>
      <x:c r="G633" s="83" t="n">
        <x:f>COUNTIF('Craft Nodes'!$A$5:$A$250,A633)</x:f>
        <x:v>1</x:v>
      </x:c>
      <x:c r="H633" s="83" t="n">
        <x:f>COUNTIF('Craft Nodes'!$A$5:$A$250,B633)</x:f>
        <x:v>1</x:v>
      </x:c>
      <x:c r="I633" s="83" t="str">
        <x:f>IF(AND(G633=1,H633=1),"OK",IF(G633=0,"MISSING FROM","MISSING TO"))</x:f>
        <x:v>OK</x:v>
      </x:c>
    </x:row>
    <x:row r="634">
      <x:c r="A634" s="83" t="str">
        <x:v>A-BOWSTRING</x:v>
      </x:c>
      <x:c r="B634" s="83" t="str">
        <x:v>T-BOW</x:v>
      </x:c>
      <x:c r="C634" s="83" t="str">
        <x:v>Prerequisite</x:v>
      </x:c>
      <x:c r="D634" s="83" t="str">
        <x:v>Yes</x:v>
      </x:c>
      <x:c r="E634" s="83"/>
      <x:c r="F634" s="83" t="str">
        <x:v>v2.7 Civilization Weave</x:v>
      </x:c>
      <x:c r="G634" s="83" t="n">
        <x:f>COUNTIF('Craft Nodes'!$A$5:$A$250,A634)</x:f>
        <x:v>1</x:v>
      </x:c>
      <x:c r="H634" s="83" t="n">
        <x:f>COUNTIF('Craft Nodes'!$A$5:$A$250,B634)</x:f>
        <x:v>1</x:v>
      </x:c>
      <x:c r="I634" s="83" t="str">
        <x:f>IF(AND(G634=1,H634=1),"OK",IF(G634=0,"MISSING FROM","MISSING TO"))</x:f>
        <x:v>OK</x:v>
      </x:c>
    </x:row>
    <x:row r="635">
      <x:c r="A635" s="83" t="str">
        <x:v>P-STRAIGHT-POLE</x:v>
      </x:c>
      <x:c r="B635" s="83" t="str">
        <x:v>T-ARROW</x:v>
      </x:c>
      <x:c r="C635" s="83" t="str">
        <x:v>Prerequisite</x:v>
      </x:c>
      <x:c r="D635" s="83" t="str">
        <x:v>Yes</x:v>
      </x:c>
      <x:c r="E635" s="83"/>
      <x:c r="F635" s="83" t="str">
        <x:v>v2.7 Civilization Weave</x:v>
      </x:c>
      <x:c r="G635" s="83" t="n">
        <x:f>COUNTIF('Craft Nodes'!$A$5:$A$250,A635)</x:f>
        <x:v>1</x:v>
      </x:c>
      <x:c r="H635" s="83" t="n">
        <x:f>COUNTIF('Craft Nodes'!$A$5:$A$250,B635)</x:f>
        <x:v>1</x:v>
      </x:c>
      <x:c r="I635" s="83" t="str">
        <x:f>IF(AND(G635=1,H635=1),"OK",IF(G635=0,"MISSING FROM","MISSING TO"))</x:f>
        <x:v>OK</x:v>
      </x:c>
    </x:row>
    <x:row r="636">
      <x:c r="A636" s="83" t="str">
        <x:v>P-SHARP-EDGE</x:v>
      </x:c>
      <x:c r="B636" s="83" t="str">
        <x:v>T-ARROW</x:v>
      </x:c>
      <x:c r="C636" s="83" t="str">
        <x:v>Prerequisite</x:v>
      </x:c>
      <x:c r="D636" s="83" t="str">
        <x:v>Yes</x:v>
      </x:c>
      <x:c r="E636" s="83"/>
      <x:c r="F636" s="83" t="str">
        <x:v>v2.7 Civilization Weave</x:v>
      </x:c>
      <x:c r="G636" s="83" t="n">
        <x:f>COUNTIF('Craft Nodes'!$A$5:$A$250,A636)</x:f>
        <x:v>1</x:v>
      </x:c>
      <x:c r="H636" s="83" t="n">
        <x:f>COUNTIF('Craft Nodes'!$A$5:$A$250,B636)</x:f>
        <x:v>1</x:v>
      </x:c>
      <x:c r="I636" s="83" t="str">
        <x:f>IF(AND(G636=1,H636=1),"OK",IF(G636=0,"MISSING FROM","MISSING TO"))</x:f>
        <x:v>OK</x:v>
      </x:c>
    </x:row>
    <x:row r="637">
      <x:c r="A637" s="83" t="str">
        <x:v>P-CORD</x:v>
      </x:c>
      <x:c r="B637" s="83" t="str">
        <x:v>A-SNARE</x:v>
      </x:c>
      <x:c r="C637" s="83" t="str">
        <x:v>Prerequisite</x:v>
      </x:c>
      <x:c r="D637" s="83" t="str">
        <x:v>Yes</x:v>
      </x:c>
      <x:c r="E637" s="83"/>
      <x:c r="F637" s="83" t="str">
        <x:v>v2.7 Civilization Weave</x:v>
      </x:c>
      <x:c r="G637" s="83" t="n">
        <x:f>COUNTIF('Craft Nodes'!$A$5:$A$250,A637)</x:f>
        <x:v>1</x:v>
      </x:c>
      <x:c r="H637" s="83" t="n">
        <x:f>COUNTIF('Craft Nodes'!$A$5:$A$250,B637)</x:f>
        <x:v>1</x:v>
      </x:c>
      <x:c r="I637" s="83" t="str">
        <x:f>IF(AND(G637=1,H637=1),"OK",IF(G637=0,"MISSING FROM","MISSING TO"))</x:f>
        <x:v>OK</x:v>
      </x:c>
    </x:row>
    <x:row r="638">
      <x:c r="A638" s="83" t="str">
        <x:v>P-PEG</x:v>
      </x:c>
      <x:c r="B638" s="83" t="str">
        <x:v>A-SNARE</x:v>
      </x:c>
      <x:c r="C638" s="83" t="str">
        <x:v>Prerequisite</x:v>
      </x:c>
      <x:c r="D638" s="83" t="str">
        <x:v>Yes</x:v>
      </x:c>
      <x:c r="E638" s="83"/>
      <x:c r="F638" s="83" t="str">
        <x:v>v2.7 Civilization Weave</x:v>
      </x:c>
      <x:c r="G638" s="83" t="n">
        <x:f>COUNTIF('Craft Nodes'!$A$5:$A$250,A638)</x:f>
        <x:v>1</x:v>
      </x:c>
      <x:c r="H638" s="83" t="n">
        <x:f>COUNTIF('Craft Nodes'!$A$5:$A$250,B638)</x:f>
        <x:v>1</x:v>
      </x:c>
      <x:c r="I638" s="83" t="str">
        <x:f>IF(AND(G638=1,H638=1),"OK",IF(G638=0,"MISSING FROM","MISSING TO"))</x:f>
        <x:v>OK</x:v>
      </x:c>
    </x:row>
    <x:row r="639">
      <x:c r="A639" s="83" t="str">
        <x:v>A-FORAGE-MAP</x:v>
      </x:c>
      <x:c r="B639" s="83" t="str">
        <x:v>A-SNARE</x:v>
      </x:c>
      <x:c r="C639" s="83" t="str">
        <x:v>Prerequisite</x:v>
      </x:c>
      <x:c r="D639" s="83" t="str">
        <x:v>Yes</x:v>
      </x:c>
      <x:c r="E639" s="83"/>
      <x:c r="F639" s="83" t="str">
        <x:v>v2.7 Civilization Weave</x:v>
      </x:c>
      <x:c r="G639" s="83" t="n">
        <x:f>COUNTIF('Craft Nodes'!$A$5:$A$250,A639)</x:f>
        <x:v>1</x:v>
      </x:c>
      <x:c r="H639" s="83" t="n">
        <x:f>COUNTIF('Craft Nodes'!$A$5:$A$250,B639)</x:f>
        <x:v>1</x:v>
      </x:c>
      <x:c r="I639" s="83" t="str">
        <x:f>IF(AND(G639=1,H639=1),"OK",IF(G639=0,"MISSING FROM","MISSING TO"))</x:f>
        <x:v>OK</x:v>
      </x:c>
    </x:row>
    <x:row r="640">
      <x:c r="A640" s="83" t="str">
        <x:v>S-GLASS</x:v>
      </x:c>
      <x:c r="B640" s="83" t="str">
        <x:v>T-SNORKEL-KIT</x:v>
      </x:c>
      <x:c r="C640" s="83" t="str">
        <x:v>Prerequisite</x:v>
      </x:c>
      <x:c r="D640" s="83" t="str">
        <x:v>Yes</x:v>
      </x:c>
      <x:c r="E640" s="83"/>
      <x:c r="F640" s="83" t="str">
        <x:v>v2.7 Civilization Weave</x:v>
      </x:c>
      <x:c r="G640" s="83" t="n">
        <x:f>COUNTIF('Craft Nodes'!$A$5:$A$250,A640)</x:f>
        <x:v>1</x:v>
      </x:c>
      <x:c r="H640" s="83" t="n">
        <x:f>COUNTIF('Craft Nodes'!$A$5:$A$250,B640)</x:f>
        <x:v>1</x:v>
      </x:c>
      <x:c r="I640" s="83" t="str">
        <x:f>IF(AND(G640=1,H640=1),"OK",IF(G640=0,"MISSING FROM","MISSING TO"))</x:f>
        <x:v>OK</x:v>
      </x:c>
    </x:row>
    <x:row r="641">
      <x:c r="A641" s="83" t="str">
        <x:v>S-RUBBER</x:v>
      </x:c>
      <x:c r="B641" s="83" t="str">
        <x:v>T-SNORKEL-KIT</x:v>
      </x:c>
      <x:c r="C641" s="83" t="str">
        <x:v>Prerequisite</x:v>
      </x:c>
      <x:c r="D641" s="83" t="str">
        <x:v>Yes</x:v>
      </x:c>
      <x:c r="E641" s="83"/>
      <x:c r="F641" s="83" t="str">
        <x:v>v2.7 Civilization Weave</x:v>
      </x:c>
      <x:c r="G641" s="83" t="n">
        <x:f>COUNTIF('Craft Nodes'!$A$5:$A$250,A641)</x:f>
        <x:v>1</x:v>
      </x:c>
      <x:c r="H641" s="83" t="n">
        <x:f>COUNTIF('Craft Nodes'!$A$5:$A$250,B641)</x:f>
        <x:v>1</x:v>
      </x:c>
      <x:c r="I641" s="83" t="str">
        <x:f>IF(AND(G641=1,H641=1),"OK",IF(G641=0,"MISSING FROM","MISSING TO"))</x:f>
        <x:v>OK</x:v>
      </x:c>
    </x:row>
    <x:row r="642">
      <x:c r="A642" s="83" t="str">
        <x:v>T-SNORKEL-KIT</x:v>
      </x:c>
      <x:c r="B642" s="83" t="str">
        <x:v>A-SNORKEL-SURVEY</x:v>
      </x:c>
      <x:c r="C642" s="83" t="str">
        <x:v>Prerequisite</x:v>
      </x:c>
      <x:c r="D642" s="83" t="str">
        <x:v>Yes</x:v>
      </x:c>
      <x:c r="E642" s="83"/>
      <x:c r="F642" s="83" t="str">
        <x:v>v2.7 Civilization Weave</x:v>
      </x:c>
      <x:c r="G642" s="83" t="n">
        <x:f>COUNTIF('Craft Nodes'!$A$5:$A$250,A642)</x:f>
        <x:v>1</x:v>
      </x:c>
      <x:c r="H642" s="83" t="n">
        <x:f>COUNTIF('Craft Nodes'!$A$5:$A$250,B642)</x:f>
        <x:v>1</x:v>
      </x:c>
      <x:c r="I642" s="83" t="str">
        <x:f>IF(AND(G642=1,H642=1),"OK",IF(G642=0,"MISSING FROM","MISSING TO"))</x:f>
        <x:v>OK</x:v>
      </x:c>
    </x:row>
    <x:row r="643">
      <x:c r="A643" s="83" t="str">
        <x:v>A-DIVE</x:v>
      </x:c>
      <x:c r="B643" s="83" t="str">
        <x:v>A-SNORKEL-SURVEY</x:v>
      </x:c>
      <x:c r="C643" s="83" t="str">
        <x:v>Prerequisite</x:v>
      </x:c>
      <x:c r="D643" s="83" t="str">
        <x:v>Yes</x:v>
      </x:c>
      <x:c r="E643" s="83"/>
      <x:c r="F643" s="83" t="str">
        <x:v>v2.7 Civilization Weave</x:v>
      </x:c>
      <x:c r="G643" s="83" t="n">
        <x:f>COUNTIF('Craft Nodes'!$A$5:$A$250,A643)</x:f>
        <x:v>1</x:v>
      </x:c>
      <x:c r="H643" s="83" t="n">
        <x:f>COUNTIF('Craft Nodes'!$A$5:$A$250,B643)</x:f>
        <x:v>1</x:v>
      </x:c>
      <x:c r="I643" s="83" t="str">
        <x:f>IF(AND(G643=1,H643=1),"OK",IF(G643=0,"MISSING FROM","MISSING TO"))</x:f>
        <x:v>OK</x:v>
      </x:c>
    </x:row>
    <x:row r="644">
      <x:c r="A644" s="83" t="str">
        <x:v>P-ROPE</x:v>
      </x:c>
      <x:c r="B644" s="83" t="str">
        <x:v>A-DIVE-LINE</x:v>
      </x:c>
      <x:c r="C644" s="83" t="str">
        <x:v>Prerequisite</x:v>
      </x:c>
      <x:c r="D644" s="83" t="str">
        <x:v>Yes</x:v>
      </x:c>
      <x:c r="E644" s="83"/>
      <x:c r="F644" s="83" t="str">
        <x:v>v2.7 Civilization Weave</x:v>
      </x:c>
      <x:c r="G644" s="83" t="n">
        <x:f>COUNTIF('Craft Nodes'!$A$5:$A$250,A644)</x:f>
        <x:v>1</x:v>
      </x:c>
      <x:c r="H644" s="83" t="n">
        <x:f>COUNTIF('Craft Nodes'!$A$5:$A$250,B644)</x:f>
        <x:v>1</x:v>
      </x:c>
      <x:c r="I644" s="83" t="str">
        <x:f>IF(AND(G644=1,H644=1),"OK",IF(G644=0,"MISSING FROM","MISSING TO"))</x:f>
        <x:v>OK</x:v>
      </x:c>
    </x:row>
    <x:row r="645">
      <x:c r="A645" s="83" t="str">
        <x:v>A-FLOAT</x:v>
      </x:c>
      <x:c r="B645" s="83" t="str">
        <x:v>A-DIVE-LINE</x:v>
      </x:c>
      <x:c r="C645" s="83" t="str">
        <x:v>Prerequisite</x:v>
      </x:c>
      <x:c r="D645" s="83" t="str">
        <x:v>Yes</x:v>
      </x:c>
      <x:c r="E645" s="83"/>
      <x:c r="F645" s="83" t="str">
        <x:v>v2.7 Civilization Weave</x:v>
      </x:c>
      <x:c r="G645" s="83" t="n">
        <x:f>COUNTIF('Craft Nodes'!$A$5:$A$250,A645)</x:f>
        <x:v>1</x:v>
      </x:c>
      <x:c r="H645" s="83" t="n">
        <x:f>COUNTIF('Craft Nodes'!$A$5:$A$250,B645)</x:f>
        <x:v>1</x:v>
      </x:c>
      <x:c r="I645" s="83" t="str">
        <x:f>IF(AND(G645=1,H645=1),"OK",IF(G645=0,"MISSING FROM","MISSING TO"))</x:f>
        <x:v>OK</x:v>
      </x:c>
    </x:row>
    <x:row r="646">
      <x:c r="A646" s="83" t="str">
        <x:v>A-PUMP</x:v>
      </x:c>
      <x:c r="B646" s="83" t="str">
        <x:v>A-PUMP-DRAIN</x:v>
      </x:c>
      <x:c r="C646" s="83" t="str">
        <x:v>Prerequisite</x:v>
      </x:c>
      <x:c r="D646" s="83" t="str">
        <x:v>Yes</x:v>
      </x:c>
      <x:c r="E646" s="83"/>
      <x:c r="F646" s="83" t="str">
        <x:v>v2.7 Civilization Weave</x:v>
      </x:c>
      <x:c r="G646" s="83" t="n">
        <x:f>COUNTIF('Craft Nodes'!$A$5:$A$250,A646)</x:f>
        <x:v>1</x:v>
      </x:c>
      <x:c r="H646" s="83" t="n">
        <x:f>COUNTIF('Craft Nodes'!$A$5:$A$250,B646)</x:f>
        <x:v>1</x:v>
      </x:c>
      <x:c r="I646" s="83" t="str">
        <x:f>IF(AND(G646=1,H646=1),"OK",IF(G646=0,"MISSING FROM","MISSING TO"))</x:f>
        <x:v>OK</x:v>
      </x:c>
    </x:row>
    <x:row r="647">
      <x:c r="A647" s="83" t="str">
        <x:v>A-PIPE</x:v>
      </x:c>
      <x:c r="B647" s="83" t="str">
        <x:v>A-PUMP-DRAIN</x:v>
      </x:c>
      <x:c r="C647" s="83" t="str">
        <x:v>Prerequisite</x:v>
      </x:c>
      <x:c r="D647" s="83" t="str">
        <x:v>Yes</x:v>
      </x:c>
      <x:c r="E647" s="83"/>
      <x:c r="F647" s="83" t="str">
        <x:v>v2.7 Civilization Weave</x:v>
      </x:c>
      <x:c r="G647" s="83" t="n">
        <x:f>COUNTIF('Craft Nodes'!$A$5:$A$250,A647)</x:f>
        <x:v>1</x:v>
      </x:c>
      <x:c r="H647" s="83" t="n">
        <x:f>COUNTIF('Craft Nodes'!$A$5:$A$250,B647)</x:f>
        <x:v>1</x:v>
      </x:c>
      <x:c r="I647" s="83" t="str">
        <x:f>IF(AND(G647=1,H647=1),"OK",IF(G647=0,"MISSING FROM","MISSING TO"))</x:f>
        <x:v>OK</x:v>
      </x:c>
    </x:row>
    <x:row r="648">
      <x:c r="A648" s="83" t="str">
        <x:v>A-RECEIVER</x:v>
      </x:c>
      <x:c r="B648" s="83" t="str">
        <x:v>A-REMOTE-SURVEY</x:v>
      </x:c>
      <x:c r="C648" s="83" t="str">
        <x:v>Prerequisite</x:v>
      </x:c>
      <x:c r="D648" s="83" t="str">
        <x:v>Yes</x:v>
      </x:c>
      <x:c r="E648" s="83"/>
      <x:c r="F648" s="83" t="str">
        <x:v>v2.7 Civilization Weave</x:v>
      </x:c>
      <x:c r="G648" s="83" t="n">
        <x:f>COUNTIF('Craft Nodes'!$A$5:$A$250,A648)</x:f>
        <x:v>1</x:v>
      </x:c>
      <x:c r="H648" s="83" t="n">
        <x:f>COUNTIF('Craft Nodes'!$A$5:$A$250,B648)</x:f>
        <x:v>1</x:v>
      </x:c>
      <x:c r="I648" s="83" t="str">
        <x:f>IF(AND(G648=1,H648=1),"OK",IF(G648=0,"MISSING FROM","MISSING TO"))</x:f>
        <x:v>OK</x:v>
      </x:c>
    </x:row>
    <x:row r="649">
      <x:c r="A649" s="83" t="str">
        <x:v>A-GRID</x:v>
      </x:c>
      <x:c r="B649" s="83" t="str">
        <x:v>A-REMOTE-SURVEY</x:v>
      </x:c>
      <x:c r="C649" s="83" t="str">
        <x:v>Prerequisite</x:v>
      </x:c>
      <x:c r="D649" s="83" t="str">
        <x:v>Yes</x:v>
      </x:c>
      <x:c r="E649" s="83"/>
      <x:c r="F649" s="83" t="str">
        <x:v>v2.7 Civilization Weave</x:v>
      </x:c>
      <x:c r="G649" s="83" t="n">
        <x:f>COUNTIF('Craft Nodes'!$A$5:$A$250,A649)</x:f>
        <x:v>1</x:v>
      </x:c>
      <x:c r="H649" s="83" t="n">
        <x:f>COUNTIF('Craft Nodes'!$A$5:$A$250,B649)</x:f>
        <x:v>1</x:v>
      </x:c>
      <x:c r="I649" s="83" t="str">
        <x:f>IF(AND(G649=1,H649=1),"OK",IF(G649=0,"MISSING FROM","MISSING TO"))</x:f>
        <x:v>OK</x:v>
      </x:c>
    </x:row>
    <x:row r="650">
      <x:c r="A650" s="83" t="str">
        <x:v>W-ARCHIVE</x:v>
      </x:c>
      <x:c r="B650" s="83" t="str">
        <x:v>A-STEWARDSHIP</x:v>
      </x:c>
      <x:c r="C650" s="83" t="str">
        <x:v>Prerequisite</x:v>
      </x:c>
      <x:c r="D650" s="83" t="str">
        <x:v>Yes</x:v>
      </x:c>
      <x:c r="E650" s="83"/>
      <x:c r="F650" s="83" t="str">
        <x:v>v2.7 Civilization Weave</x:v>
      </x:c>
      <x:c r="G650" s="83" t="n">
        <x:f>COUNTIF('Craft Nodes'!$A$5:$A$250,A650)</x:f>
        <x:v>1</x:v>
      </x:c>
      <x:c r="H650" s="83" t="n">
        <x:f>COUNTIF('Craft Nodes'!$A$5:$A$250,B650)</x:f>
        <x:v>1</x:v>
      </x:c>
      <x:c r="I650" s="83" t="str">
        <x:f>IF(AND(G650=1,H650=1),"OK",IF(G650=0,"MISSING FROM","MISSING TO"))</x:f>
        <x:v>OK</x:v>
      </x:c>
    </x:row>
    <x:row r="651">
      <x:c r="A651" s="83" t="str">
        <x:v>A-WORKING-HOME</x:v>
      </x:c>
      <x:c r="B651" s="83" t="str">
        <x:v>A-STEWARDSHIP</x:v>
      </x:c>
      <x:c r="C651" s="83" t="str">
        <x:v>Prerequisite</x:v>
      </x:c>
      <x:c r="D651" s="83" t="str">
        <x:v>Yes</x:v>
      </x:c>
      <x:c r="E651" s="83"/>
      <x:c r="F651" s="83" t="str">
        <x:v>v2.7 Civilization Weave</x:v>
      </x:c>
      <x:c r="G651" s="83" t="n">
        <x:f>COUNTIF('Craft Nodes'!$A$5:$A$250,A651)</x:f>
        <x:v>1</x:v>
      </x:c>
      <x:c r="H651" s="83" t="n">
        <x:f>COUNTIF('Craft Nodes'!$A$5:$A$250,B651)</x:f>
        <x:v>1</x:v>
      </x:c>
      <x:c r="I651" s="83" t="str">
        <x:f>IF(AND(G651=1,H651=1),"OK",IF(G651=0,"MISSING FROM","MISSING TO"))</x:f>
        <x:v>OK</x:v>
      </x:c>
    </x:row>
    <x:row r="652">
      <x:c r="A652" s="83" t="str">
        <x:v>A-STEWARDSHIP</x:v>
      </x:c>
      <x:c r="B652" s="83" t="str">
        <x:v>A-SAFE-ROUTINE</x:v>
      </x:c>
      <x:c r="C652" s="83" t="str">
        <x:v>Prerequisite</x:v>
      </x:c>
      <x:c r="D652" s="83" t="str">
        <x:v>Yes</x:v>
      </x:c>
      <x:c r="E652" s="83"/>
      <x:c r="F652" s="83" t="str">
        <x:v>v2.7 Civilization Weave</x:v>
      </x:c>
      <x:c r="G652" s="83" t="n">
        <x:f>COUNTIF('Craft Nodes'!$A$5:$A$250,A652)</x:f>
        <x:v>1</x:v>
      </x:c>
      <x:c r="H652" s="83" t="n">
        <x:f>COUNTIF('Craft Nodes'!$A$5:$A$250,B652)</x:f>
        <x:v>1</x:v>
      </x:c>
      <x:c r="I652" s="83" t="str">
        <x:f>IF(AND(G652=1,H652=1),"OK",IF(G652=0,"MISSING FROM","MISSING TO"))</x:f>
        <x:v>OK</x:v>
      </x:c>
    </x:row>
    <x:row r="653">
      <x:c r="A653" s="84" t="str">
        <x:v>A-VALVE</x:v>
      </x:c>
      <x:c r="B653" s="84" t="str">
        <x:v>A-SAFE-ROUTINE</x:v>
      </x:c>
      <x:c r="C653" s="84" t="str">
        <x:v>Prerequisite</x:v>
      </x:c>
      <x:c r="D653" s="84" t="str">
        <x:v>Yes</x:v>
      </x:c>
      <x:c r="E653" s="84"/>
      <x:c r="F653" s="84" t="str">
        <x:v>v2.7 Civilization Weave</x:v>
      </x:c>
      <x:c r="G653" s="84" t="n">
        <x:f>COUNTIF('Craft Nodes'!$A$5:$A$250,A653)</x:f>
        <x:v>1</x:v>
      </x:c>
      <x:c r="H653" s="84" t="n">
        <x:f>COUNTIF('Craft Nodes'!$A$5:$A$250,B653)</x:f>
        <x:v>1</x:v>
      </x:c>
      <x:c r="I653" s="84" t="str">
        <x:f>IF(AND(G653=1,H653=1),"OK",IF(G653=0,"MISSING FROM","MISSING TO"))</x:f>
        <x:v>OK</x:v>
      </x:c>
    </x:row>
  </x:sheetData>
  <x:mergeCells>
    <x:mergeCell ref="A1:I1"/>
    <x:mergeCell ref="A2:I2"/>
  </x:mergeCells>
  <x:conditionalFormatting sqref="I5:I538">
    <x:cfRule type="containsText" dxfId="2" priority="1" operator="containsText" text="MISSING"/>
  </x:conditionalFormatting>
  <x:conditionalFormatting sqref="I5:I700">
    <x:cfRule type="containsText" dxfId="11" priority="2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d51e54abe8aa4d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0" hidden="0" customWidth="1"/>
    <x:col min="4" max="4" width="18" hidden="0" customWidth="1"/>
    <x:col min="5" max="5" width="54" hidden="0" customWidth="1"/>
  </x:cols>
  <x:sheetData>
    <x:row r="1" ht="30" customHeight="1">
      <x:c r="A1" s="3" t="str">
        <x:v>Continuous Human Time</x:v>
      </x:c>
      <x:c r="B1" s="3"/>
      <x:c r="C1" s="3"/>
      <x:c r="D1" s="3"/>
      <x:c r="E1" s="3"/>
    </x:row>
    <x:row r="2" ht="32" customHeight="1">
      <x:c r="A2" s="7" t="str">
        <x:v>Awake seed: 20 simulated seconds per real second (3 real minutes per game hour; 72 real minutes per day). Sleep accelerates the whole simulation.</x:v>
      </x:c>
      <x:c r="B2" s="7"/>
      <x:c r="C2" s="7"/>
      <x:c r="D2" s="7"/>
      <x:c r="E2" s="7"/>
    </x:row>
    <x:row r="4" ht="30" customHeight="1">
      <x:c r="A4" s="39" t="str">
        <x:v>Mode / task</x:v>
      </x:c>
      <x:c r="B4" s="40" t="str">
        <x:v>Example</x:v>
      </x:c>
      <x:c r="C4" s="40" t="str">
        <x:v>Duration seed</x:v>
      </x:c>
      <x:c r="D4" s="40" t="str">
        <x:v>Ownership</x:v>
      </x:c>
      <x:c r="E4" s="41" t="str">
        <x:v>Constitution</x:v>
      </x:c>
    </x:row>
    <x:row r="5">
      <x:c r="A5" s="48" t="str">
        <x:v>Immediate handling</x:v>
      </x:c>
      <x:c r="B5" s="48" t="str">
        <x:v>Pick/sip/place/open known latch</x:v>
      </x:c>
      <x:c r="C5" s="48" t="str">
        <x:v>&lt;2 sec real</x:v>
      </x:c>
      <x:c r="D5" s="48" t="str">
        <x:v>Active</x:v>
      </x:c>
      <x:c r="E5" s="48" t="str">
        <x:v>No progress bar; state still matters</x:v>
      </x:c>
    </x:row>
    <x:row r="6">
      <x:c r="A6" s="49" t="str">
        <x:v>Micro operation</x:v>
      </x:c>
      <x:c r="B6" s="49" t="str">
        <x:v>Add fuel/tie familiar knot/cut short fiber</x:v>
      </x:c>
      <x:c r="C6" s="49" t="str">
        <x:v>2–20 sec real</x:v>
      </x:c>
      <x:c r="D6" s="49" t="str">
        <x:v>Active</x:v>
      </x:c>
      <x:c r="E6" s="49" t="str">
        <x:v>Cancelable; visible material response</x:v>
      </x:c>
    </x:row>
    <x:row r="7">
      <x:c r="A7" s="49" t="str">
        <x:v>First sharp edge</x:v>
      </x:c>
      <x:c r="B7" s="49" t="str">
        <x:v>Knap suitable stone</x:v>
      </x:c>
      <x:c r="C7" s="49" t="str">
        <x:v>5–20 game min</x:v>
      </x:c>
      <x:c r="D7" s="49" t="str">
        <x:v>Active</x:v>
      </x:c>
      <x:c r="E7" s="49" t="str">
        <x:v>Feedback-rich; partial material state</x:v>
      </x:c>
    </x:row>
    <x:row r="8">
      <x:c r="A8" s="49" t="str">
        <x:v>Handled cutter</x:v>
      </x:c>
      <x:c r="B8" s="49" t="str">
        <x:v>Prepare grip/seat/bind/test</x:v>
      </x:c>
      <x:c r="C8" s="49" t="str">
        <x:v>20–60 game min</x:v>
      </x:c>
      <x:c r="D8" s="49" t="str">
        <x:v>Active phases</x:v>
      </x:c>
      <x:c r="E8" s="49" t="str">
        <x:v>No icon fusion</x:v>
      </x:c>
    </x:row>
    <x:row r="9">
      <x:c r="A9" s="49" t="str">
        <x:v>Open coconut vessel</x:v>
      </x:c>
      <x:c r="B9" s="49" t="str">
        <x:v>Cut/drain/clean</x:v>
      </x:c>
      <x:c r="C9" s="49" t="str">
        <x:v>5–15 game min</x:v>
      </x:c>
      <x:c r="D9" s="49" t="str">
        <x:v>Active</x:v>
      </x:c>
      <x:c r="E9" s="49" t="str">
        <x:v>Spill/cut/contamination possible</x:v>
      </x:c>
    </x:row>
    <x:row r="10">
      <x:c r="A10" s="49" t="str">
        <x:v>Emergency water heat</x:v>
      </x:c>
      <x:c r="B10" s="49" t="str">
        <x:v>Small coconut/organic batch</x:v>
      </x:c>
      <x:c r="C10" s="49" t="str">
        <x:v>10–30 game min</x:v>
      </x:c>
      <x:c r="D10" s="49" t="str">
        <x:v>Managed</x:v>
      </x:c>
      <x:c r="E10" s="49" t="str">
        <x:v>Nearby camp work possible</x:v>
      </x:c>
    </x:row>
    <x:row r="11">
      <x:c r="A11" s="49" t="str">
        <x:v>Found-pan boil</x:v>
      </x:c>
      <x:c r="B11" s="49" t="str">
        <x:v>Set up/boil/cool/store</x:v>
      </x:c>
      <x:c r="C11" s="49" t="str">
        <x:v>10–25 + cooling</x:v>
      </x:c>
      <x:c r="D11" s="49" t="str">
        <x:v>Managed + passive</x:v>
      </x:c>
      <x:c r="E11" s="49" t="str">
        <x:v>Correct boil and clean storage</x:v>
      </x:c>
    </x:row>
    <x:row r="12">
      <x:c r="A12" s="49" t="str">
        <x:v>Twist short cord</x:v>
      </x:c>
      <x:c r="B12" s="49" t="str">
        <x:v>Prepare/twist/splice</x:v>
      </x:c>
      <x:c r="C12" s="49" t="str">
        <x:v>10–30 game min</x:v>
      </x:c>
      <x:c r="D12" s="49" t="str">
        <x:v>Active early</x:v>
      </x:c>
      <x:c r="E12" s="49" t="str">
        <x:v>Jig/batch later</x:v>
      </x:c>
    </x:row>
    <x:row r="13">
      <x:c r="A13" s="49" t="str">
        <x:v>Form clay pot</x:v>
      </x:c>
      <x:c r="B13" s="49" t="str">
        <x:v>Prepare/form/finish</x:v>
      </x:c>
      <x:c r="C13" s="49" t="str">
        <x:v>30–90 game min</x:v>
      </x:c>
      <x:c r="D13" s="49" t="str">
        <x:v>Active</x:v>
      </x:c>
      <x:c r="E13" s="49" t="str">
        <x:v>Drying/firing separate</x:v>
      </x:c>
    </x:row>
    <x:row r="14">
      <x:c r="A14" s="49" t="str">
        <x:v>Dry clay pot</x:v>
      </x:c>
      <x:c r="B14" s="49" t="str">
        <x:v>Protected slow drying</x:v>
      </x:c>
      <x:c r="C14" s="49" t="str">
        <x:v>Hours–days</x:v>
      </x:c>
      <x:c r="D14" s="49" t="str">
        <x:v>Unattended</x:v>
      </x:c>
      <x:c r="E14" s="49" t="str">
        <x:v>Humidity/airflow/crack state</x:v>
      </x:c>
    </x:row>
    <x:row r="15">
      <x:c r="A15" s="49" t="str">
        <x:v>Fire clay pot</x:v>
      </x:c>
      <x:c r="B15" s="49" t="str">
        <x:v>Load/heat/soak/cool</x:v>
      </x:c>
      <x:c r="C15" s="49" t="str">
        <x:v>Hours</x:v>
      </x:c>
      <x:c r="D15" s="49" t="str">
        <x:v>Managed + passive</x:v>
      </x:c>
      <x:c r="E15" s="49" t="str">
        <x:v>Fuel/draft/thermal shock</x:v>
      </x:c>
    </x:row>
    <x:row r="16">
      <x:c r="A16" s="49" t="str">
        <x:v>Truthful first refuge</x:v>
      </x:c>
      <x:c r="B16" s="49" t="str">
        <x:v>Carry/cut/place/test</x:v>
      </x:c>
      <x:c r="C16" s="49" t="str">
        <x:v>2–5 game h</x:v>
      </x:c>
      <x:c r="D16" s="49" t="str">
        <x:v>Major active project</x:v>
      </x:c>
      <x:c r="E16" s="49" t="str">
        <x:v>Useful in partial states</x:v>
      </x:c>
    </x:row>
    <x:row r="17">
      <x:c r="A17" s="49" t="str">
        <x:v>Prepare fuel load</x:v>
      </x:c>
      <x:c r="B17" s="49" t="str">
        <x:v>Gather/split/grade/dry</x:v>
      </x:c>
      <x:c r="C17" s="49" t="str">
        <x:v>10–30 min + drying</x:v>
      </x:c>
      <x:c r="D17" s="49" t="str">
        <x:v>Active + passive</x:v>
      </x:c>
      <x:c r="E17" s="49" t="str">
        <x:v>Fuel identity retained</x:v>
      </x:c>
    </x:row>
    <x:row r="18">
      <x:c r="A18" s="49" t="str">
        <x:v>Smoke food</x:v>
      </x:c>
      <x:c r="B18" s="49" t="str">
        <x:v>Prepare + maintain chamber</x:v>
      </x:c>
      <x:c r="C18" s="49" t="str">
        <x:v>Hours–days</x:v>
      </x:c>
      <x:c r="D18" s="49" t="str">
        <x:v>Managed process</x:v>
      </x:c>
      <x:c r="E18" s="49" t="str">
        <x:v>Temperature/smoke/spoilage</x:v>
      </x:c>
    </x:row>
    <x:row r="19">
      <x:c r="A19" s="49" t="str">
        <x:v>Make charcoal</x:v>
      </x:c>
      <x:c r="B19" s="49" t="str">
        <x:v>Load/seal/burn/cool</x:v>
      </x:c>
      <x:c r="C19" s="49" t="str">
        <x:v>Hours–days</x:v>
      </x:c>
      <x:c r="D19" s="49" t="str">
        <x:v>Managed process</x:v>
      </x:c>
      <x:c r="E19" s="49" t="str">
        <x:v>Fire risk/yield/quality</x:v>
      </x:c>
    </x:row>
    <x:row r="20">
      <x:c r="A20" s="49" t="str">
        <x:v>Aluminum vessel</x:v>
      </x:c>
      <x:c r="B20" s="49" t="str">
        <x:v>Survey/detach/clean/form/join/test</x:v>
      </x:c>
      <x:c r="C20" s="49" t="str">
        <x:v>3–12 game h</x:v>
      </x:c>
      <x:c r="D20" s="49" t="str">
        <x:v>Project</x:v>
      </x:c>
      <x:c r="E20" s="49" t="str">
        <x:v>Food-contact qualification</x:v>
      </x:c>
    </x:row>
    <x:row r="21">
      <x:c r="A21" s="49" t="str">
        <x:v>Boat hull patch</x:v>
      </x:c>
      <x:c r="B21" s="49" t="str">
        <x:v>Dry/clean/fit/seal/fasten/cure/test</x:v>
      </x:c>
      <x:c r="C21" s="49" t="str">
        <x:v>4–20 game h</x:v>
      </x:c>
      <x:c r="D21" s="49" t="str">
        <x:v>Project</x:v>
      </x:c>
      <x:c r="E21" s="49" t="str">
        <x:v>Partial state persists</x:v>
      </x:c>
    </x:row>
    <x:row r="22">
      <x:c r="A22" s="49" t="str">
        <x:v>Engine subsystem</x:v>
      </x:c>
      <x:c r="B22" s="49" t="str">
        <x:v>Preserve/diagnose/bench/mount/test</x:v>
      </x:c>
      <x:c r="C22" s="49" t="str">
        <x:v>Days–weeks</x:v>
      </x:c>
      <x:c r="D22" s="49" t="str">
        <x:v>Project</x:v>
      </x:c>
      <x:c r="E22" s="49" t="str">
        <x:v>Rare components and trials</x:v>
      </x:c>
    </x:row>
    <x:row r="23">
      <x:c r="A23" s="49" t="str">
        <x:v>Stable sleep</x:v>
      </x:c>
      <x:c r="B23" s="49" t="str">
        <x:v>7–9 game h</x:v>
      </x:c>
      <x:c r="C23" s="49" t="str">
        <x:v>45–90 sec target</x:v>
      </x:c>
      <x:c r="D23" s="49" t="str">
        <x:v>Accelerated</x:v>
      </x:c>
      <x:c r="E23" s="49" t="str">
        <x:v>Whole simulation runs; interrupts</x:v>
      </x:c>
    </x:row>
    <x:row r="24">
      <x:c r="A24" s="50" t="str">
        <x:v>Fragmented sleep</x:v>
      </x:c>
      <x:c r="B24" s="50" t="str">
        <x:v>Variable</x:v>
      </x:c>
      <x:c r="C24" s="50" t="str">
        <x:v>Ends early</x:v>
      </x:c>
      <x:c r="D24" s="50" t="str">
        <x:v>Accelerated</x:v>
      </x:c>
      <x:c r="E24" s="50" t="str">
        <x:v>Cold/pain/illness/threat determine outcome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fd82e1c67064b0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6" hidden="0" customWidth="1"/>
    <x:col min="4" max="4" width="18" hidden="0" customWidth="1"/>
  </x:cols>
  <x:sheetData>
    <x:row r="1" ht="30" customHeight="1">
      <x:c r="A1" s="3" t="str">
        <x:v>Graph Completeness Audit — v2.7</x:v>
      </x:c>
      <x:c r="B1" s="3"/>
      <x:c r="C1" s="3"/>
      <x:c r="D1" s="3"/>
      <x:c r="E1" s="3"/>
    </x:row>
    <x:row r="2" ht="32" customHeight="1">
      <x:c r="A2" s="7" t="str">
        <x:v>All checks must resolve to zero errors. v2.7 adds the Civilization Weave nodes and dependency edges within the audited ranges.</x:v>
      </x:c>
      <x:c r="B2" s="7"/>
      <x:c r="C2" s="7"/>
      <x:c r="D2" s="7"/>
      <x:c r="E2" s="7"/>
    </x:row>
    <x:row r="4">
      <x:c r="A4" s="9" t="str">
        <x:v>Check</x:v>
      </x:c>
      <x:c r="B4" s="9" t="str">
        <x:v>Value</x:v>
      </x:c>
      <x:c r="C4" s="9" t="str">
        <x:v>Meaning</x:v>
      </x:c>
      <x:c r="D4" s="9" t="str">
        <x:v>Target</x:v>
      </x:c>
    </x:row>
    <x:row r="5">
      <x:c r="A5" s="21" t="str">
        <x:v>Total nodes</x:v>
      </x:c>
      <x:c r="B5" s="21" t="n">
        <x:f>COUNTA('Craft Nodes'!A5:A250)</x:f>
        <x:v>222</x:v>
      </x:c>
      <x:c r="C5" s="21" t="str">
        <x:v>Count of registered canonical nodes</x:v>
      </x:c>
      <x:c r="D5" s="21" t="str">
        <x:v>Informational</x:v>
      </x:c>
    </x:row>
    <x:row r="6">
      <x:c r="A6" s="22" t="str">
        <x:v>Total edges</x:v>
      </x:c>
      <x:c r="B6" s="22" t="n">
        <x:f>COUNTA('Dependency Edges'!A5:A700)</x:f>
        <x:v>649</x:v>
      </x:c>
      <x:c r="C6" s="22" t="str">
        <x:v>Count of prerequisite relations</x:v>
      </x:c>
      <x:c r="D6" s="22" t="str">
        <x:v>Informational</x:v>
      </x:c>
    </x:row>
    <x:row r="7">
      <x:c r="A7" s="22" t="str">
        <x:v>Source nodes</x:v>
      </x:c>
      <x:c r="B7" s="22" t="n">
        <x:f>COUNTIF('Craft Nodes'!D5:D250,"Source")</x:f>
        <x:v>48</x:v>
      </x:c>
      <x:c r="C7" s="22" t="str">
        <x:v>True world/source entries</x:v>
      </x:c>
      <x:c r="D7" s="22" t="str">
        <x:v>Informational</x:v>
      </x:c>
    </x:row>
    <x:row r="8">
      <x:c r="A8" s="22" t="str">
        <x:v>Endpoint nodes</x:v>
      </x:c>
      <x:c r="B8" s="22" t="n">
        <x:f>COUNTIF('Craft Nodes'!Q5:Q250,"Yes")</x:f>
        <x:v>58</x:v>
      </x:c>
      <x:c r="C8" s="22" t="str">
        <x:v>Declared game/capability endpoints</x:v>
      </x:c>
      <x:c r="D8" s="22" t="str">
        <x:v>Informational</x:v>
      </x:c>
    </x:row>
    <x:row r="9">
      <x:c r="A9" s="22" t="str">
        <x:v>Missing input nodes</x:v>
      </x:c>
      <x:c r="B9" s="22" t="n">
        <x:f>COUNTIF('Craft Nodes'!T5:T250,"MISSING INPUT")</x:f>
        <x:v>0</x:v>
      </x:c>
      <x:c r="C9" s="22" t="str">
        <x:v>Non-source with no prerequisite edge</x:v>
      </x:c>
      <x:c r="D9" s="22" t="str">
        <x:v>Must be 0</x:v>
      </x:c>
    </x:row>
    <x:row r="10">
      <x:c r="A10" s="22" t="str">
        <x:v>Dangling non-endpoints</x:v>
      </x:c>
      <x:c r="B10" s="22" t="n">
        <x:f>COUNTIF('Craft Nodes'!T5:T250,"NO DOWNSTREAM")</x:f>
        <x:v>0</x:v>
      </x:c>
      <x:c r="C10" s="22" t="str">
        <x:v>Non-endpoint with no downstream use</x:v>
      </x:c>
      <x:c r="D10" s="22" t="str">
        <x:v>Must be 0</x:v>
      </x:c>
    </x:row>
    <x:row r="11">
      <x:c r="A11" s="22" t="str">
        <x:v>Missing edge origins</x:v>
      </x:c>
      <x:c r="B11" s="22" t="n">
        <x:f>COUNTIF('Dependency Edges'!I5:I700,"MISSING FROM")</x:f>
        <x:v>0</x:v>
      </x:c>
      <x:c r="C11" s="22" t="str">
        <x:v>Dependency source not in node table</x:v>
      </x:c>
      <x:c r="D11" s="22" t="str">
        <x:v>Must be 0</x:v>
      </x:c>
    </x:row>
    <x:row r="12">
      <x:c r="A12" s="22" t="str">
        <x:v>Missing edge targets</x:v>
      </x:c>
      <x:c r="B12" s="22" t="n">
        <x:f>COUNTIF('Dependency Edges'!I5:I700,"MISSING TO")</x:f>
        <x:v>0</x:v>
      </x:c>
      <x:c r="C12" s="22" t="str">
        <x:v>Dependency output not in node table</x:v>
      </x:c>
      <x:c r="D12" s="22" t="str">
        <x:v>Must be 0</x:v>
      </x:c>
    </x:row>
    <x:row r="13">
      <x:c r="A13" s="23" t="str">
        <x:v>Graph pass</x:v>
      </x:c>
      <x:c r="B13" s="23" t="str">
        <x:f>IF(SUM(B9:B12)=0,"PASS","FAIL")</x:f>
        <x:v>PASS</x:v>
      </x:c>
      <x:c r="C13" s="23" t="str">
        <x:v>Structural existence audit</x:v>
      </x:c>
      <x:c r="D13" s="23" t="str">
        <x:v>Must be PASS</x:v>
      </x:c>
    </x:row>
  </x:sheetData>
  <x:mergeCells>
    <x:mergeCell ref="A1:E1"/>
    <x:mergeCell ref="A2:E2"/>
  </x:mergeCells>
  <x:conditionalFormatting sqref="B13:B13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70" hidden="0" customWidth="1"/>
    <x:col min="4" max="4" width="52" hidden="0" customWidth="1"/>
  </x:cols>
  <x:sheetData>
    <x:row r="1" ht="30" customHeight="1">
      <x:c r="A1" s="3" t="str">
        <x:v>Research and Precedent Sources</x:v>
      </x:c>
      <x:c r="B1" s="3"/>
      <x:c r="C1" s="3"/>
      <x:c r="D1" s="3"/>
    </x:row>
    <x:row r="2" ht="32" customHeight="1">
      <x:c r="A2" s="7" t="str">
        <x:v>Primary and authoritative sources used to set causal direction. Workbook numbers remain tuning seeds until calibrated.</x:v>
      </x:c>
      <x:c r="B2" s="7"/>
      <x:c r="C2" s="7"/>
      <x:c r="D2" s="7"/>
    </x:row>
    <x:row r="4" ht="30" customHeight="1">
      <x:c r="A4" s="39" t="str">
        <x:v>Source</x:v>
      </x:c>
      <x:c r="B4" s="40" t="str">
        <x:v>Domain</x:v>
      </x:c>
      <x:c r="C4" s="40" t="str">
        <x:v>URL</x:v>
      </x:c>
      <x:c r="D4" s="41" t="str">
        <x:v>Design use</x:v>
      </x:c>
    </x:row>
    <x:row r="5">
      <x:c r="A5" s="48" t="str">
        <x:v>Load carriage mechanics</x:v>
      </x:c>
      <x:c r="B5" s="48" t="str">
        <x:v>Human performance</x:v>
      </x:c>
      <x:c r="C5" s="48" t="str">
        <x:v>https://pmc.ncbi.nlm.nih.gov/articles/PMC3922835/</x:v>
      </x:c>
      <x:c r="D5" s="48" t="str">
        <x:v>Added mass raises energy cost; position/speed matter</x:v>
      </x:c>
    </x:row>
    <x:row r="6">
      <x:c r="A6" s="49" t="str">
        <x:v>NIOSH Revised Lifting Equation</x:v>
      </x:c>
      <x:c r="B6" s="49" t="str">
        <x:v>Ergonomics</x:v>
      </x:c>
      <x:c r="C6" s="49" t="str">
        <x:v>https://www.cdc.gov/niosh/ergonomics/about/RNLE.html</x:v>
      </x:c>
      <x:c r="D6" s="49" t="str">
        <x:v>Lift risk depends on task geometry, frequency, asymmetry and coupling</x:v>
      </x:c>
    </x:row>
    <x:row r="7">
      <x:c r="A7" s="49" t="str">
        <x:v>Army quantitative physiology</x:v>
      </x:c>
      <x:c r="B7" s="49" t="str">
        <x:v>Human limits</x:v>
      </x:c>
      <x:c r="C7" s="49" t="str">
        <x:v>https://medcoe.army.mil/pfw-images/borden/mil-quantitative-physiology/QPchapter01.pdf</x:v>
      </x:c>
      <x:c r="D7" s="49" t="str">
        <x:v>Strength is one contributor; successful task includes avoiding injury</x:v>
      </x:c>
    </x:row>
    <x:row r="8">
      <x:c r="A8" s="49" t="str">
        <x:v>ACSM resistance guidance</x:v>
      </x:c>
      <x:c r="B8" s="49" t="str">
        <x:v>Adaptation</x:v>
      </x:c>
      <x:c r="C8" s="49" t="str">
        <x:v>https://acsm.org/resistance-training-guidelines-update-2026/</x:v>
      </x:c>
      <x:c r="D8" s="49" t="str">
        <x:v>Regular progressive work drives adaptation</x:v>
      </x:c>
    </x:row>
    <x:row r="9">
      <x:c r="A9" s="49" t="str">
        <x:v>Sleep deprivation study</x:v>
      </x:c>
      <x:c r="B9" s="49" t="str">
        <x:v>Sleep/performance</x:v>
      </x:c>
      <x:c r="C9" s="49" t="str">
        <x:v>https://pmc.ncbi.nlm.nih.gov/articles/PMC3307962/</x:v>
      </x:c>
      <x:c r="D9" s="49" t="str">
        <x:v>Reaction/performance effects</x:v>
      </x:c>
    </x:row>
    <x:row r="10">
      <x:c r="A10" s="49" t="str">
        <x:v>NIOSH acclimation decay</x:v>
      </x:c>
      <x:c r="B10" s="49" t="str">
        <x:v>Heat</x:v>
      </x:c>
      <x:c r="C10" s="49" t="str">
        <x:v>https://stacks.cdc.gov/view/cdc/218351</x:v>
      </x:c>
      <x:c r="D10" s="49" t="str">
        <x:v>Heat adaptation decays and can be reacquired</x:v>
      </x:c>
    </x:row>
    <x:row r="11">
      <x:c r="A11" s="49" t="str">
        <x:v>WHO drinking water</x:v>
      </x:c>
      <x:c r="B11" s="49" t="str">
        <x:v>Water safety</x:v>
      </x:c>
      <x:c r="C11" s="49" t="str">
        <x:v>https://www.who.int/news-room/fact-sheets/detail/drinking-water</x:v>
      </x:c>
      <x:c r="D11" s="49" t="str">
        <x:v>Microbial contamination and safe-water principles</x:v>
      </x:c>
    </x:row>
    <x:row r="12">
      <x:c r="A12" s="49" t="str">
        <x:v>EPA emergency disinfection</x:v>
      </x:c>
      <x:c r="B12" s="49" t="str">
        <x:v>Boiling</x:v>
      </x:c>
      <x:c r="C12" s="49" t="str">
        <x:v>https://www.epa.gov/ground-water-and-drinking-water/emergency-disinfection-drinking-water</x:v>
      </x:c>
      <x:c r="D12" s="49" t="str">
        <x:v>Rolling boil guidance; cloudiness handling</x:v>
      </x:c>
    </x:row>
    <x:row r="13">
      <x:c r="A13" s="49" t="str">
        <x:v>CDC Travelers' Diarrhea</x:v>
      </x:c>
      <x:c r="B13" s="49" t="str">
        <x:v>Illness timing</x:v>
      </x:c>
      <x:c r="C13" s="49" t="str">
        <x:v>https://www.cdc.gov/yellow-book/hcp/preparing-international-travelers/travelers-diarrhea.html</x:v>
      </x:c>
      <x:c r="D13" s="49" t="str">
        <x:v>Toxin vs bacterial/viral vs protozoal incubation</x:v>
      </x:c>
    </x:row>
    <x:row r="14">
      <x:c r="A14" s="49" t="str">
        <x:v>WHO diarrhoeal disease</x:v>
      </x:c>
      <x:c r="B14" s="49" t="str">
        <x:v>Dehydration</x:v>
      </x:c>
      <x:c r="C14" s="49" t="str">
        <x:v>https://www.who.int/news-room/fact-sheets/detail/diarrhoeal-disease</x:v>
      </x:c>
      <x:c r="D14" s="49" t="str">
        <x:v>Dehydration signs and danger</x:v>
      </x:c>
    </x:row>
    <x:row r="15">
      <x:c r="A15" s="49" t="str">
        <x:v>WHO ORS</x:v>
      </x:c>
      <x:c r="B15" s="49" t="str">
        <x:v>Rehydration</x:v>
      </x:c>
      <x:c r="C15" s="49" t="str">
        <x:v>https://www.who.int/news-room/questions-and-answers/item/cholera-outbreaks</x:v>
      </x:c>
      <x:c r="D15" s="49" t="str">
        <x:v>Safe water + measured salt/sugar relationship</x:v>
      </x:c>
    </x:row>
    <x:row r="16">
      <x:c r="A16" s="49" t="str">
        <x:v>Perishable-container boiling</x:v>
      </x:c>
      <x:c r="B16" s="49" t="str">
        <x:v>Vessel history</x:v>
      </x:c>
      <x:c r="C16" s="49" t="str">
        <x:v>https://paleoanthro.org/media/journal/content/PA20150054.pdf</x:v>
      </x:c>
      <x:c r="D16" s="49" t="str">
        <x:v>Organic containers can support wet cooking</x:v>
      </x:c>
    </x:row>
    <x:row r="17">
      <x:c r="A17" s="49" t="str">
        <x:v>Organic-vessel experiment</x:v>
      </x:c>
      <x:c r="B17" s="49" t="str">
        <x:v>Vessel performance</x:v>
      </x:c>
      <x:c r="C17" s="49" t="str">
        <x:v>https://eprints.whiterose.ac.uk/id/eprint/203677/1/s12520_023_01843_z.pdf</x:v>
      </x:c>
      <x:c r="D17" s="49" t="str">
        <x:v>Direct/stone heating varies; not all reach boil</x:v>
      </x:c>
    </x:row>
    <x:row r="18">
      <x:c r="A18" s="49" t="str">
        <x:v>Health Canada cookware</x:v>
      </x:c>
      <x:c r="B18" s="49" t="str">
        <x:v>Food contact</x:v>
      </x:c>
      <x:c r="C18" s="49" t="str">
        <x:v>https://www.canada.ca/en/health-canada/services/household-products/safe-use-cookware.html</x:v>
      </x:c>
      <x:c r="D18" s="49" t="str">
        <x:v>Worn/pitted material and acidic/salty foods matter</x:v>
      </x:c>
    </x:row>
    <x:row r="19">
      <x:c r="A19" s="49" t="str">
        <x:v>FDA lead in foodwares</x:v>
      </x:c>
      <x:c r="B19" s="49" t="str">
        <x:v>Food contact</x:v>
      </x:c>
      <x:c r="C19" s="49" t="str">
        <x:v>https://www.fda.gov/food/environmental-contaminants-food/lead-food-and-foodwares</x:v>
      </x:c>
      <x:c r="D19" s="49" t="str">
        <x:v>Unknown foodware materials can be unsafe</x:v>
      </x:c>
    </x:row>
    <x:row r="20">
      <x:c r="A20" s="49" t="str">
        <x:v>Death Stranding cargo guide</x:v>
      </x:c>
      <x:c r="B20" s="49" t="str">
        <x:v>Game precedent</x:v>
      </x:c>
      <x:c r="C20" s="49" t="str">
        <x:v>https://www.kojimaproductions.jp/en/death-stranding-directors-cut-beginners-guide</x:v>
      </x:c>
      <x:c r="D20" s="49" t="str">
        <x:v>Weight/balance visibly affect movement</x:v>
      </x:c>
    </x:row>
    <x:row r="21">
      <x:c r="A21" s="49" t="str">
        <x:v>Vintage Story crafting</x:v>
      </x:c>
      <x:c r="B21" s="49" t="str">
        <x:v>Game precedent</x:v>
      </x:c>
      <x:c r="C21" s="49" t="str">
        <x:v>https://wiki.vintagestory.at/Crafting</x:v>
      </x:c>
      <x:c r="D21" s="49" t="str">
        <x:v>Material-specific embodied verbs</x:v>
      </x:c>
    </x:row>
    <x:row r="22">
      <x:c r="A22" s="49" t="str">
        <x:v>Project Zomboid surface crafting</x:v>
      </x:c>
      <x:c r="B22" s="49" t="str">
        <x:v>Game precedent</x:v>
      </x:c>
      <x:c r="C22" s="49" t="str">
        <x:v>https://projectzomboid.com/blog/news/2024/02/leapdoid/</x:v>
      </x:c>
      <x:c r="D22" s="49" t="str">
        <x:v>World-surface crafting and stations</x:v>
      </x:c>
    </x:row>
    <x:row r="23">
      <x:c r="A23" s="50" t="str">
        <x:v>UnReal World pausable crafting</x:v>
      </x:c>
      <x:c r="B23" s="50" t="str">
        <x:v>Game precedent</x:v>
      </x:c>
      <x:c r="C23" s="50" t="str">
        <x:v>https://www.unrealworld.fi/forums/index.php?topic=7269.0</x:v>
      </x:c>
      <x:c r="D23" s="50" t="str">
        <x:v>Long crafts preserve progress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25967f7b0024af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32" hidden="0" customWidth="1"/>
    <x:col min="5" max="5" width="32" hidden="0" customWidth="1"/>
    <x:col min="6" max="6" width="30" hidden="0" customWidth="1"/>
  </x:cols>
  <x:sheetData>
    <x:row r="1" ht="30" customHeight="1">
      <x:c r="A1" s="87" t="str">
        <x:v>Civilization Weave — Cross-System Map</x:v>
      </x:c>
      <x:c r="B1" s="87"/>
      <x:c r="C1" s="87"/>
      <x:c r="D1" s="87"/>
      <x:c r="E1" s="87"/>
      <x:c r="F1" s="87"/>
    </x:row>
    <x:row r="2" ht="42" customHeight="1">
      <x:c r="A2" s="91" t="str">
        <x:v>Exact ownership and exchange map. Every mature system must feed home, expedition, inheritance or true return.</x:v>
      </x:c>
      <x:c r="B2" s="91"/>
      <x:c r="C2" s="91"/>
      <x:c r="D2" s="91"/>
      <x:c r="E2" s="91"/>
      <x:c r="F2" s="91"/>
    </x:row>
    <x:row r="4" ht="34" customHeight="1">
      <x:c r="A4" s="100" t="str">
        <x:v>System</x:v>
      </x:c>
      <x:c r="B4" s="101" t="str">
        <x:v>Consumes</x:v>
      </x:c>
      <x:c r="C4" s="101" t="str">
        <x:v>Transforms</x:v>
      </x:c>
      <x:c r="D4" s="101" t="str">
        <x:v>Produces</x:v>
      </x:c>
      <x:c r="E4" s="101" t="str">
        <x:v>Creates obligation</x:v>
      </x:c>
      <x:c r="F4" s="102" t="str">
        <x:v>Feeds</x:v>
      </x:c>
    </x:row>
    <x:row r="5">
      <x:c r="A5" s="83" t="str">
        <x:v>Fire</x:v>
      </x:c>
      <x:c r="B5" s="83" t="str">
        <x:v>fuel; oxygen; water; vessels; attention</x:v>
      </x:c>
      <x:c r="C5" s="83" t="str">
        <x:v>heat and material state</x:v>
      </x:c>
      <x:c r="D5" s="83" t="str">
        <x:v>cooked food; treated water; ceramic; metal; light; power</x:v>
      </x:c>
      <x:c r="E5" s="83" t="str">
        <x:v>smoke; ash; fire risk; fuel ecology; inspection</x:v>
      </x:c>
      <x:c r="F5" s="83" t="str">
        <x:v>body; water; food; workshop; shelter; machines</x:v>
      </x:c>
    </x:row>
    <x:row r="6">
      <x:c r="A6" s="83" t="str">
        <x:v>Fiber</x:v>
      </x:c>
      <x:c r="B6" s="83" t="str">
        <x:v>plants; animals; salvage textile; water; cutting</x:v>
      </x:c>
      <x:c r="C6" s="83" t="str">
        <x:v>extract; dry; twist; weave; test</x:v>
      </x:c>
      <x:c r="D6" s="83" t="str">
        <x:v>cord; rope; cloth; bag; bandage; net; sail; belt</x:v>
      </x:c>
      <x:c r="E6" s="83" t="str">
        <x:v>rot; hygiene; wet-load proof; storage</x:v>
      </x:c>
      <x:c r="F6" s="83" t="str">
        <x:v>tools; shelter; medicine; fishing; boat; records</x:v>
      </x:c>
    </x:row>
    <x:row r="7">
      <x:c r="A7" s="83" t="str">
        <x:v>Metal</x:v>
      </x:c>
      <x:c r="B7" s="83" t="str">
        <x:v>preserved forms; scrap; ore; heat; tools</x:v>
      </x:c>
      <x:c r="C7" s="83" t="str">
        <x:v>reuse; cold work; join; forge; cast; smelt</x:v>
      </x:c>
      <x:c r="D7" s="83" t="str">
        <x:v>edges; fasteners; vessels; bearings; wire; machines</x:v>
      </x:c>
      <x:c r="E7" s="83" t="str">
        <x:v>alloy identity; corrosion; fuel; fumes; maintenance</x:v>
      </x:c>
      <x:c r="F7" s="83" t="str">
        <x:v>workshop; boat; power; return</x:v>
      </x:c>
    </x:row>
    <x:row r="8">
      <x:c r="A8" s="83" t="str">
        <x:v>Salvage</x:v>
      </x:c>
      <x:c r="B8" s="83" t="str">
        <x:v>time; route; tools; quarantine; storage</x:v>
      </x:c>
      <x:c r="C8" s="83" t="str">
        <x:v>classify; preserve; repair; cannibalize; recycle</x:v>
      </x:c>
      <x:c r="D8" s="83" t="str">
        <x:v>working items; parts; stock; knowledge; waste</x:v>
      </x:c>
      <x:c r="E8" s="83" t="str">
        <x:v>contamination; clutter; transport; closing windows</x:v>
      </x:c>
      <x:c r="F8" s="83" t="str">
        <x:v>all material and return systems</x:v>
      </x:c>
    </x:row>
    <x:row r="9">
      <x:c r="A9" s="83" t="str">
        <x:v>Shelter</x:v>
      </x:c>
      <x:c r="B9" s="83" t="str">
        <x:v>site; materials; labor; drainage; maintenance</x:v>
      </x:c>
      <x:c r="C9" s="83" t="str">
        <x:v>exposure into service protection</x:v>
      </x:c>
      <x:c r="D9" s="83" t="str">
        <x:v>dry sleep; comfort; storage; clean work; refuge</x:v>
      </x:c>
      <x:c r="E9" s="83" t="str">
        <x:v>inspection; repair; hazard tradeoffs</x:v>
      </x:c>
      <x:c r="F9" s="83" t="str">
        <x:v>recovery; craft; food; water; legacy</x:v>
      </x:c>
    </x:row>
    <x:row r="10">
      <x:c r="A10" s="83" t="str">
        <x:v>Food/Nature</x:v>
      </x:c>
      <x:c r="B10" s="83" t="str">
        <x:v>soil; water; seed; animals; tools; time</x:v>
      </x:c>
      <x:c r="C10" s="83" t="str">
        <x:v>grow; harvest; hunt; preserve; husband</x:v>
      </x:c>
      <x:c r="D10" s="83" t="str">
        <x:v>nutrition; feed; fiber; manure; knowledge</x:v>
      </x:c>
      <x:c r="E10" s="83" t="str">
        <x:v>season; disease; ecology; daily care</x:v>
      </x:c>
      <x:c r="F10" s="83" t="str">
        <x:v>body; successor; Community economy</x:v>
      </x:c>
    </x:row>
    <x:row r="11">
      <x:c r="A11" s="83" t="str">
        <x:v>Diving</x:v>
      </x:c>
      <x:c r="B11" s="83" t="str">
        <x:v>body reserve; weather; boat; line; tools; recovery plan</x:v>
      </x:c>
      <x:c r="C11" s="83" t="str">
        <x:v>survey; access; detach; lift; preserve</x:v>
      </x:c>
      <x:c r="D11" s="83" t="str">
        <x:v>fish; salvage; maps; evidence</x:v>
      </x:c>
      <x:c r="E11" s="83" t="str">
        <x:v>equipment; decompression/breath risk; preservation</x:v>
      </x:c>
      <x:c r="F11" s="83" t="str">
        <x:v>boat; power; transmitter; return</x:v>
      </x:c>
    </x:row>
    <x:row r="12">
      <x:c r="A12" s="84" t="str">
        <x:v>Second-Life clock</x:v>
      </x:c>
      <x:c r="B12" s="84" t="str">
        <x:v>commissioned routines; staged inputs; limits</x:v>
      </x:c>
      <x:c r="C12" s="84" t="str">
        <x:v>elapsed time into bounded causal change</x:v>
      </x:c>
      <x:c r="D12" s="84" t="str">
        <x:v>drying; growth; charging; reports</x:v>
      </x:c>
      <x:c r="E12" s="84" t="str">
        <x:v>safe stop; maintenance; no hidden agency</x:v>
      </x:c>
      <x:c r="F12" s="84" t="str">
        <x:v>attachment; long projects; real-life compatibility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56fb6729b9d4a8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4" hidden="0" customWidth="1"/>
    <x:col min="5" max="5" width="16" hidden="0" customWidth="1"/>
    <x:col min="6" max="6" width="12" hidden="0" customWidth="1"/>
    <x:col min="7" max="7" width="34" hidden="0" customWidth="1"/>
    <x:col min="8" max="8" width="16" hidden="0" customWidth="1"/>
  </x:cols>
  <x:sheetData>
    <x:row r="1">
      <x:c r="A1" s="86" t="str">
        <x:v>Fire, Heat, Steam and Power Resolver</x:v>
      </x:c>
      <x:c r="B1" s="86"/>
      <x:c r="C1" s="86"/>
      <x:c r="D1" s="86"/>
      <x:c r="E1" s="86"/>
      <x:c r="F1" s="86"/>
      <x:c r="G1" s="86"/>
      <x:c r="H1" s="86"/>
    </x:row>
    <x:row r="2">
      <x:c r="A2" s="90" t="str">
        <x:v>Blue cells are editable seeds. Pressure-power eligibility is a hard gate before output; this is a game-balance model, not engineering certification.</x:v>
      </x:c>
      <x:c r="B2" s="90"/>
      <x:c r="C2" s="90"/>
      <x:c r="D2" s="90"/>
      <x:c r="E2" s="90"/>
      <x:c r="F2" s="90"/>
      <x:c r="G2" s="90"/>
      <x:c r="H2" s="90"/>
    </x:row>
    <x:row r="4">
      <x:c r="A4" s="103" t="str">
        <x:v>Editable input</x:v>
      </x:c>
      <x:c r="B4" s="103" t="str">
        <x:v>Value</x:v>
      </x:c>
      <x:c r="C4" s="103" t="str">
        <x:v>Unit</x:v>
      </x:c>
      <x:c r="D4" s="103" t="str">
        <x:v>Derived output</x:v>
      </x:c>
      <x:c r="E4" s="103" t="str">
        <x:v>Value</x:v>
      </x:c>
      <x:c r="F4" s="103" t="str">
        <x:v>Unit</x:v>
      </x:c>
      <x:c r="G4" s="103" t="str">
        <x:v>Meaning</x:v>
      </x:c>
      <x:c r="H4" s="103" t="str">
        <x:v>Status</x:v>
      </x:c>
    </x:row>
    <x:row r="5">
      <x:c r="A5" s="106" t="str">
        <x:v>Fuel potential</x:v>
      </x:c>
      <x:c r="B5" s="107" t="n">
        <x:v>100</x:v>
      </x:c>
      <x:c r="C5" s="106" t="str">
        <x:v>heat index</x:v>
      </x:c>
      <x:c r="D5" s="106" t="str">
        <x:v>Useful heat</x:v>
      </x:c>
      <x:c r="E5" s="108" t="n">
        <x:f>B5*(1-B6)*B7*B8</x:f>
        <x:v>18.5625</x:v>
      </x:c>
      <x:c r="F5" s="106" t="str">
        <x:v>heat index</x:v>
      </x:c>
      <x:c r="G5" s="106" t="str">
        <x:v>After moisture, combustion and capture</x:v>
      </x:c>
      <x:c r="H5" s="106" t="str"/>
    </x:row>
    <x:row r="6">
      <x:c r="A6" s="106" t="str">
        <x:v>Fuel moisture</x:v>
      </x:c>
      <x:c r="B6" s="107" t="n">
        <x:v>0.25</x:v>
      </x:c>
      <x:c r="C6" s="106" t="str">
        <x:v>0–1</x:v>
      </x:c>
      <x:c r="D6" s="106" t="str">
        <x:v>Allocated process heat</x:v>
      </x:c>
      <x:c r="E6" s="108" t="n">
        <x:f>E5*B9</x:f>
        <x:v>11.1375</x:v>
      </x:c>
      <x:c r="F6" s="106" t="str">
        <x:v>heat index</x:v>
      </x:c>
      <x:c r="G6" s="106" t="str">
        <x:v>Must remain within useful heat</x:v>
      </x:c>
      <x:c r="H6" s="106" t="str"/>
    </x:row>
    <x:row r="7">
      <x:c r="A7" s="106" t="str">
        <x:v>Combustion control</x:v>
      </x:c>
      <x:c r="B7" s="107" t="n">
        <x:v>0.55</x:v>
      </x:c>
      <x:c r="C7" s="106" t="str">
        <x:v>0–1</x:v>
      </x:c>
      <x:c r="D7" s="106" t="str">
        <x:v>Mechanical output</x:v>
      </x:c>
      <x:c r="E7" s="108" t="n">
        <x:f>IF(E12="ELIGIBLE",E5*B10*B11,0)</x:f>
        <x:v>0</x:v>
      </x:c>
      <x:c r="F7" s="106" t="str">
        <x:v>work index</x:v>
      </x:c>
      <x:c r="G7" s="106" t="str">
        <x:v>Zero when pressure system is blocked</x:v>
      </x:c>
      <x:c r="H7" s="106" t="str"/>
    </x:row>
    <x:row r="8">
      <x:c r="A8" s="106" t="str">
        <x:v>Heat capture</x:v>
      </x:c>
      <x:c r="B8" s="107" t="n">
        <x:v>0.45</x:v>
      </x:c>
      <x:c r="C8" s="106" t="str">
        <x:v>0–1</x:v>
      </x:c>
      <x:c r="D8" s="106" t="str">
        <x:v>Electrical output</x:v>
      </x:c>
      <x:c r="E8" s="108" t="n">
        <x:f>E7*B12</x:f>
        <x:v>0</x:v>
      </x:c>
      <x:c r="F8" s="106" t="str">
        <x:v>electric index</x:v>
      </x:c>
      <x:c r="G8" s="106" t="str">
        <x:v>Mechanical output after generator loss</x:v>
      </x:c>
      <x:c r="H8" s="106" t="str"/>
    </x:row>
    <x:row r="9">
      <x:c r="A9" s="106" t="str">
        <x:v>Process allocation</x:v>
      </x:c>
      <x:c r="B9" s="107" t="n">
        <x:v>0.6</x:v>
      </x:c>
      <x:c r="C9" s="106" t="str">
        <x:v>0–1</x:v>
      </x:c>
      <x:c r="D9" s="106" t="str">
        <x:v>Unallocated/lost useful heat</x:v>
      </x:c>
      <x:c r="E9" s="108" t="n">
        <x:f>MAX(0,E5-E6)</x:f>
        <x:v>7.425000000000001</x:v>
      </x:c>
      <x:c r="F9" s="106" t="str">
        <x:v>heat index</x:v>
      </x:c>
      <x:c r="G9" s="106" t="str">
        <x:v>Can support another load or remain loss</x:v>
      </x:c>
      <x:c r="H9" s="106" t="str"/>
    </x:row>
    <x:row r="10">
      <x:c r="A10" s="106" t="str">
        <x:v>Boiler efficiency seed</x:v>
      </x:c>
      <x:c r="B10" s="107" t="n">
        <x:v>0.5</x:v>
      </x:c>
      <x:c r="C10" s="106" t="str">
        <x:v>0–1</x:v>
      </x:c>
      <x:c r="D10" s="106" t="str">
        <x:v>Pressure gates passed</x:v>
      </x:c>
      <x:c r="E10" s="108" t="n">
        <x:f>SUM(B15:B21)</x:f>
        <x:v>0</x:v>
      </x:c>
      <x:c r="F10" s="106" t="str">
        <x:v>of 7</x:v>
      </x:c>
      <x:c r="G10" s="106" t="str">
        <x:v>All seven must pass</x:v>
      </x:c>
      <x:c r="H10" s="106" t="str"/>
    </x:row>
    <x:row r="11">
      <x:c r="A11" s="106" t="str">
        <x:v>Engine efficiency seed</x:v>
      </x:c>
      <x:c r="B11" s="107" t="n">
        <x:v>0.1</x:v>
      </x:c>
      <x:c r="C11" s="106" t="str">
        <x:v>0–1</x:v>
      </x:c>
      <x:c r="D11" s="106" t="str">
        <x:v>Conversion warning</x:v>
      </x:c>
      <x:c r="E11" s="108" t="str">
        <x:v>Use direct heat first</x:v>
      </x:c>
      <x:c r="F11" s="106" t="str">
        <x:v>text</x:v>
      </x:c>
      <x:c r="G11" s="106" t="str">
        <x:v>Direct heat is usually cheaper than conversion</x:v>
      </x:c>
      <x:c r="H11" s="106" t="str"/>
    </x:row>
    <x:row r="12">
      <x:c r="A12" s="106" t="str">
        <x:v>Generator efficiency seed</x:v>
      </x:c>
      <x:c r="B12" s="107" t="n">
        <x:v>0.7</x:v>
      </x:c>
      <x:c r="C12" s="106" t="str">
        <x:v>0–1</x:v>
      </x:c>
      <x:c r="D12" s="106" t="str">
        <x:v>Pressure eligibility</x:v>
      </x:c>
      <x:c r="E12" s="108" t="str">
        <x:f>IF(MIN(B15:B21)=1,"ELIGIBLE","BLOCKED")</x:f>
        <x:v>BLOCKED</x:v>
      </x:c>
      <x:c r="F12" s="106" t="str">
        <x:v>state</x:v>
      </x:c>
      <x:c r="G12" s="106" t="str">
        <x:v>No pressure operation while blocked</x:v>
      </x:c>
      <x:c r="H12" s="106" t="str"/>
    </x:row>
    <x:row r="14">
      <x:c r="A14" s="106" t="str">
        <x:v>Pressure gate</x:v>
      </x:c>
      <x:c r="B14" s="106" t="str">
        <x:v>Pass 1 / fail 0</x:v>
      </x:c>
      <x:c r="C14" s="106" t="str">
        <x:v>Why binding</x:v>
      </x:c>
    </x:row>
    <x:row r="15">
      <x:c r="A15" s="106" t="str">
        <x:v>Qualified boundary</x:v>
      </x:c>
      <x:c r="B15" s="107" t="n">
        <x:v>0</x:v>
      </x:c>
      <x:c r="C15" s="106" t="str">
        <x:v>Known material, joints and integrity</x:v>
      </x:c>
    </x:row>
    <x:row r="16">
      <x:c r="A16" s="106" t="str">
        <x:v>Relief device</x:v>
      </x:c>
      <x:c r="B16" s="107" t="n">
        <x:v>0</x:v>
      </x:c>
      <x:c r="C16" s="106" t="str">
        <x:v>Prevents uncontrolled overpressure</x:v>
      </x:c>
    </x:row>
    <x:row r="17">
      <x:c r="A17" s="106" t="str">
        <x:v>Gauge/control</x:v>
      </x:c>
      <x:c r="B17" s="107" t="n">
        <x:v>0</x:v>
      </x:c>
      <x:c r="C17" s="106" t="str">
        <x:v>Makes pressure/heat state legible</x:v>
      </x:c>
    </x:row>
    <x:row r="18">
      <x:c r="A18" s="106" t="str">
        <x:v>Feedwater route</x:v>
      </x:c>
      <x:c r="B18" s="107" t="n">
        <x:v>0</x:v>
      </x:c>
      <x:c r="C18" s="106" t="str">
        <x:v>Controls supply, scale and dry firing</x:v>
      </x:c>
    </x:row>
    <x:row r="19">
      <x:c r="A19" s="106" t="str">
        <x:v>Engine/steam path</x:v>
      </x:c>
      <x:c r="B19" s="107" t="n">
        <x:v>0</x:v>
      </x:c>
      <x:c r="C19" s="106" t="str">
        <x:v>Controlled expansion and isolation</x:v>
      </x:c>
    </x:row>
    <x:row r="20">
      <x:c r="A20" s="106" t="str">
        <x:v>Safe shutdown</x:v>
      </x:c>
      <x:c r="B20" s="107" t="n">
        <x:v>0</x:v>
      </x:c>
      <x:c r="C20" s="106" t="str">
        <x:v>Fault stops without catastrophe</x:v>
      </x:c>
    </x:row>
    <x:row r="21">
      <x:c r="A21" s="106" t="str">
        <x:v>Current inspection</x:v>
      </x:c>
      <x:c r="B21" s="107" t="n">
        <x:v>0</x:v>
      </x:c>
      <x:c r="C21" s="106" t="str">
        <x:v>Condition evidence remains valid</x:v>
      </x:c>
    </x:row>
    <x:row r="23">
      <x:c r="A23" s="106" t="str">
        <x:v>State</x:v>
      </x:c>
      <x:c r="B23" s="106" t="str">
        <x:v>Capability</x:v>
      </x:c>
      <x:c r="C23" s="106" t="str">
        <x:v>Main uses</x:v>
      </x:c>
      <x:c r="D23" s="106" t="str">
        <x:v>Binding proof</x:v>
      </x:c>
      <x:c r="E23" s="106" t="str">
        <x:v>Obligation</x:v>
      </x:c>
    </x:row>
    <x:row r="24">
      <x:c r="A24" s="106" t="str">
        <x:v>F0</x:v>
      </x:c>
      <x:c r="B24" s="106" t="str">
        <x:v>Heat noticed</x:v>
      </x:c>
      <x:c r="C24" s="106" t="str">
        <x:v>hypotheses</x:v>
      </x:c>
      <x:c r="D24" s="106" t="str">
        <x:v>causal observation</x:v>
      </x:c>
      <x:c r="E24" s="106" t="str">
        <x:v>burn awareness</x:v>
      </x:c>
    </x:row>
    <x:row r="25">
      <x:c r="A25" s="106" t="str">
        <x:v>F1</x:v>
      </x:c>
      <x:c r="B25" s="106" t="str">
        <x:v>Captured flame</x:v>
      </x:c>
      <x:c r="C25" s="106" t="str">
        <x:v>emergency heat/light</x:v>
      </x:c>
      <x:c r="D25" s="106" t="str">
        <x:v>safe transfer and extinguish</x:v>
      </x:c>
      <x:c r="E25" s="106" t="str">
        <x:v>finite source</x:v>
      </x:c>
    </x:row>
    <x:row r="26">
      <x:c r="A26" s="106" t="str">
        <x:v>F2</x:v>
      </x:c>
      <x:c r="B26" s="106" t="str">
        <x:v>Independent ignition</x:v>
      </x:c>
      <x:c r="C26" s="106" t="str">
        <x:v>repeatable start</x:v>
      </x:c>
      <x:c r="D26" s="106" t="str">
        <x:v>dry controlled repeat</x:v>
      </x:c>
      <x:c r="E26" s="106" t="str">
        <x:v>tinder/tool care</x:v>
      </x:c>
    </x:row>
    <x:row r="27">
      <x:c r="A27" s="106" t="str">
        <x:v>F3</x:v>
      </x:c>
      <x:c r="B27" s="106" t="str">
        <x:v>Sustained hearth</x:v>
      </x:c>
      <x:c r="C27" s="106" t="str">
        <x:v>warmth; light; boil; cook</x:v>
      </x:c>
      <x:c r="D27" s="106" t="str">
        <x:v>stable heat and safe stop</x:v>
      </x:c>
      <x:c r="E27" s="106" t="str">
        <x:v>smoke; fuel; weather</x:v>
      </x:c>
    </x:row>
    <x:row r="28">
      <x:c r="A28" s="106" t="str">
        <x:v>F4</x:v>
      </x:c>
      <x:c r="B28" s="106" t="str">
        <x:v>Managed vessel heat</x:v>
      </x:c>
      <x:c r="C28" s="106" t="str">
        <x:v>water; food; washing</x:v>
      </x:c>
      <x:c r="D28" s="106" t="str">
        <x:v>support and process evidence</x:v>
      </x:c>
      <x:c r="E28" s="106" t="str">
        <x:v>hygiene and vessel</x:v>
      </x:c>
    </x:row>
    <x:row r="29">
      <x:c r="A29" s="106" t="str">
        <x:v>F5</x:v>
      </x:c>
      <x:c r="B29" s="106" t="str">
        <x:v>Enclosed heat</x:v>
      </x:c>
      <x:c r="C29" s="106" t="str">
        <x:v>stove; oven; smoker</x:v>
      </x:c>
      <x:c r="D29" s="106" t="str">
        <x:v>draft/residue/fire test</x:v>
      </x:c>
      <x:c r="E29" s="106" t="str">
        <x:v>cleaning and separation</x:v>
      </x:c>
    </x:row>
    <x:row r="30">
      <x:c r="A30" s="106" t="str">
        <x:v>F6</x:v>
      </x:c>
      <x:c r="B30" s="106" t="str">
        <x:v>Transformation</x:v>
      </x:c>
      <x:c r="C30" s="106" t="str">
        <x:v>charcoal; kiln; glue; steam bend</x:v>
      </x:c>
      <x:c r="D30" s="106" t="str">
        <x:v>process yield and defects</x:v>
      </x:c>
      <x:c r="E30" s="106" t="str">
        <x:v>long managed cycles</x:v>
      </x:c>
    </x:row>
    <x:row r="31">
      <x:c r="A31" s="106" t="str">
        <x:v>F7</x:v>
      </x:c>
      <x:c r="B31" s="106" t="str">
        <x:v>Hot metal</x:v>
      </x:c>
      <x:c r="C31" s="106" t="str">
        <x:v>forge; cast; smelt</x:v>
      </x:c>
      <x:c r="D31" s="106" t="str">
        <x:v>stock/tool/heat test</x:v>
      </x:c>
      <x:c r="E31" s="106" t="str">
        <x:v>fuel; fumes; metallurgy</x:v>
      </x:c>
    </x:row>
    <x:row r="32">
      <x:c r="A32" s="106" t="str">
        <x:v>F8</x:v>
      </x:c>
      <x:c r="B32" s="106" t="str">
        <x:v>Open steam</x:v>
      </x:c>
      <x:c r="C32" s="106" t="str">
        <x:v>distill; sterilize support; bend</x:v>
      </x:c>
      <x:c r="D32" s="106" t="str">
        <x:v>non-pressurized flow</x:v>
      </x:c>
      <x:c r="E32" s="106" t="str">
        <x:v>scale; scald; water</x:v>
      </x:c>
    </x:row>
    <x:row r="33">
      <x:c r="A33" s="106" t="str">
        <x:v>F9</x:v>
      </x:c>
      <x:c r="B33" s="106" t="str">
        <x:v>Pressure power</x:v>
      </x:c>
      <x:c r="C33" s="106" t="str">
        <x:v>pump; winch; mill; electricity</x:v>
      </x:c>
      <x:c r="D33" s="106" t="str">
        <x:v>all pressure gates + load run</x:v>
      </x:c>
      <x:c r="E33" s="106" t="str">
        <x:v>catastrophic-energy maintenance</x:v>
      </x:c>
    </x:row>
  </x:sheetData>
  <x:mergeCells>
    <x:mergeCell ref="A1:H1"/>
    <x:mergeCell ref="A2:H2"/>
  </x:mergeCells>
  <x:conditionalFormatting sqref="E12:E12">
    <x:cfRule type="containsText" dxfId="6" priority="1" operator="containsText" text="BLOCKED"/>
    <x:cfRule type="containsText" dxfId="7" priority="2" operator="containsText" text="ELIGIBLE"/>
  </x:conditionalFormatting>
  <x:dataValidations count="1">
    <x:dataValidation type="list" sqref="B15:B21">
      <x:formula1>"0,1"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34" hidden="0" customWidth="1"/>
    <x:col min="5" max="5" width="28" hidden="0" customWidth="1"/>
    <x:col min="6" max="6" width="34" hidden="0" customWidth="1"/>
    <x:col min="7" max="7" width="28" hidden="0" customWidth="1"/>
  </x:cols>
  <x:sheetData>
    <x:row r="1" ht="30" customHeight="1">
      <x:c r="A1" s="87" t="str">
        <x:v>Workbench and Workshop Capability Ladder</x:v>
      </x:c>
      <x:c r="B1" s="87"/>
      <x:c r="C1" s="87"/>
      <x:c r="D1" s="87"/>
      <x:c r="E1" s="87"/>
      <x:c r="F1" s="87"/>
      <x:c r="G1" s="87"/>
    </x:row>
    <x:row r="2" ht="42" customHeight="1">
      <x:c r="A2" s="91" t="str">
        <x:v>A bench adds control, not knowledge. Specialist cells separate clean, dirty, hot, electrical, food, fiber and mechanical work.</x:v>
      </x:c>
      <x:c r="B2" s="91"/>
      <x:c r="C2" s="91"/>
      <x:c r="D2" s="91"/>
      <x:c r="E2" s="91"/>
      <x:c r="F2" s="91"/>
      <x:c r="G2" s="91"/>
    </x:row>
    <x:row r="4" ht="34" customHeight="1">
      <x:c r="A4" s="100" t="str">
        <x:v>State</x:v>
      </x:c>
      <x:c r="B4" s="101" t="str">
        <x:v>Physical additions</x:v>
      </x:c>
      <x:c r="C4" s="101" t="str">
        <x:v>Coordinated positions</x:v>
      </x:c>
      <x:c r="D4" s="101" t="str">
        <x:v>Operations opened</x:v>
      </x:c>
      <x:c r="E4" s="101" t="str">
        <x:v>Quality gain</x:v>
      </x:c>
      <x:c r="F4" s="101" t="str">
        <x:v>New failure/obligation</x:v>
      </x:c>
      <x:c r="G4" s="102" t="str">
        <x:v>Never grants</x:v>
      </x:c>
    </x:row>
    <x:row r="5">
      <x:c r="A5" s="83" t="str">
        <x:v>W0 — Ground relation</x:v>
      </x:c>
      <x:c r="B5" s="83" t="str">
        <x:v>mat; flat stone; stump; body brace</x:v>
      </x:c>
      <x:c r="C5" s="83" t="n">
        <x:v>2</x:v>
      </x:c>
      <x:c r="D5" s="83" t="str">
        <x:v>hold two active relations</x:v>
      </x:c>
      <x:c r="E5" s="83" t="str">
        <x:v>first controlled comparison</x:v>
      </x:c>
      <x:c r="F5" s="83" t="str">
        <x:v>dirt; posture; lost parts</x:v>
      </x:c>
      <x:c r="G5" s="83" t="str">
        <x:v>recipes; precision</x:v>
      </x:c>
    </x:row>
    <x:row r="6">
      <x:c r="A6" s="83" t="str">
        <x:v>W1 — Stable support</x:v>
      </x:c>
      <x:c r="B6" s="83" t="str">
        <x:v>rigid level top; safe height</x:v>
      </x:c>
      <x:c r="C6" s="83" t="n">
        <x:v>3</x:v>
      </x:c>
      <x:c r="D6" s="83" t="str">
        <x:v>two-hand cut/strike; staged assembly</x:v>
      </x:c>
      <x:c r="E6" s="83" t="str">
        <x:v>control and safer force</x:v>
      </x:c>
      <x:c r="F6" s="83" t="str">
        <x:v>rack; overturn; surface wear</x:v>
      </x:c>
      <x:c r="G6" s="83" t="str">
        <x:v>measurement; clamping</x:v>
      </x:c>
    </x:row>
    <x:row r="7">
      <x:c r="A7" s="83" t="str">
        <x:v>W2 — Held/measured</x:v>
      </x:c>
      <x:c r="B7" s="83" t="str">
        <x:v>stops; pegs; clamp/vise; square/gauge</x:v>
      </x:c>
      <x:c r="C7" s="83" t="str">
        <x:v>4–6</x:v>
      </x:c>
      <x:c r="D7" s="83" t="str">
        <x:v>repeatable fit; boring; alignment</x:v>
      </x:c>
      <x:c r="E7" s="83" t="str">
        <x:v>lower rework and misalignment</x:v>
      </x:c>
      <x:c r="F7" s="83" t="str">
        <x:v>crushed part; bad datum</x:v>
      </x:c>
      <x:c r="G7" s="83" t="str">
        <x:v>technique; material identity</x:v>
      </x:c>
    </x:row>
    <x:row r="8">
      <x:c r="A8" s="83" t="str">
        <x:v>W3 — Modular bench</x:v>
      </x:c>
      <x:c r="B8" s="83" t="str">
        <x:v>jigs; templates; drawers; protected parts</x:v>
      </x:c>
      <x:c r="C8" s="83" t="str">
        <x:v>6+</x:v>
      </x:c>
      <x:c r="D8" s="83" t="str">
        <x:v>small batch; controlled disassembly</x:v>
      </x:c>
      <x:c r="E8" s="83" t="str">
        <x:v>repeatability and teachability</x:v>
      </x:c>
      <x:c r="F8" s="83" t="str">
        <x:v>setup/stock maintenance</x:v>
      </x:c>
      <x:c r="G8" s="83" t="str">
        <x:v>hot/medical/electrical safety</x:v>
      </x:c>
    </x:row>
    <x:row r="9">
      <x:c r="A9" s="83" t="str">
        <x:v>W4 — Specialist cells</x:v>
      </x:c>
      <x:c r="B9" s="83" t="str">
        <x:v>fiber; food; medical; hot; engine; electrical</x:v>
      </x:c>
      <x:c r="C9" s="83" t="str">
        <x:v>domain-specific</x:v>
      </x:c>
      <x:c r="D9" s="83" t="str">
        <x:v>clean/dirty and hazard separation</x:v>
      </x:c>
      <x:c r="E9" s="83" t="str">
        <x:v>fewer contamination and handling failures</x:v>
      </x:c>
      <x:c r="F9" s="83" t="str">
        <x:v>more floor area and inspection</x:v>
      </x:c>
      <x:c r="G9" s="83" t="str">
        <x:v>cross-domain mastery</x:v>
      </x:c>
    </x:row>
    <x:row r="10">
      <x:c r="A10" s="83" t="str">
        <x:v>W5 — Powered workshop</x:v>
      </x:c>
      <x:c r="B10" s="83" t="str">
        <x:v>guarded drive; drill; saw; grinder; extraction</x:v>
      </x:c>
      <x:c r="C10" s="83" t="str">
        <x:v>process-dependent</x:v>
      </x:c>
      <x:c r="D10" s="83" t="str">
        <x:v>faster repetition; larger stock</x:v>
      </x:c>
      <x:c r="E10" s="83" t="str">
        <x:v>throughput and precision</x:v>
      </x:c>
      <x:c r="F10" s="83" t="str">
        <x:v>energy; consumables; guarding</x:v>
      </x:c>
      <x:c r="G10" s="83" t="str">
        <x:v>safe setup or free scale</x:v>
      </x:c>
    </x:row>
    <x:row r="11">
      <x:c r="A11" s="84" t="str">
        <x:v>W6 — Legacy shop/boatyard</x:v>
      </x:c>
      <x:c r="B11" s="84" t="str">
        <x:v>hoist; test stands; stock control; archive</x:v>
      </x:c>
      <x:c r="C11" s="84" t="str">
        <x:v>team/institution</x:v>
      </x:c>
      <x:c r="D11" s="84" t="str">
        <x:v>engines; boats; utilities; teaching</x:v>
      </x:c>
      <x:c r="E11" s="84" t="str">
        <x:v>reproducible systems</x:v>
      </x:c>
      <x:c r="F11" s="84" t="str">
        <x:v>standards; spares; trained successor</x:v>
      </x:c>
      <x:c r="G11" s="84" t="str">
        <x:v>guaranteed success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89541c4b6bd4d9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26" hidden="0" customWidth="1"/>
    <x:col min="4" max="4" width="26" hidden="0" customWidth="1"/>
    <x:col min="5" max="5" width="32" hidden="0" customWidth="1"/>
    <x:col min="6" max="6" width="34" hidden="0" customWidth="1"/>
  </x:cols>
  <x:sheetData>
    <x:row r="1" ht="30" customHeight="1">
      <x:c r="A1" s="87" t="str">
        <x:v>Fiber Source–Process–Use Economy</x:v>
      </x:c>
      <x:c r="B1" s="87"/>
      <x:c r="C1" s="87"/>
      <x:c r="D1" s="87"/>
      <x:c r="E1" s="87"/>
      <x:c r="F1" s="87"/>
    </x:row>
    <x:row r="2" ht="42" customHeight="1">
      <x:c r="A2" s="91" t="str">
        <x:v>Fiber is not one generic item. Source, length, cleanliness, dryness, wet strength and load proof determine use.</x:v>
      </x:c>
      <x:c r="B2" s="91"/>
      <x:c r="C2" s="91"/>
      <x:c r="D2" s="91"/>
      <x:c r="E2" s="91"/>
      <x:c r="F2" s="91"/>
    </x:row>
    <x:row r="4" ht="34" customHeight="1">
      <x:c r="A4" s="100" t="str">
        <x:v>Source/process</x:v>
      </x:c>
      <x:c r="B4" s="101" t="str">
        <x:v>Preparation</x:v>
      </x:c>
      <x:c r="C4" s="101" t="str">
        <x:v>Property emphasis</x:v>
      </x:c>
      <x:c r="D4" s="101" t="str">
        <x:v>Early uses</x:v>
      </x:c>
      <x:c r="E4" s="101" t="str">
        <x:v>Developed uses</x:v>
      </x:c>
      <x:c r="F4" s="102" t="str">
        <x:v>Disqualifier/limit</x:v>
      </x:c>
    </x:row>
    <x:row r="5">
      <x:c r="A5" s="83" t="str">
        <x:v>Coir/husk</x:v>
      </x:c>
      <x:c r="B5" s="83" t="str">
        <x:v>separate; wash; dry; comb</x:v>
      </x:c>
      <x:c r="C5" s="83" t="str">
        <x:v>coarse; durable; wet-tolerant</x:v>
      </x:c>
      <x:c r="D5" s="83" t="str">
        <x:v>tinder; tie; mat</x:v>
      </x:c>
      <x:c r="E5" s="83" t="str">
        <x:v>rope; bag; brush; erosion mesh</x:v>
      </x:c>
      <x:c r="F5" s="83" t="str">
        <x:v>rough medical/skin contact; labor</x:v>
      </x:c>
    </x:row>
    <x:row r="6">
      <x:c r="A6" s="83" t="str">
        <x:v>Leaf fiber</x:v>
      </x:c>
      <x:c r="B6" s="83" t="str">
        <x:v>cut; scrape/decorticate; wash; dry</x:v>
      </x:c>
      <x:c r="C6" s="83" t="str">
        <x:v>long strong strand</x:v>
      </x:c>
      <x:c r="D6" s="83" t="str">
        <x:v>binding</x:v>
      </x:c>
      <x:c r="E6" s="83" t="str">
        <x:v>cordage; reinforcement; sail/net blend</x:v>
      </x:c>
      <x:c r="F6" s="83" t="str">
        <x:v>irritant sap; overharvest</x:v>
      </x:c>
    </x:row>
    <x:row r="7">
      <x:c r="A7" s="83" t="str">
        <x:v>Bast/stem</x:v>
      </x:c>
      <x:c r="B7" s="83" t="str">
        <x:v>strip/rett; wash; dry; grade</x:v>
      </x:c>
      <x:c r="C7" s="83" t="str">
        <x:v>long spinnable fiber</x:v>
      </x:c>
      <x:c r="D7" s="83" t="str">
        <x:v>fine cord</x:v>
      </x:c>
      <x:c r="E7" s="83" t="str">
        <x:v>thread; cloth; paper</x:v>
      </x:c>
      <x:c r="F7" s="83" t="str">
        <x:v>retting pollution; rot</x:v>
      </x:c>
    </x:row>
    <x:row r="8">
      <x:c r="A8" s="83" t="str">
        <x:v>Grass/reed/palm strip</x:v>
      </x:c>
      <x:c r="B8" s="83" t="str">
        <x:v>split; dry; weave</x:v>
      </x:c>
      <x:c r="C8" s="83" t="str">
        <x:v>broad flexible strip</x:v>
      </x:c>
      <x:c r="D8" s="83" t="str">
        <x:v>thatch; mat; basket</x:v>
      </x:c>
      <x:c r="E8" s="83" t="str">
        <x:v>screens; panels; nursery products</x:v>
      </x:c>
      <x:c r="F8" s="83" t="str">
        <x:v>shrink; rot; poor life-safety load</x:v>
      </x:c>
    </x:row>
    <x:row r="9">
      <x:c r="A9" s="83" t="str">
        <x:v>Animal fiber</x:v>
      </x:c>
      <x:c r="B9" s="83" t="str">
        <x:v>clean; sort; prepare</x:v>
      </x:c>
      <x:c r="C9" s="83" t="str">
        <x:v>specialized protein/hide fiber</x:v>
      </x:c>
      <x:c r="D9" s="83" t="str">
        <x:v>sinew binding; feathers</x:v>
      </x:c>
      <x:c r="E9" s="83" t="str">
        <x:v>leather; insulation; fine cord</x:v>
      </x:c>
      <x:c r="F9" s="83" t="str">
        <x:v>hygiene; welfare; scarce supply</x:v>
      </x:c>
    </x:row>
    <x:row r="10">
      <x:c r="A10" s="83" t="str">
        <x:v>Salvaged textile/webbing</x:v>
      </x:c>
      <x:c r="B10" s="83" t="str">
        <x:v>quarantine; clean; inspect</x:v>
      </x:c>
      <x:c r="C10" s="83" t="str">
        <x:v>ready broad form or rated weave</x:v>
      </x:c>
      <x:c r="D10" s="83" t="str">
        <x:v>wrap; carry; shelter patch</x:v>
      </x:c>
      <x:c r="E10" s="83" t="str">
        <x:v>sail; harness; medical only if qualified</x:v>
      </x:c>
      <x:c r="F10" s="83" t="str">
        <x:v>salt; mold; fuel; UV/chafe history</x:v>
      </x:c>
    </x:row>
    <x:row r="11">
      <x:c r="A11" s="83" t="str">
        <x:v>Grade and dry</x:v>
      </x:c>
      <x:c r="B11" s="83" t="str">
        <x:v>compare length; defect; moisture</x:v>
      </x:c>
      <x:c r="C11" s="83" t="str">
        <x:v>predictable input lot</x:v>
      </x:c>
      <x:c r="D11" s="83" t="str">
        <x:v>known cord batch</x:v>
      </x:c>
      <x:c r="E11" s="83" t="str">
        <x:v>repeatable rope/cloth</x:v>
      </x:c>
      <x:c r="F11" s="83" t="str">
        <x:v>mixed wet/dirty lot</x:v>
      </x:c>
    </x:row>
    <x:row r="12">
      <x:c r="A12" s="83" t="str">
        <x:v>Spin/ply</x:v>
      </x:c>
      <x:c r="B12" s="83" t="str">
        <x:v>twist; splice; ply; tension</x:v>
      </x:c>
      <x:c r="C12" s="83" t="str">
        <x:v>diameter and load consistency</x:v>
      </x:c>
      <x:c r="D12" s="83" t="str">
        <x:v>cord</x:v>
      </x:c>
      <x:c r="E12" s="83" t="str">
        <x:v>yarn; bowstring; rope</x:v>
      </x:c>
      <x:c r="F12" s="83" t="str">
        <x:v>overtwist; uneven strand</x:v>
      </x:c>
    </x:row>
    <x:row r="13">
      <x:c r="A13" s="83" t="str">
        <x:v>Weave/net/sew</x:v>
      </x:c>
      <x:c r="B13" s="83" t="str">
        <x:v>warp; mesh; seam; edge</x:v>
      </x:c>
      <x:c r="C13" s="83" t="str">
        <x:v>area and geometry</x:v>
      </x:c>
      <x:c r="D13" s="83" t="str">
        <x:v>bag; basket</x:v>
      </x:c>
      <x:c r="E13" s="83" t="str">
        <x:v>cloth; net; sail; screen</x:v>
      </x:c>
      <x:c r="F13" s="83" t="str">
        <x:v>edge failure; wrong mesh; contamination</x:v>
      </x:c>
    </x:row>
    <x:row r="14">
      <x:c r="A14" s="84" t="str">
        <x:v>Proof/store</x:v>
      </x:c>
      <x:c r="B14" s="84" t="str">
        <x:v>dry/wet load; abrasion; label</x:v>
      </x:c>
      <x:c r="C14" s="84" t="str">
        <x:v>known limit and history</x:v>
      </x:c>
      <x:c r="D14" s="84" t="str">
        <x:v>safe task allocation</x:v>
      </x:c>
      <x:c r="E14" s="84" t="str">
        <x:v>life-safety and successor use</x:v>
      </x:c>
      <x:c r="F14" s="84" t="str">
        <x:v>unknown history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fa8fcd33e64ce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0" hidden="0" customWidth="1"/>
    <x:col min="4" max="4" width="32" hidden="0" customWidth="1"/>
    <x:col min="5" max="5" width="28" hidden="0" customWidth="1"/>
    <x:col min="6" max="6" width="32" hidden="0" customWidth="1"/>
    <x:col min="7" max="7" width="32" hidden="0" customWidth="1"/>
  </x:cols>
  <x:sheetData>
    <x:row r="1" ht="30" customHeight="1">
      <x:c r="A1" s="87" t="str">
        <x:v>Wood–Stone–Fiber–Metal Circular Economy</x:v>
      </x:c>
      <x:c r="B1" s="87"/>
      <x:c r="C1" s="87"/>
      <x:c r="D1" s="87"/>
      <x:c r="E1" s="87"/>
      <x:c r="F1" s="87"/>
      <x:c r="G1" s="87"/>
    </x:row>
    <x:row r="2" ht="42" customHeight="1">
      <x:c r="A2" s="91" t="str">
        <x:v>Preserve capability-bearing form before reducing material to anonymous feedstock.</x:v>
      </x:c>
      <x:c r="B2" s="91"/>
      <x:c r="C2" s="91"/>
      <x:c r="D2" s="91"/>
      <x:c r="E2" s="91"/>
      <x:c r="F2" s="91"/>
      <x:c r="G2" s="91"/>
    </x:row>
    <x:row r="4" ht="34" customHeight="1">
      <x:c r="A4" s="100" t="str">
        <x:v>Family/form</x:v>
      </x:c>
      <x:c r="B4" s="101" t="str">
        <x:v>Best-value first route</x:v>
      </x:c>
      <x:c r="C4" s="101" t="str">
        <x:v>Transformations</x:v>
      </x:c>
      <x:c r="D4" s="101" t="str">
        <x:v>Core properties</x:v>
      </x:c>
      <x:c r="E4" s="101" t="str">
        <x:v>Major uses</x:v>
      </x:c>
      <x:c r="F4" s="101" t="str">
        <x:v>Persistent limits</x:v>
      </x:c>
      <x:c r="G4" s="102" t="str">
        <x:v>Late circular route</x:v>
      </x:c>
    </x:row>
    <x:row r="5">
      <x:c r="A5" s="83" t="str">
        <x:v>Wood: branch/pole</x:v>
      </x:c>
      <x:c r="B5" s="83" t="str">
        <x:v>use grain and shape intact</x:v>
      </x:c>
      <x:c r="C5" s="83" t="str">
        <x:v>season; shape; join; preserve</x:v>
      </x:c>
      <x:c r="D5" s="83" t="str">
        <x:v>grain; stiffness; moisture; mass</x:v>
      </x:c>
      <x:c r="E5" s="83" t="str">
        <x:v>handle; frame; boat; fuel</x:v>
      </x:c>
      <x:c r="F5" s="83" t="str">
        <x:v>rot; insects; fire; regeneration</x:v>
      </x:c>
      <x:c r="G5" s="83" t="str">
        <x:v>repair → board/peg → charcoal/compost if clean</x:v>
      </x:c>
    </x:row>
    <x:row r="6">
      <x:c r="A6" s="83" t="str">
        <x:v>Wood: board/beam</x:v>
      </x:c>
      <x:c r="B6" s="83" t="str">
        <x:v>inspect prior load and contamination</x:v>
      </x:c>
      <x:c r="C6" s="83" t="str">
        <x:v>cut; plane; drill; join</x:v>
      </x:c>
      <x:c r="D6" s="83" t="str">
        <x:v>dimension; defects; dryness</x:v>
      </x:c>
      <x:c r="E6" s="83" t="str">
        <x:v>shelter; bench; boat; storage</x:v>
      </x:c>
      <x:c r="F6" s="83" t="str">
        <x:v>split; warp; salt; coating</x:v>
      </x:c>
      <x:c r="G6" s="83" t="str">
        <x:v>reuse → smaller parts → fuel only if safe</x:v>
      </x:c>
    </x:row>
    <x:row r="7">
      <x:c r="A7" s="83" t="str">
        <x:v>Stone/mineral</x:v>
      </x:c>
      <x:c r="B7" s="83" t="str">
        <x:v>select natural form</x:v>
      </x:c>
      <x:c r="C7" s="83" t="str">
        <x:v>fracture; grind; grade; fire</x:v>
      </x:c>
      <x:c r="D7" s="83" t="str">
        <x:v>hardness; toughness; mass; geology</x:v>
      </x:c>
      <x:c r="E7" s="83" t="str">
        <x:v>edge; hammer; foundation; abrasive</x:v>
      </x:c>
      <x:c r="F7" s="83" t="str">
        <x:v>brittle; dust; transport</x:v>
      </x:c>
      <x:c r="G7" s="83" t="str">
        <x:v>aggregate / refractory / ore route</x:v>
      </x:c>
    </x:row>
    <x:row r="8">
      <x:c r="A8" s="83" t="str">
        <x:v>Fiber</x:v>
      </x:c>
      <x:c r="B8" s="83" t="str">
        <x:v>use suitable natural/salvaged form</x:v>
      </x:c>
      <x:c r="C8" s="83" t="str">
        <x:v>extract; spin; ply; weave</x:v>
      </x:c>
      <x:c r="D8" s="83" t="str">
        <x:v>length; wet strength; abrasion; hygiene</x:v>
      </x:c>
      <x:c r="E8" s="83" t="str">
        <x:v>cord; bag; cloth; net; sail</x:v>
      </x:c>
      <x:c r="F8" s="83" t="str">
        <x:v>rot; cut; fire; contamination</x:v>
      </x:c>
      <x:c r="G8" s="83" t="str">
        <x:v>repair/splice → filler/compost if safe</x:v>
      </x:c>
    </x:row>
    <x:row r="9">
      <x:c r="A9" s="83" t="str">
        <x:v>Metal working item</x:v>
      </x:c>
      <x:c r="B9" s="83" t="str">
        <x:v>maintain/repair intact</x:v>
      </x:c>
      <x:c r="C9" s="83" t="str">
        <x:v>clean; sharpen; replace handle/part</x:v>
      </x:c>
      <x:c r="D9" s="83" t="str">
        <x:v>alloy; temper; geometry; prior service</x:v>
      </x:c>
      <x:c r="E9" s="83" t="str">
        <x:v>tool; pump; motor; vessel</x:v>
      </x:c>
      <x:c r="F9" s="83" t="str">
        <x:v>corrosion; fatigue; compatibility</x:v>
      </x:c>
      <x:c r="G9" s="83" t="str">
        <x:v>donor assembly before melting</x:v>
      </x:c>
    </x:row>
    <x:row r="10">
      <x:c r="A10" s="83" t="str">
        <x:v>Metal sheet/profile/tube/wire</x:v>
      </x:c>
      <x:c r="B10" s="83" t="str">
        <x:v>adapt preserved form</x:v>
      </x:c>
      <x:c r="C10" s="83" t="str">
        <x:v>cut; bend; drill; rivet/braze</x:v>
      </x:c>
      <x:c r="D10" s="83" t="str">
        <x:v>section; coating; workability</x:v>
      </x:c>
      <x:c r="E10" s="83" t="str">
        <x:v>patch; frame; pipe; conductor</x:v>
      </x:c>
      <x:c r="F10" s="83" t="str">
        <x:v>sharp; coated; mixed alloy</x:v>
      </x:c>
      <x:c r="G10" s="83" t="str">
        <x:v>remanufacture → compatible scrap</x:v>
      </x:c>
    </x:row>
    <x:row r="11">
      <x:c r="A11" s="83" t="str">
        <x:v>Metal scrap/pieces</x:v>
      </x:c>
      <x:c r="B11" s="83" t="str">
        <x:v>sort by provenance and response</x:v>
      </x:c>
      <x:c r="C11" s="83" t="str">
        <x:v>clean; cold work; melt/cast</x:v>
      </x:c>
      <x:c r="D11" s="83" t="str">
        <x:v>alloy mix; contamination; form loss</x:v>
      </x:c>
      <x:c r="E11" s="83" t="str">
        <x:v>stock; simple cast blank</x:v>
      </x:c>
      <x:c r="F11" s="83" t="str">
        <x:v>porosity; brittle mix; fumes</x:v>
      </x:c>
      <x:c r="G11" s="83" t="str">
        <x:v>qualified billet</x:v>
      </x:c>
    </x:row>
    <x:row r="12">
      <x:c r="A12" s="84" t="str">
        <x:v>Ore/concentrate</x:v>
      </x:c>
      <x:c r="B12" s="84" t="str">
        <x:v>confirm deposit and value</x:v>
      </x:c>
      <x:c r="C12" s="84" t="str">
        <x:v>mine; crush; concentrate; smelt</x:v>
      </x:c>
      <x:c r="D12" s="84" t="str">
        <x:v>grade; gangue; chemistry</x:v>
      </x:c>
      <x:c r="E12" s="84" t="str">
        <x:v>new metal where geology permits</x:v>
      </x:c>
      <x:c r="F12" s="84" t="str">
        <x:v>huge labor/fuel/water/refractory</x:v>
      </x:c>
      <x:c r="G12" s="84" t="str">
        <x:v>slag routing and site rehabilitation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6f6397dae684bd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0" hidden="0" customWidth="1"/>
    <x:col min="11" max="11" width="10" hidden="0" customWidth="1"/>
    <x:col min="12" max="12" width="12" hidden="0" customWidth="1"/>
    <x:col min="13" max="13" width="40" hidden="0" customWidth="1"/>
  </x:cols>
  <x:sheetData>
    <x:row r="1" ht="30" customHeight="1">
      <x:c r="A1" s="87" t="str">
        <x:v>Living Shore Salvage Triage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</x:row>
    <x:row r="2" ht="42" customHeight="1">
      <x:c r="A2" s="91" t="str">
        <x:v>Scores are editable 0–5 balance seeds. Priority suggests attention; it never performs recovery.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</x:row>
    <x:row r="4" ht="34" customHeight="1">
      <x:c r="A4" s="100" t="str">
        <x:v>Object</x:v>
      </x:c>
      <x:c r="B4" s="101" t="str">
        <x:v>Class</x:v>
      </x:c>
      <x:c r="C4" s="101" t="str">
        <x:v>Need</x:v>
      </x:c>
      <x:c r="D4" s="101" t="str">
        <x:v>Unique</x:v>
      </x:c>
      <x:c r="E4" s="101" t="str">
        <x:v>Window</x:v>
      </x:c>
      <x:c r="F4" s="101" t="str">
        <x:v>Reuse</x:v>
      </x:c>
      <x:c r="G4" s="101" t="str">
        <x:v>Eco</x:v>
      </x:c>
      <x:c r="H4" s="101" t="str">
        <x:v>Hazard</x:v>
      </x:c>
      <x:c r="I4" s="101" t="str">
        <x:v>Unknown</x:v>
      </x:c>
      <x:c r="J4" s="101" t="str">
        <x:v>Transport</x:v>
      </x:c>
      <x:c r="K4" s="101" t="str">
        <x:v>Preserve</x:v>
      </x:c>
      <x:c r="L4" s="101" t="str">
        <x:v>Priority</x:v>
      </x:c>
      <x:c r="M4" s="102" t="str">
        <x:v>First route</x:v>
      </x:c>
    </x:row>
    <x:row r="5">
      <x:c r="A5" s="83" t="str">
        <x:v>Food-grade pan</x:v>
      </x:c>
      <x:c r="B5" s="83" t="str">
        <x:v>Working item</x:v>
      </x:c>
      <x:c r="C5" s="109" t="n">
        <x:v>5</x:v>
      </x:c>
      <x:c r="D5" s="109" t="n">
        <x:v>4</x:v>
      </x:c>
      <x:c r="E5" s="109" t="n">
        <x:v>3</x:v>
      </x:c>
      <x:c r="F5" s="109" t="n">
        <x:v>5</x:v>
      </x:c>
      <x:c r="G5" s="109" t="n">
        <x:v>1</x:v>
      </x:c>
      <x:c r="H5" s="109" t="n">
        <x:v>1</x:v>
      </x:c>
      <x:c r="I5" s="109" t="n">
        <x:v>1</x:v>
      </x:c>
      <x:c r="J5" s="109" t="n">
        <x:v>2</x:v>
      </x:c>
      <x:c r="K5" s="109" t="n">
        <x:v>1</x:v>
      </x:c>
      <x:c r="L5" s="111" t="n">
        <x:f>SUM(C5:G5)-SUM(H5:K5)</x:f>
        <x:v>13</x:v>
      </x:c>
      <x:c r="M5" s="83" t="str">
        <x:v>quarantine → clean → leak/heat test</x:v>
      </x:c>
    </x:row>
    <x:row r="6">
      <x:c r="A6" s="83" t="str">
        <x:v>Broken hand drill</x:v>
      </x:c>
      <x:c r="B6" s="83" t="str">
        <x:v>Repairable assembly</x:v>
      </x:c>
      <x:c r="C6" s="109" t="n">
        <x:v>3</x:v>
      </x:c>
      <x:c r="D6" s="109" t="n">
        <x:v>3</x:v>
      </x:c>
      <x:c r="E6" s="109" t="n">
        <x:v>2</x:v>
      </x:c>
      <x:c r="F6" s="109" t="n">
        <x:v>4</x:v>
      </x:c>
      <x:c r="G6" s="109" t="n">
        <x:v>1</x:v>
      </x:c>
      <x:c r="H6" s="109" t="n">
        <x:v>1</x:v>
      </x:c>
      <x:c r="I6" s="109" t="n">
        <x:v>2</x:v>
      </x:c>
      <x:c r="J6" s="109" t="n">
        <x:v>2</x:v>
      </x:c>
      <x:c r="K6" s="109" t="n">
        <x:v>2</x:v>
      </x:c>
      <x:c r="L6" s="111" t="n">
        <x:f>SUM(C6:G6)-SUM(H6:K6)</x:f>
        <x:v>6</x:v>
      </x:c>
      <x:c r="M6" s="83" t="str">
        <x:v>preserve form → diagnose → donor search</x:v>
      </x:c>
    </x:row>
    <x:row r="7">
      <x:c r="A7" s="83" t="str">
        <x:v>Bearing set</x:v>
      </x:c>
      <x:c r="B7" s="83" t="str">
        <x:v>Donor part</x:v>
      </x:c>
      <x:c r="C7" s="109" t="n">
        <x:v>4</x:v>
      </x:c>
      <x:c r="D7" s="109" t="n">
        <x:v>5</x:v>
      </x:c>
      <x:c r="E7" s="109" t="n">
        <x:v>2</x:v>
      </x:c>
      <x:c r="F7" s="109" t="n">
        <x:v>5</x:v>
      </x:c>
      <x:c r="G7" s="109" t="n">
        <x:v>1</x:v>
      </x:c>
      <x:c r="H7" s="109" t="n">
        <x:v>1</x:v>
      </x:c>
      <x:c r="I7" s="109" t="n">
        <x:v>2</x:v>
      </x:c>
      <x:c r="J7" s="109" t="n">
        <x:v>1</x:v>
      </x:c>
      <x:c r="K7" s="109" t="n">
        <x:v>2</x:v>
      </x:c>
      <x:c r="L7" s="111" t="n">
        <x:f>SUM(C7:G7)-SUM(H7:K7)</x:f>
        <x:v>11</x:v>
      </x:c>
      <x:c r="M7" s="83" t="str">
        <x:v>freshwater clean → label → protected store</x:v>
      </x:c>
    </x:row>
    <x:row r="8">
      <x:c r="A8" s="83" t="str">
        <x:v>Clean aluminum sheet</x:v>
      </x:c>
      <x:c r="B8" s="83" t="str">
        <x:v>Reusable material</x:v>
      </x:c>
      <x:c r="C8" s="109" t="n">
        <x:v>3</x:v>
      </x:c>
      <x:c r="D8" s="109" t="n">
        <x:v>3</x:v>
      </x:c>
      <x:c r="E8" s="109" t="n">
        <x:v>2</x:v>
      </x:c>
      <x:c r="F8" s="109" t="n">
        <x:v>4</x:v>
      </x:c>
      <x:c r="G8" s="109" t="n">
        <x:v>1</x:v>
      </x:c>
      <x:c r="H8" s="109" t="n">
        <x:v>2</x:v>
      </x:c>
      <x:c r="I8" s="109" t="n">
        <x:v>2</x:v>
      </x:c>
      <x:c r="J8" s="109" t="n">
        <x:v>3</x:v>
      </x:c>
      <x:c r="K8" s="109" t="n">
        <x:v>2</x:v>
      </x:c>
      <x:c r="L8" s="111" t="n">
        <x:f>SUM(C8:G8)-SUM(H8:K8)</x:f>
        <x:v>4</x:v>
      </x:c>
      <x:c r="M8" s="83" t="str">
        <x:v>identify location/coating → coupon test</x:v>
      </x:c>
    </x:row>
    <x:row r="9">
      <x:c r="A9" s="83" t="str">
        <x:v>Mixed corroded scrap</x:v>
      </x:c>
      <x:c r="B9" s="83" t="str">
        <x:v>Recyclable feedstock</x:v>
      </x:c>
      <x:c r="C9" s="109" t="n">
        <x:v>1</x:v>
      </x:c>
      <x:c r="D9" s="109" t="n">
        <x:v>1</x:v>
      </x:c>
      <x:c r="E9" s="109" t="n">
        <x:v>1</x:v>
      </x:c>
      <x:c r="F9" s="109" t="n">
        <x:v>2</x:v>
      </x:c>
      <x:c r="G9" s="109" t="n">
        <x:v>2</x:v>
      </x:c>
      <x:c r="H9" s="109" t="n">
        <x:v>3</x:v>
      </x:c>
      <x:c r="I9" s="109" t="n">
        <x:v>3</x:v>
      </x:c>
      <x:c r="J9" s="109" t="n">
        <x:v>3</x:v>
      </x:c>
      <x:c r="K9" s="109" t="n">
        <x:v>3</x:v>
      </x:c>
      <x:c r="L9" s="111" t="n">
        <x:f>SUM(C9:G9)-SUM(H9:K9)</x:f>
        <x:v>-5</x:v>
      </x:c>
      <x:c r="M9" s="83" t="str">
        <x:v>isolate → sort; recover only useful forms</x:v>
      </x:c>
    </x:row>
    <x:row r="10">
      <x:c r="A10" s="83" t="str">
        <x:v>Sealed battery</x:v>
      </x:c>
      <x:c r="B10" s="83" t="str">
        <x:v>Hazardous matter</x:v>
      </x:c>
      <x:c r="C10" s="109" t="n">
        <x:v>3</x:v>
      </x:c>
      <x:c r="D10" s="109" t="n">
        <x:v>4</x:v>
      </x:c>
      <x:c r="E10" s="109" t="n">
        <x:v>3</x:v>
      </x:c>
      <x:c r="F10" s="109" t="n">
        <x:v>3</x:v>
      </x:c>
      <x:c r="G10" s="109" t="n">
        <x:v>3</x:v>
      </x:c>
      <x:c r="H10" s="109" t="n">
        <x:v>5</x:v>
      </x:c>
      <x:c r="I10" s="109" t="n">
        <x:v>3</x:v>
      </x:c>
      <x:c r="J10" s="109" t="n">
        <x:v>3</x:v>
      </x:c>
      <x:c r="K10" s="109" t="n">
        <x:v>4</x:v>
      </x:c>
      <x:c r="L10" s="111" t="n">
        <x:f>SUM(C10:G10)-SUM(H10:K10)</x:f>
        <x:v>1</x:v>
      </x:c>
      <x:c r="M10" s="83" t="str">
        <x:v>isolate upright → identify → no casual test</x:v>
      </x:c>
    </x:row>
    <x:row r="11">
      <x:c r="A11" s="83" t="str">
        <x:v>Fuel-soaked upholstery</x:v>
      </x:c>
      <x:c r="B11" s="83" t="str">
        <x:v>Contaminated matter</x:v>
      </x:c>
      <x:c r="C11" s="109" t="n">
        <x:v>0</x:v>
      </x:c>
      <x:c r="D11" s="109" t="n">
        <x:v>0</x:v>
      </x:c>
      <x:c r="E11" s="109" t="n">
        <x:v>2</x:v>
      </x:c>
      <x:c r="F11" s="109" t="n">
        <x:v>0</x:v>
      </x:c>
      <x:c r="G11" s="109" t="n">
        <x:v>2</x:v>
      </x:c>
      <x:c r="H11" s="109" t="n">
        <x:v>5</x:v>
      </x:c>
      <x:c r="I11" s="109" t="n">
        <x:v>2</x:v>
      </x:c>
      <x:c r="J11" s="109" t="n">
        <x:v>3</x:v>
      </x:c>
      <x:c r="K11" s="109" t="n">
        <x:v>4</x:v>
      </x:c>
      <x:c r="L11" s="111" t="n">
        <x:f>SUM(C11:G11)-SUM(H11:K11)</x:f>
        <x:v>-10</x:v>
      </x:c>
      <x:c r="M11" s="83" t="str">
        <x:v>mark/isolate; containment or disposal</x:v>
      </x:c>
    </x:row>
    <x:row r="12">
      <x:c r="A12" s="83" t="str">
        <x:v>Faded plastic fragment</x:v>
      </x:c>
      <x:c r="B12" s="83" t="str">
        <x:v>Inert waste</x:v>
      </x:c>
      <x:c r="C12" s="109" t="n">
        <x:v>0</x:v>
      </x:c>
      <x:c r="D12" s="109" t="n">
        <x:v>0</x:v>
      </x:c>
      <x:c r="E12" s="109" t="n">
        <x:v>1</x:v>
      </x:c>
      <x:c r="F12" s="109" t="n">
        <x:v>0</x:v>
      </x:c>
      <x:c r="G12" s="109" t="n">
        <x:v>4</x:v>
      </x:c>
      <x:c r="H12" s="109" t="n">
        <x:v>1</x:v>
      </x:c>
      <x:c r="I12" s="109" t="n">
        <x:v>1</x:v>
      </x:c>
      <x:c r="J12" s="109" t="n">
        <x:v>2</x:v>
      </x:c>
      <x:c r="K12" s="109" t="n">
        <x:v>1</x:v>
      </x:c>
      <x:c r="L12" s="111" t="n">
        <x:f>SUM(C12:G12)-SUM(H12:K12)</x:f>
        <x:v>0</x:v>
      </x:c>
      <x:c r="M12" s="83" t="str">
        <x:v>ecological cleanup if capacity exists</x:v>
      </x:c>
    </x:row>
    <x:row r="13">
      <x:c r="A13" s="83" t="str">
        <x:v>Buried sealed crate</x:v>
      </x:c>
      <x:c r="B13" s="83" t="str">
        <x:v>Unresolved object</x:v>
      </x:c>
      <x:c r="C13" s="109" t="n">
        <x:v>4</x:v>
      </x:c>
      <x:c r="D13" s="109" t="n">
        <x:v>4</x:v>
      </x:c>
      <x:c r="E13" s="109" t="n">
        <x:v>5</x:v>
      </x:c>
      <x:c r="F13" s="109" t="n">
        <x:v>4</x:v>
      </x:c>
      <x:c r="G13" s="109" t="n">
        <x:v>1</x:v>
      </x:c>
      <x:c r="H13" s="109" t="n">
        <x:v>4</x:v>
      </x:c>
      <x:c r="I13" s="109" t="n">
        <x:v>5</x:v>
      </x:c>
      <x:c r="J13" s="109" t="n">
        <x:v>5</x:v>
      </x:c>
      <x:c r="K13" s="109" t="n">
        <x:v>4</x:v>
      </x:c>
      <x:c r="L13" s="111" t="n">
        <x:f>SUM(C13:G13)-SUM(H13:K13)</x:f>
        <x:v>0</x:v>
      </x:c>
      <x:c r="M13" s="83" t="str">
        <x:v>mark tide → excavate/stabilize → inspect</x:v>
      </x:c>
    </x:row>
    <x:row r="14">
      <x:c r="A14" s="84" t="str">
        <x:v>Wet chart/manual</x:v>
      </x:c>
      <x:c r="B14" s="84" t="str">
        <x:v>Information carrier</x:v>
      </x:c>
      <x:c r="C14" s="110" t="n">
        <x:v>3</x:v>
      </x:c>
      <x:c r="D14" s="110" t="n">
        <x:v>5</x:v>
      </x:c>
      <x:c r="E14" s="110" t="n">
        <x:v>5</x:v>
      </x:c>
      <x:c r="F14" s="110" t="n">
        <x:v>4</x:v>
      </x:c>
      <x:c r="G14" s="110" t="n">
        <x:v>1</x:v>
      </x:c>
      <x:c r="H14" s="110" t="n">
        <x:v>1</x:v>
      </x:c>
      <x:c r="I14" s="110" t="n">
        <x:v>3</x:v>
      </x:c>
      <x:c r="J14" s="110" t="n">
        <x:v>1</x:v>
      </x:c>
      <x:c r="K14" s="110" t="n">
        <x:v>5</x:v>
      </x:c>
      <x:c r="L14" s="112" t="n">
        <x:f>SUM(C14:G14)-SUM(H14:K14)</x:f>
        <x:v>8</x:v>
      </x:c>
      <x:c r="M14" s="84" t="str">
        <x:v>support wet → preserve context → slow dry</x:v>
      </x:c>
    </x:row>
  </x:sheetData>
  <x:mergeCells>
    <x:mergeCell ref="A1:M1"/>
    <x:mergeCell ref="A2:M2"/>
  </x:mergeCells>
  <x:conditionalFormatting sqref="L5:L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8e19964c8d74d1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8" max="8" width="16" hidden="0" customWidth="1"/>
    <x:col min="9" max="9" width="28" hidden="0" customWidth="1"/>
    <x:col min="10" max="10" width="32" hidden="0" customWidth="1"/>
    <x:col min="11" max="11" width="38" hidden="0" customWidth="1"/>
  </x:cols>
  <x:sheetData>
    <x:row r="1" ht="30" customHeight="1">
      <x:c r="A1" s="87" t="str">
        <x:v>Shelter Multi-Hazard Service Resolver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42" customHeight="1">
      <x:c r="A2" s="91" t="str">
        <x:v>Editable 0–1 seeds. Consequence = demand × exposure × vulnerability × uncertainty × criticality ÷ redundancy.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4" ht="34" customHeight="1">
      <x:c r="A4" s="100" t="str">
        <x:v>Hazard</x:v>
      </x:c>
      <x:c r="B4" s="101" t="str">
        <x:v>Demand</x:v>
      </x:c>
      <x:c r="C4" s="101" t="str">
        <x:v>Exposure</x:v>
      </x:c>
      <x:c r="D4" s="101" t="str">
        <x:v>Vulnerability</x:v>
      </x:c>
      <x:c r="E4" s="101" t="str">
        <x:v>Condition uncertainty</x:v>
      </x:c>
      <x:c r="F4" s="101" t="str">
        <x:v>Criticality</x:v>
      </x:c>
      <x:c r="G4" s="101" t="str">
        <x:v>Redundancy</x:v>
      </x:c>
      <x:c r="H4" s="101" t="str">
        <x:v>Consequence seed</x:v>
      </x:c>
      <x:c r="I4" s="101" t="str">
        <x:v>Primary mechanism</x:v>
      </x:c>
      <x:c r="J4" s="101" t="str">
        <x:v>Readable cue</x:v>
      </x:c>
      <x:c r="K4" s="102" t="str">
        <x:v>Best first response</x:v>
      </x:c>
    </x:row>
    <x:row r="5">
      <x:c r="A5" s="83" t="str">
        <x:v>High wind</x:v>
      </x:c>
      <x:c r="B5" s="109" t="n">
        <x:v>0.8</x:v>
      </x:c>
      <x:c r="C5" s="109" t="n">
        <x:v>0.7</x:v>
      </x:c>
      <x:c r="D5" s="109" t="n">
        <x:v>0.6</x:v>
      </x:c>
      <x:c r="E5" s="109" t="n">
        <x:v>0.5</x:v>
      </x:c>
      <x:c r="F5" s="109" t="n">
        <x:v>0.8</x:v>
      </x:c>
      <x:c r="G5" s="109" t="n">
        <x:v>0.7</x:v>
      </x:c>
      <x:c r="H5" s="113" t="n">
        <x:f>100*B5*C5*D5*E5*F5/MAX(0.25,G5)</x:f>
        <x:v>19.200000000000003</x:v>
      </x:c>
      <x:c r="I5" s="83" t="str">
        <x:v>uplift / racking / openings</x:v>
      </x:c>
      <x:c r="J5" s="83" t="str">
        <x:v>flutter; gap; fastener movement</x:v>
      </x:c>
      <x:c r="K5" s="83" t="str">
        <x:v>secure edge; brace; shutter; clear yard</x:v>
      </x:c>
    </x:row>
    <x:row r="6">
      <x:c r="A6" s="83" t="str">
        <x:v>Heavy rain</x:v>
      </x:c>
      <x:c r="B6" s="109" t="n">
        <x:v>0.7</x:v>
      </x:c>
      <x:c r="C6" s="109" t="n">
        <x:v>0.8</x:v>
      </x:c>
      <x:c r="D6" s="109" t="n">
        <x:v>0.5</x:v>
      </x:c>
      <x:c r="E6" s="109" t="n">
        <x:v>0.4</x:v>
      </x:c>
      <x:c r="F6" s="109" t="n">
        <x:v>0.7</x:v>
      </x:c>
      <x:c r="G6" s="109" t="n">
        <x:v>0.8</x:v>
      </x:c>
      <x:c r="H6" s="113" t="n">
        <x:f>100*B6*C6*D6*E6*F6/MAX(0.25,G6)</x:f>
        <x:v>9.799999999999999</x:v>
      </x:c>
      <x:c r="I6" s="83" t="str">
        <x:v>seams / drainage / scour</x:v>
      </x:c>
      <x:c r="J6" s="83" t="str">
        <x:v>drip; stain; pooling; bind</x:v>
      </x:c>
      <x:c r="K6" s="83" t="str">
        <x:v>clear overflow; flash; divert; dry store</x:v>
      </x:c>
    </x:row>
    <x:row r="7">
      <x:c r="A7" s="83" t="str">
        <x:v>Heat wave</x:v>
      </x:c>
      <x:c r="B7" s="109" t="n">
        <x:v>0.8</x:v>
      </x:c>
      <x:c r="C7" s="109" t="n">
        <x:v>0.7</x:v>
      </x:c>
      <x:c r="D7" s="109" t="n">
        <x:v>0.5</x:v>
      </x:c>
      <x:c r="E7" s="109" t="n">
        <x:v>0.3</x:v>
      </x:c>
      <x:c r="F7" s="109" t="n">
        <x:v>0.8</x:v>
      </x:c>
      <x:c r="G7" s="109" t="n">
        <x:v>0.7</x:v>
      </x:c>
      <x:c r="H7" s="113" t="n">
        <x:f>100*B7*C7*D7*E7*F7/MAX(0.25,G7)</x:f>
        <x:v>9.600000000000001</x:v>
      </x:c>
      <x:c r="I7" s="83" t="str">
        <x:v>heat gain / ventilation / water</x:v>
      </x:c>
      <x:c r="J7" s="83" t="str">
        <x:v>poor sleep; hot surface; wilt</x:v>
      </x:c>
      <x:c r="K7" s="83" t="str">
        <x:v>shade; vent; night work; reserve</x:v>
      </x:c>
    </x:row>
    <x:row r="8">
      <x:c r="A8" s="83" t="str">
        <x:v>Flood/surge</x:v>
      </x:c>
      <x:c r="B8" s="109" t="n">
        <x:v>0.9</x:v>
      </x:c>
      <x:c r="C8" s="109" t="n">
        <x:v>0.5</x:v>
      </x:c>
      <x:c r="D8" s="109" t="n">
        <x:v>0.7</x:v>
      </x:c>
      <x:c r="E8" s="109" t="n">
        <x:v>0.5</x:v>
      </x:c>
      <x:c r="F8" s="109" t="n">
        <x:v>1</x:v>
      </x:c>
      <x:c r="G8" s="109" t="n">
        <x:v>0.5</x:v>
      </x:c>
      <x:c r="H8" s="113" t="n">
        <x:f>100*B8*C8*D8*E8*F8/MAX(0.25,G8)</x:f>
        <x:v>31.499999999999996</x:v>
      </x:c>
      <x:c r="I8" s="83" t="str">
        <x:v>site / foundation / contamination</x:v>
      </x:c>
      <x:c r="J8" s="83" t="str">
        <x:v>water markers; saturation; blocked route</x:v>
      </x:c>
      <x:c r="K8" s="83" t="str">
        <x:v>evacuate; isolate; raise; anchor</x:v>
      </x:c>
    </x:row>
    <x:row r="9">
      <x:c r="A9" s="83" t="str">
        <x:v>Earthquake</x:v>
      </x:c>
      <x:c r="B9" s="109" t="n">
        <x:v>0.7</x:v>
      </x:c>
      <x:c r="C9" s="109" t="n">
        <x:v>0.6</x:v>
      </x:c>
      <x:c r="D9" s="109" t="n">
        <x:v>0.6</x:v>
      </x:c>
      <x:c r="E9" s="109" t="n">
        <x:v>0.6</x:v>
      </x:c>
      <x:c r="F9" s="109" t="n">
        <x:v>0.9</x:v>
      </x:c>
      <x:c r="G9" s="109" t="n">
        <x:v>0.6</x:v>
      </x:c>
      <x:c r="H9" s="113" t="n">
        <x:f>100*B9*C9*D9*E9*F9/MAX(0.25,G9)</x:f>
        <x:v>22.68</x:v>
      </x:c>
      <x:c r="I9" s="83" t="str">
        <x:v>connections / bracing / mass</x:v>
      </x:c>
      <x:c r="J9" s="83" t="str">
        <x:v>gap; settlement; leak; jam</x:v>
      </x:c>
      <x:c r="K9" s="83" t="str">
        <x:v>shut down; exit; inspect load path</x:v>
      </x:c>
    </x:row>
    <x:row r="10">
      <x:c r="A10" s="83" t="str">
        <x:v>Fire/lightning</x:v>
      </x:c>
      <x:c r="B10" s="109" t="n">
        <x:v>0.8</x:v>
      </x:c>
      <x:c r="C10" s="109" t="n">
        <x:v>0.6</x:v>
      </x:c>
      <x:c r="D10" s="109" t="n">
        <x:v>0.5</x:v>
      </x:c>
      <x:c r="E10" s="109" t="n">
        <x:v>0.4</x:v>
      </x:c>
      <x:c r="F10" s="109" t="n">
        <x:v>1</x:v>
      </x:c>
      <x:c r="G10" s="109" t="n">
        <x:v>0.7</x:v>
      </x:c>
      <x:c r="H10" s="113" t="n">
        <x:f>100*B10*C10*D10*E10*F10/MAX(0.25,G10)</x:f>
        <x:v>13.714285714285717</x:v>
      </x:c>
      <x:c r="I10" s="83" t="str">
        <x:v>ember / fuel / electrical / egress</x:v>
      </x:c>
      <x:c r="J10" s="83" t="str">
        <x:v>hot connection; dry debris; smoke</x:v>
      </x:c>
      <x:c r="K10" s="83" t="str">
        <x:v>separate; extinguish; isolate; evacuate</x:v>
      </x:c>
    </x:row>
    <x:row r="11">
      <x:c r="A11" s="83" t="str">
        <x:v>Salt/rot/insects</x:v>
      </x:c>
      <x:c r="B11" s="109" t="n">
        <x:v>0.5</x:v>
      </x:c>
      <x:c r="C11" s="109" t="n">
        <x:v>0.9</x:v>
      </x:c>
      <x:c r="D11" s="109" t="n">
        <x:v>0.5</x:v>
      </x:c>
      <x:c r="E11" s="109" t="n">
        <x:v>0.7</x:v>
      </x:c>
      <x:c r="F11" s="109" t="n">
        <x:v>0.6</x:v>
      </x:c>
      <x:c r="G11" s="109" t="n">
        <x:v>0.7</x:v>
      </x:c>
      <x:c r="H11" s="113" t="n">
        <x:f>100*B11*C11*D11*E11*F11/MAX(0.25,G11)</x:f>
        <x:v>13.5</x:v>
      </x:c>
      <x:c r="I11" s="83" t="str">
        <x:v>hidden material degradation</x:v>
      </x:c>
      <x:c r="J11" s="83" t="str">
        <x:v>rust weep; softness; powder; odor</x:v>
      </x:c>
      <x:c r="K11" s="83" t="str">
        <x:v>dry; inspect; replace accessible component</x:v>
      </x:c>
    </x:row>
    <x:row r="12">
      <x:c r="A12" s="84" t="str">
        <x:v>Wreck debris</x:v>
      </x:c>
      <x:c r="B12" s="110" t="n">
        <x:v>0.6</x:v>
      </x:c>
      <x:c r="C12" s="110" t="n">
        <x:v>0.4</x:v>
      </x:c>
      <x:c r="D12" s="110" t="n">
        <x:v>0.6</x:v>
      </x:c>
      <x:c r="E12" s="110" t="n">
        <x:v>0.7</x:v>
      </x:c>
      <x:c r="F12" s="110" t="n">
        <x:v>0.9</x:v>
      </x:c>
      <x:c r="G12" s="110" t="n">
        <x:v>0.6</x:v>
      </x:c>
      <x:c r="H12" s="114" t="n">
        <x:f>100*B12*C12*D12*E12*F12/MAX(0.25,G12)</x:f>
        <x:v>15.12</x:v>
      </x:c>
      <x:c r="I12" s="84" t="str">
        <x:v>impact / fragment / progressive loss</x:v>
      </x:c>
      <x:c r="J12" s="84" t="str">
        <x:v>warning; smoke; loose exterior</x:v>
      </x:c>
      <x:c r="K12" s="84" t="str">
        <x:v>stand-off; safe cell; distributed assets</x:v>
      </x:c>
    </x:row>
  </x:sheetData>
  <x:mergeCells>
    <x:mergeCell ref="A1:K1"/>
    <x:mergeCell ref="A2:K2"/>
  </x:mergeCells>
  <x:conditionalFormatting sqref="H5:H12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d3685f76b3d4ac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2" hidden="0" customWidth="1"/>
    <x:col min="4" max="4" width="30" hidden="0" customWidth="1"/>
    <x:col min="5" max="5" width="20" hidden="0" customWidth="1"/>
    <x:col min="6" max="6" width="28" hidden="0" customWidth="1"/>
    <x:col min="7" max="7" width="34" hidden="0" customWidth="1"/>
    <x:col min="8" max="8" width="28" hidden="0" customWidth="1"/>
  </x:cols>
  <x:sheetData>
    <x:row r="1" ht="30" customHeight="1">
      <x:c r="A1" s="87" t="str">
        <x:v>Food, Water, Cultivation and Husbandry Portfolio</x:v>
      </x:c>
      <x:c r="B1" s="87"/>
      <x:c r="C1" s="87"/>
      <x:c r="D1" s="87"/>
      <x:c r="E1" s="87"/>
      <x:c r="F1" s="87"/>
      <x:c r="G1" s="87"/>
      <x:c r="H1" s="87"/>
    </x:row>
    <x:row r="2" ht="42" customHeight="1">
      <x:c r="A2" s="91" t="str">
        <x:v>Food security comes from uncorrelated routes, preservation and care—not one Hunger refill source.</x:v>
      </x:c>
      <x:c r="B2" s="91"/>
      <x:c r="C2" s="91"/>
      <x:c r="D2" s="91"/>
      <x:c r="E2" s="91"/>
      <x:c r="F2" s="91"/>
      <x:c r="G2" s="91"/>
      <x:c r="H2" s="91"/>
    </x:row>
    <x:row r="4" ht="34" customHeight="1">
      <x:c r="A4" s="100" t="str">
        <x:v>Route/state</x:v>
      </x:c>
      <x:c r="B4" s="101" t="str">
        <x:v>Matter/input</x:v>
      </x:c>
      <x:c r="C4" s="101" t="str">
        <x:v>Tools/infrastructure</x:v>
      </x:c>
      <x:c r="D4" s="101" t="str">
        <x:v>Knowledge/body</x:v>
      </x:c>
      <x:c r="E4" s="101" t="str">
        <x:v>Time pattern</x:v>
      </x:c>
      <x:c r="F4" s="101" t="str">
        <x:v>Output</x:v>
      </x:c>
      <x:c r="G4" s="101" t="str">
        <x:v>Failure/obligation</x:v>
      </x:c>
      <x:c r="H4" s="102" t="str">
        <x:v>Feeds next</x:v>
      </x:c>
    </x:row>
    <x:row r="5">
      <x:c r="A5" s="83" t="str">
        <x:v>Forage</x:v>
      </x:c>
      <x:c r="B5" s="83" t="str">
        <x:v>identified seasonal plant</x:v>
      </x:c>
      <x:c r="C5" s="83" t="str">
        <x:v>basket; cutter; journal</x:v>
      </x:c>
      <x:c r="D5" s="83" t="str">
        <x:v>plant ID; route; restraint</x:v>
      </x:c>
      <x:c r="E5" s="83" t="str">
        <x:v>short active + seasonal</x:v>
      </x:c>
      <x:c r="F5" s="83" t="str">
        <x:v>fresh food; seed/fiber clues</x:v>
      </x:c>
      <x:c r="G5" s="83" t="str">
        <x:v>mis-ID; overharvest; spoilage</x:v>
      </x:c>
      <x:c r="H5" s="83" t="str">
        <x:v>map; garden; medicine hypotheses</x:v>
      </x:c>
    </x:row>
    <x:row r="6">
      <x:c r="A6" s="83" t="str">
        <x:v>Shore harvest</x:v>
      </x:c>
      <x:c r="B6" s="83" t="str">
        <x:v>known shellfish/seaweed</x:v>
      </x:c>
      <x:c r="C6" s="83" t="str">
        <x:v>foot protection; container; heat</x:v>
      </x:c>
      <x:c r="D6" s="83" t="str">
        <x:v>tide; toxin; hygiene</x:v>
      </x:c>
      <x:c r="E6" s="83" t="str">
        <x:v>tide-window</x:v>
      </x:c>
      <x:c r="F6" s="83" t="str">
        <x:v>food/mineral variety</x:v>
      </x:c>
      <x:c r="G6" s="83" t="str">
        <x:v>surf; toxin; contamination</x:v>
      </x:c>
      <x:c r="H6" s="83" t="str">
        <x:v>preservation; reef knowledge</x:v>
      </x:c>
    </x:row>
    <x:row r="7">
      <x:c r="A7" s="83" t="str">
        <x:v>Fish</x:v>
      </x:c>
      <x:c r="B7" s="83" t="str">
        <x:v>bait/lure; line/hook/net/spear</x:v>
      </x:c>
      <x:c r="C7" s="83" t="str">
        <x:v>fiber; point; boat; clean station</x:v>
      </x:c>
      <x:c r="D7" s="83" t="str">
        <x:v>water ecology; tension; recovery</x:v>
      </x:c>
      <x:c r="E7" s="83" t="str">
        <x:v>active window</x:v>
      </x:c>
      <x:c r="F7" s="83" t="str">
        <x:v>protein/fat; oil; skin/bone</x:v>
      </x:c>
      <x:c r="G7" s="83" t="str">
        <x:v>bycatch; spoilage; ghost gear</x:v>
      </x:c>
      <x:c r="H7" s="83" t="str">
        <x:v>preserve; tackle; boat</x:v>
      </x:c>
    </x:row>
    <x:row r="8">
      <x:c r="A8" s="83" t="str">
        <x:v>Hunt/trap</x:v>
      </x:c>
      <x:c r="B8" s="83" t="str">
        <x:v>animal population; weapon/trap</x:v>
      </x:c>
      <x:c r="C8" s="83" t="str">
        <x:v>spear/bow/snare; processing kit</x:v>
      </x:c>
      <x:c r="D8" s="83" t="str">
        <x:v>sign; anatomy; restraint</x:v>
      </x:c>
      <x:c r="E8" s="83" t="str">
        <x:v>long uncertain</x:v>
      </x:c>
      <x:c r="F8" s="83" t="str">
        <x:v>meat; hide; sinew; bone</x:v>
      </x:c>
      <x:c r="G8" s="83" t="str">
        <x:v>wounding; disease; population loss</x:v>
      </x:c>
      <x:c r="H8" s="83" t="str">
        <x:v>clothing; tools; husbandry clue</x:v>
      </x:c>
    </x:row>
    <x:row r="9">
      <x:c r="A9" s="83" t="str">
        <x:v>Seed trial</x:v>
      </x:c>
      <x:c r="B9" s="83" t="str">
        <x:v>seed/cutting/tuber; soil; water</x:v>
      </x:c>
      <x:c r="C9" s="83" t="str">
        <x:v>hoe; nursery; fence</x:v>
      </x:c>
      <x:c r="D9" s="83" t="str">
        <x:v>viability; plant/soil/season</x:v>
      </x:c>
      <x:c r="E9" s="83" t="str">
        <x:v>days–seasons</x:v>
      </x:c>
      <x:c r="F9" s="83" t="str">
        <x:v>food; seed; fiber/fodder</x:v>
      </x:c>
      <x:c r="G9" s="83" t="str">
        <x:v>pest; salt; drought; disease</x:v>
      </x:c>
      <x:c r="H9" s="83" t="str">
        <x:v>garden; feed; soil improvement</x:v>
      </x:c>
    </x:row>
    <x:row r="10">
      <x:c r="A10" s="83" t="str">
        <x:v>Garden portfolio</x:v>
      </x:c>
      <x:c r="B10" s="83" t="str">
        <x:v>diverse seed; compost; irrigation</x:v>
      </x:c>
      <x:c r="C10" s="83" t="str">
        <x:v>beds; tools; store</x:v>
      </x:c>
      <x:c r="D10" s="83" t="str">
        <x:v>rotation; water; preservation</x:v>
      </x:c>
      <x:c r="E10" s="83" t="str">
        <x:v>daily + seasonal</x:v>
      </x:c>
      <x:c r="F10" s="83" t="str">
        <x:v>stable food diversity</x:v>
      </x:c>
      <x:c r="G10" s="83" t="str">
        <x:v>labor/water debt; correlated crop loss</x:v>
      </x:c>
      <x:c r="H10" s="83" t="str">
        <x:v>storm reserve; trade</x:v>
      </x:c>
    </x:row>
    <x:row r="11">
      <x:c r="A11" s="83" t="str">
        <x:v>Animal habituation</x:v>
      </x:c>
      <x:c r="B11" s="83" t="str">
        <x:v>wild/feral individual</x:v>
      </x:c>
      <x:c r="C11" s="83" t="str">
        <x:v>safe distance; feed evidence</x:v>
      </x:c>
      <x:c r="D11" s="83" t="str">
        <x:v>behavior; welfare</x:v>
      </x:c>
      <x:c r="E11" s="83" t="str">
        <x:v>weeks</x:v>
      </x:c>
      <x:c r="F11" s="83" t="str">
        <x:v>closer observation</x:v>
      </x:c>
      <x:c r="G11" s="83" t="str">
        <x:v>dependency; aggression; ecology</x:v>
      </x:c>
      <x:c r="H11" s="83" t="str">
        <x:v>capture decision</x:v>
      </x:c>
    </x:row>
    <x:row r="12">
      <x:c r="A12" s="83" t="str">
        <x:v>Husbandry</x:v>
      </x:c>
      <x:c r="B12" s="83" t="str">
        <x:v>manageable group + reproducible feed/water</x:v>
      </x:c>
      <x:c r="C12" s="83" t="str">
        <x:v>quarantine; enclosure; store</x:v>
      </x:c>
      <x:c r="D12" s="83" t="str">
        <x:v>health; breeding; population</x:v>
      </x:c>
      <x:c r="E12" s="83" t="str">
        <x:v>daily + generations</x:v>
      </x:c>
      <x:c r="F12" s="83" t="str">
        <x:v>food/material/manure/service</x:v>
      </x:c>
      <x:c r="G12" s="83" t="str">
        <x:v>disease; welfare; feed debt; departure</x:v>
      </x:c>
      <x:c r="H12" s="83" t="str">
        <x:v>community institution</x:v>
      </x:c>
    </x:row>
    <x:row r="13">
      <x:c r="A13" s="83" t="str">
        <x:v>Dug well</x:v>
      </x:c>
      <x:c r="B13" s="83" t="str">
        <x:v>groundwater + site</x:v>
      </x:c>
      <x:c r="C13" s="83" t="str">
        <x:v>shoring; lining; lift/pump; drainage</x:v>
      </x:c>
      <x:c r="D13" s="83" t="str">
        <x:v>geology; sanitation</x:v>
      </x:c>
      <x:c r="E13" s="83" t="str">
        <x:v>major project + maintenance</x:v>
      </x:c>
      <x:c r="F13" s="83" t="str">
        <x:v>possible continuity water</x:v>
      </x:c>
      <x:c r="G13" s="83" t="str">
        <x:v>collapse; salt; chemical/microbial contamination</x:v>
      </x:c>
      <x:c r="H13" s="83" t="str">
        <x:v>irrigation; animals; home</x:v>
      </x:c>
    </x:row>
    <x:row r="14">
      <x:c r="A14" s="84" t="str">
        <x:v>Fog/rain continuity</x:v>
      </x:c>
      <x:c r="B14" s="84" t="str">
        <x:v>weather + clean catch surface</x:v>
      </x:c>
      <x:c r="C14" s="84" t="str">
        <x:v>mesh/roof; first flush; cistern</x:v>
      </x:c>
      <x:c r="D14" s="84" t="str">
        <x:v>weather; hygiene</x:v>
      </x:c>
      <x:c r="E14" s="84" t="str">
        <x:v>passive conditional</x:v>
      </x:c>
      <x:c r="F14" s="84" t="str">
        <x:v>stored water</x:v>
      </x:c>
      <x:c r="G14" s="84" t="str">
        <x:v>low yield; contamination; storm damage</x:v>
      </x:c>
      <x:c r="H14" s="84" t="str">
        <x:v>food; fire reserve; sanitation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eec9a467c1b4bfc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4" hidden="0" customWidth="1"/>
    <x:col min="5" max="5" width="34" hidden="0" customWidth="1"/>
    <x:col min="6" max="6" width="28" hidden="0" customWidth="1"/>
    <x:col min="7" max="7" width="28" hidden="0" customWidth="1"/>
    <x:col min="8" max="8" width="28" hidden="0" customWidth="1"/>
    <x:col min="9" max="9" width="30" hidden="0" customWidth="1"/>
  </x:cols>
  <x:sheetData>
    <x:row r="1">
      <x:c r="A1" s="86" t="str">
        <x:v>Diving Growth and Safe Task Window</x:v>
      </x:c>
      <x:c r="B1" s="86"/>
      <x:c r="C1" s="86"/>
      <x:c r="D1" s="86"/>
      <x:c r="E1" s="86"/>
      <x:c r="F1" s="86"/>
      <x:c r="G1" s="86"/>
      <x:c r="H1" s="86"/>
      <x:c r="I1" s="86"/>
    </x:row>
    <x:row r="2">
      <x:c r="A2" s="90" t="str">
        <x:v>Training improves economy, control and judgment. The safe task window remains the minimum of breath, thermal, equalization, control and return reserves.</x:v>
      </x:c>
      <x:c r="B2" s="90"/>
      <x:c r="C2" s="90"/>
      <x:c r="D2" s="90"/>
      <x:c r="E2" s="90"/>
      <x:c r="F2" s="90"/>
      <x:c r="G2" s="90"/>
      <x:c r="H2" s="90"/>
      <x:c r="I2" s="90"/>
    </x:row>
    <x:row r="4">
      <x:c r="A4" s="106" t="str">
        <x:v>Editable reserve input</x:v>
      </x:c>
      <x:c r="B4" s="106" t="str">
        <x:v>Minutes</x:v>
      </x:c>
      <x:c r="C4" s="106" t="str">
        <x:v>Derived output</x:v>
      </x:c>
      <x:c r="D4" s="106" t="str">
        <x:v>Minutes</x:v>
      </x:c>
      <x:c r="E4" s="106" t="str">
        <x:v>Meaning</x:v>
      </x:c>
    </x:row>
    <x:row r="5">
      <x:c r="A5" s="106" t="str">
        <x:v>Breath-limited reserve</x:v>
      </x:c>
      <x:c r="B5" s="107" t="n">
        <x:v>1.6</x:v>
      </x:c>
      <x:c r="C5" s="106" t="str">
        <x:v>Safe useful task window</x:v>
      </x:c>
      <x:c r="D5" s="108" t="n">
        <x:f>MIN(B5:B9)</x:f>
        <x:v>1.2</x:v>
      </x:c>
      <x:c r="E5" s="106" t="str">
        <x:v>Minimum binding reserve</x:v>
      </x:c>
    </x:row>
    <x:row r="6">
      <x:c r="A6" s="106" t="str">
        <x:v>Thermal reserve</x:v>
      </x:c>
      <x:c r="B6" s="107" t="n">
        <x:v>6</x:v>
      </x:c>
      <x:c r="C6" s="106" t="str">
        <x:v>No-return task budget</x:v>
      </x:c>
      <x:c r="D6" s="108" t="n">
        <x:f>MAX(0,D5-B9)</x:f>
        <x:v>0</x:v>
      </x:c>
      <x:c r="E6" s="106" t="str">
        <x:v>Cannot consume return reserve</x:v>
      </x:c>
    </x:row>
    <x:row r="7">
      <x:c r="A7" s="106" t="str">
        <x:v>Equalization/pressure reserve</x:v>
      </x:c>
      <x:c r="B7" s="107" t="n">
        <x:v>3</x:v>
      </x:c>
      <x:c r="C7" s="106" t="str">
        <x:v>Economy improvement seed</x:v>
      </x:c>
      <x:c r="D7" s="108" t="n">
        <x:f>D6*0.15</x:f>
        <x:v>0</x:v>
      </x:c>
      <x:c r="E7" s="106" t="str">
        <x:v>Technique changes usable fraction</x:v>
      </x:c>
    </x:row>
    <x:row r="8">
      <x:c r="A8" s="106" t="str">
        <x:v>Task-control reserve</x:v>
      </x:c>
      <x:c r="B8" s="107" t="n">
        <x:v>2.2</x:v>
      </x:c>
      <x:c r="C8" s="106" t="str">
        <x:v>Blackout safeguard</x:v>
      </x:c>
      <x:c r="D8" s="108" t="n">
        <x:v>0</x:v>
      </x:c>
      <x:c r="E8" s="106" t="str">
        <x:v>Hyperventilation never adds safe time</x:v>
      </x:c>
    </x:row>
    <x:row r="9">
      <x:c r="A9" s="106" t="str">
        <x:v>Return/exit reserve</x:v>
      </x:c>
      <x:c r="B9" s="107" t="n">
        <x:v>1.2</x:v>
      </x:c>
      <x:c r="C9" s="106" t="str">
        <x:v>Recommended posture</x:v>
      </x:c>
      <x:c r="D9" s="108" t="str">
        <x:v>ENGINEER</x:v>
      </x:c>
      <x:c r="E9" s="106" t="str">
        <x:v>Use surface support or shallower method</x:v>
      </x:c>
    </x:row>
    <x:row r="12">
      <x:c r="A12" s="106" t="str">
        <x:v>State</x:v>
      </x:c>
      <x:c r="B12" s="106" t="str">
        <x:v>Human capability</x:v>
      </x:c>
      <x:c r="C12" s="106" t="str">
        <x:v>Equipment</x:v>
      </x:c>
      <x:c r="D12" s="106" t="str">
        <x:v>Useful work</x:v>
      </x:c>
      <x:c r="E12" s="106" t="str">
        <x:v>Growth evidence</x:v>
      </x:c>
      <x:c r="F12" s="106" t="str">
        <x:v>Body candidates</x:v>
      </x:c>
      <x:c r="G12" s="106" t="str">
        <x:v>Primary hazard</x:v>
      </x:c>
      <x:c r="H12" s="106" t="str">
        <x:v>Intelligent alternative</x:v>
      </x:c>
      <x:c r="I12" s="106" t="str">
        <x:v>Qualification</x:v>
      </x:c>
    </x:row>
    <x:row r="13">
      <x:c r="A13" s="106" t="str">
        <x:v>D0</x:v>
      </x:c>
      <x:c r="B13" s="106" t="str">
        <x:v>surf reading / stable footing</x:v>
      </x:c>
      <x:c r="C13" s="106" t="str">
        <x:v>pole; hook; rope</x:v>
      </x:c>
      <x:c r="D13" s="106" t="str">
        <x:v>shore reach</x:v>
      </x:c>
      <x:c r="E13" s="106" t="str">
        <x:v>fewer knockdowns / better timing</x:v>
      </x:c>
      <x:c r="F13" s="106" t="str">
        <x:v>balance; route</x:v>
      </x:c>
      <x:c r="G13" s="106" t="str">
        <x:v>rolling debris / backwash</x:v>
      </x:c>
      <x:c r="H13" s="106" t="str">
        <x:v>wait tide; retrieval line</x:v>
      </x:c>
      <x:c r="I13" s="106" t="str">
        <x:v>recover without swimming</x:v>
      </x:c>
    </x:row>
    <x:row r="14">
      <x:c r="A14" s="106" t="str">
        <x:v>D1</x:v>
      </x:c>
      <x:c r="B14" s="106" t="str">
        <x:v>entry; swim; float; exit</x:v>
      </x:c>
      <x:c r="C14" s="106" t="str">
        <x:v>flotation</x:v>
      </x:c>
      <x:c r="D14" s="106" t="str">
        <x:v>loose nearshore recovery</x:v>
      </x:c>
      <x:c r="E14" s="106" t="str">
        <x:v>same route lower effort</x:v>
      </x:c>
      <x:c r="F14" s="106" t="str">
        <x:v>stroke economy; water confidence</x:v>
      </x:c>
      <x:c r="G14" s="106" t="str">
        <x:v>current / exposure</x:v>
      </x:c>
      <x:c r="H14" s="106" t="str">
        <x:v>boat/pole</x:v>
      </x:c>
      <x:c r="I14" s="106" t="str">
        <x:v>safe entry–exit with reserve</x:v>
      </x:c>
    </x:row>
    <x:row r="15">
      <x:c r="A15" s="106" t="str">
        <x:v>D2</x:v>
      </x:c>
      <x:c r="B15" s="106" t="str">
        <x:v>shallow submersion; equalization</x:v>
      </x:c>
      <x:c r="C15" s="106" t="str">
        <x:v>mask/snorkel/fins if qualified</x:v>
      </x:c>
      <x:c r="D15" s="106" t="str">
        <x:v>lagoon survey</x:v>
      </x:c>
      <x:c r="E15" s="106" t="str">
        <x:v>calmer descent and orientation</x:v>
      </x:c>
      <x:c r="F15" s="106" t="str">
        <x:v>breath control; equalization</x:v>
      </x:c>
      <x:c r="G15" s="106" t="str">
        <x:v>hypoxia / cuts</x:v>
      </x:c>
      <x:c r="H15" s="106" t="str">
        <x:v>surface camera</x:v>
      </x:c>
      <x:c r="I15" s="106" t="str">
        <x:v>marked route and conservative turn</x:v>
      </x:c>
    </x:row>
    <x:row r="16">
      <x:c r="A16" s="106" t="str">
        <x:v>D3</x:v>
      </x:c>
      <x:c r="B16" s="106" t="str">
        <x:v>tended repeated breath-hold</x:v>
      </x:c>
      <x:c r="C16" s="106" t="str">
        <x:v>line; float; tender</x:v>
      </x:c>
      <x:c r="D16" s="106" t="str">
        <x:v>small wreck tasks</x:v>
      </x:c>
      <x:c r="E16" s="106" t="str">
        <x:v>larger return margin / less fixation</x:v>
      </x:c>
      <x:c r="F16" s="106" t="str">
        <x:v>task economy; composure</x:v>
      </x:c>
      <x:c r="G16" s="106" t="str">
        <x:v>entanglement / blackout</x:v>
      </x:c>
      <x:c r="H16" s="106" t="str">
        <x:v>pump/reposition</x:v>
      </x:c>
      <x:c r="I16" s="106" t="str">
        <x:v>signal and recovery drill</x:v>
      </x:c>
    </x:row>
    <x:row r="17">
      <x:c r="A17" s="106" t="str">
        <x:v>D4</x:v>
      </x:c>
      <x:c r="B17" s="106" t="str">
        <x:v>engineering avoids depth</x:v>
      </x:c>
      <x:c r="C17" s="106" t="str">
        <x:v>pump; winch; tow; cofferdam</x:v>
      </x:c>
      <x:c r="D17" s="106" t="str">
        <x:v>drain/reposition</x:v>
      </x:c>
      <x:c r="E17" s="106" t="str">
        <x:v>safer access created</x:v>
      </x:c>
      <x:c r="F17" s="106" t="str">
        <x:v>mechanics; rigging</x:v>
      </x:c>
      <x:c r="G17" s="106" t="str">
        <x:v>shift / flood / crush</x:v>
      </x:c>
      <x:c r="H17" s="106" t="str">
        <x:v>remote survey</x:v>
      </x:c>
      <x:c r="I17" s="106" t="str">
        <x:v>stable transformed worksite</x:v>
      </x:c>
    </x:row>
    <x:row r="18">
      <x:c r="A18" s="106" t="str">
        <x:v>D5</x:v>
      </x:c>
      <x:c r="B18" s="106" t="str">
        <x:v>restored life support</x:v>
      </x:c>
      <x:c r="C18" s="106" t="str">
        <x:v>qualified gas/surface supply</x:v>
      </x:c>
      <x:c r="D18" s="106" t="str">
        <x:v>longer coastal work</x:v>
      </x:c>
      <x:c r="E18" s="106" t="str">
        <x:v>procedural control and maintenance</x:v>
      </x:c>
      <x:c r="F18" s="106" t="str">
        <x:v>equipment skill; fitness</x:v>
      </x:c>
      <x:c r="G18" s="106" t="str">
        <x:v>gas / pressure / overhead</x:v>
      </x:c>
      <x:c r="H18" s="106" t="str">
        <x:v>ROV / exterior work</x:v>
      </x:c>
      <x:c r="I18" s="106" t="str">
        <x:v>full equipment and emergency proof</x:v>
      </x:c>
    </x:row>
    <x:row r="19">
      <x:c r="A19" s="106" t="str">
        <x:v>D6</x:v>
      </x:c>
      <x:c r="B19" s="106" t="str">
        <x:v>remote/deep systems</x:v>
      </x:c>
      <x:c r="C19" s="106" t="str">
        <x:v>camera; sonar; ROV; lift</x:v>
      </x:c>
      <x:c r="D19" s="106" t="str">
        <x:v>deep/anomaly survey</x:v>
      </x:c>
      <x:c r="E19" s="106" t="str">
        <x:v>better interpretation and recovery</x:v>
      </x:c>
      <x:c r="F19" s="106" t="str">
        <x:v>reasoning; marine systems</x:v>
      </x:c>
      <x:c r="G19" s="106" t="str">
        <x:v>cable/power/pressure</x:v>
      </x:c>
      <x:c r="H19" s="106" t="str">
        <x:v>leave target</x:v>
      </x:c>
      <x:c r="I19" s="106" t="str">
        <x:v>recoverable record and safe return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5" hidden="0" customWidth="1"/>
    <x:col min="5" max="5" width="12" hidden="0" customWidth="1"/>
    <x:col min="6" max="6" width="16" hidden="0" customWidth="1"/>
    <x:col min="7" max="7" width="14" hidden="0" customWidth="1"/>
    <x:col min="8" max="8" width="12" hidden="0" customWidth="1"/>
    <x:col min="9" max="9" width="16" hidden="0" customWidth="1"/>
    <x:col min="10" max="10" width="30" hidden="0" customWidth="1"/>
    <x:col min="11" max="11" width="34" hidden="0" customWidth="1"/>
  </x:cols>
  <x:sheetData>
    <x:row r="1" ht="30" customHeight="1">
      <x:c r="A1" s="87" t="str">
        <x:v>Second-Life Offline Eligibility Matrix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42" customHeight="1">
      <x:c r="A2" s="91" t="str">
        <x:v>A prepared routine can continue only when it is commissioned, supplied, bounded and safely stoppable. Novel or irreversible agency waits.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4" ht="34" customHeight="1">
      <x:c r="A4" s="100" t="str">
        <x:v>Process</x:v>
      </x:c>
      <x:c r="B4" s="101" t="str">
        <x:v>Commissioned</x:v>
      </x:c>
      <x:c r="C4" s="101" t="str">
        <x:v>Inputs staged</x:v>
      </x:c>
      <x:c r="D4" s="101" t="str">
        <x:v>Output capacity</x:v>
      </x:c>
      <x:c r="E4" s="101" t="str">
        <x:v>Safe stop</x:v>
      </x:c>
      <x:c r="F4" s="101" t="str">
        <x:v>Hazard permitted</x:v>
      </x:c>
      <x:c r="G4" s="101" t="str">
        <x:v>Novel judgment</x:v>
      </x:c>
      <x:c r="H4" s="101" t="str">
        <x:v>Irreversible</x:v>
      </x:c>
      <x:c r="I4" s="101" t="str">
        <x:v>Eligibility</x:v>
      </x:c>
      <x:c r="J4" s="101" t="str">
        <x:v>Offline resolution</x:v>
      </x:c>
      <x:c r="K4" s="102" t="str">
        <x:v>Return evidence</x:v>
      </x:c>
    </x:row>
    <x:row r="5">
      <x:c r="A5" s="83" t="str">
        <x:v>Fiber/timber drying</x:v>
      </x:c>
      <x:c r="B5" s="109" t="n">
        <x:v>1</x:v>
      </x:c>
      <x:c r="C5" s="109" t="n">
        <x:v>1</x:v>
      </x:c>
      <x:c r="D5" s="109" t="n">
        <x:v>1</x:v>
      </x:c>
      <x:c r="E5" s="109" t="n">
        <x:v>1</x:v>
      </x:c>
      <x:c r="F5" s="109" t="n">
        <x:v>1</x:v>
      </x:c>
      <x:c r="G5" s="109" t="n">
        <x:v>0</x:v>
      </x:c>
      <x:c r="H5" s="109" t="n">
        <x:v>0</x:v>
      </x:c>
      <x:c r="I5" s="111" t="str">
        <x:f>IF(AND(B5=1,C5=1,D5=1,E5=1,F5=1,G5=0,H5=0),"ELIGIBLE","WAIT/STOP")</x:f>
        <x:v>ELIGIBLE</x:v>
      </x:c>
      <x:c r="J5" s="83" t="str">
        <x:v>elapsed until dry/limit</x:v>
      </x:c>
      <x:c r="K5" s="83" t="str">
        <x:v>moisture; mold; rack state</x:v>
      </x:c>
    </x:row>
    <x:row r="6">
      <x:c r="A6" s="83" t="str">
        <x:v>Clay curing</x:v>
      </x:c>
      <x:c r="B6" s="109" t="n">
        <x:v>1</x:v>
      </x:c>
      <x:c r="C6" s="109" t="n">
        <x:v>1</x:v>
      </x:c>
      <x:c r="D6" s="109" t="n">
        <x:v>1</x:v>
      </x:c>
      <x:c r="E6" s="109" t="n">
        <x:v>1</x:v>
      </x:c>
      <x:c r="F6" s="109" t="n">
        <x:v>1</x:v>
      </x:c>
      <x:c r="G6" s="109" t="n">
        <x:v>0</x:v>
      </x:c>
      <x:c r="H6" s="109" t="n">
        <x:v>0</x:v>
      </x:c>
      <x:c r="I6" s="111" t="str">
        <x:f>IF(AND(B6=1,C6=1,D6=1,E6=1,F6=1,G6=0,H6=0),"ELIGIBLE","WAIT/STOP")</x:f>
        <x:v>ELIGIBLE</x:v>
      </x:c>
      <x:c r="J6" s="83" t="str">
        <x:v>elapsed until dry/defect</x:v>
      </x:c>
      <x:c r="K6" s="83" t="str">
        <x:v>crack; warp; readiness</x:v>
      </x:c>
    </x:row>
    <x:row r="7">
      <x:c r="A7" s="83" t="str">
        <x:v>Rain/fog capture</x:v>
      </x:c>
      <x:c r="B7" s="109" t="n">
        <x:v>1</x:v>
      </x:c>
      <x:c r="C7" s="109" t="n">
        <x:v>1</x:v>
      </x:c>
      <x:c r="D7" s="109" t="n">
        <x:v>1</x:v>
      </x:c>
      <x:c r="E7" s="109" t="n">
        <x:v>1</x:v>
      </x:c>
      <x:c r="F7" s="109" t="n">
        <x:v>1</x:v>
      </x:c>
      <x:c r="G7" s="109" t="n">
        <x:v>0</x:v>
      </x:c>
      <x:c r="H7" s="109" t="n">
        <x:v>0</x:v>
      </x:c>
      <x:c r="I7" s="111" t="str">
        <x:f>IF(AND(B7=1,C7=1,D7=1,E7=1,F7=1,G7=0,H7=0),"ELIGIBLE","WAIT/STOP")</x:f>
        <x:v>ELIGIBLE</x:v>
      </x:c>
      <x:c r="J7" s="83" t="str">
        <x:v>capacity/overflow-limited</x:v>
      </x:c>
      <x:c r="K7" s="83" t="str">
        <x:v>stored volume; first-flush state</x:v>
      </x:c>
    </x:row>
    <x:row r="8">
      <x:c r="A8" s="83" t="str">
        <x:v>Seed germination/crop growth</x:v>
      </x:c>
      <x:c r="B8" s="109" t="n">
        <x:v>1</x:v>
      </x:c>
      <x:c r="C8" s="109" t="n">
        <x:v>1</x:v>
      </x:c>
      <x:c r="D8" s="109" t="n">
        <x:v>1</x:v>
      </x:c>
      <x:c r="E8" s="109" t="n">
        <x:v>1</x:v>
      </x:c>
      <x:c r="F8" s="109" t="n">
        <x:v>1</x:v>
      </x:c>
      <x:c r="G8" s="109" t="n">
        <x:v>0</x:v>
      </x:c>
      <x:c r="H8" s="109" t="n">
        <x:v>0</x:v>
      </x:c>
      <x:c r="I8" s="111" t="str">
        <x:f>IF(AND(B8=1,C8=1,D8=1,E8=1,F8=1,G8=0,H8=0),"ELIGIBLE","WAIT/STOP")</x:f>
        <x:v>ELIGIBLE</x:v>
      </x:c>
      <x:c r="J8" s="83" t="str">
        <x:v>water/weather/biology-limited</x:v>
      </x:c>
      <x:c r="K8" s="83" t="str">
        <x:v>growth; wilt; pest cue</x:v>
      </x:c>
    </x:row>
    <x:row r="9">
      <x:c r="A9" s="83" t="str">
        <x:v>Protected solar charging</x:v>
      </x:c>
      <x:c r="B9" s="109" t="n">
        <x:v>1</x:v>
      </x:c>
      <x:c r="C9" s="109" t="n">
        <x:v>1</x:v>
      </x:c>
      <x:c r="D9" s="109" t="n">
        <x:v>1</x:v>
      </x:c>
      <x:c r="E9" s="109" t="n">
        <x:v>1</x:v>
      </x:c>
      <x:c r="F9" s="109" t="n">
        <x:v>1</x:v>
      </x:c>
      <x:c r="G9" s="109" t="n">
        <x:v>0</x:v>
      </x:c>
      <x:c r="H9" s="109" t="n">
        <x:v>0</x:v>
      </x:c>
      <x:c r="I9" s="111" t="str">
        <x:f>IF(AND(B9=1,C9=1,D9=1,E9=1,F9=1,G9=0,H9=0),"ELIGIBLE","WAIT/STOP")</x:f>
        <x:v>ELIGIBLE</x:v>
      </x:c>
      <x:c r="J9" s="83" t="str">
        <x:v>controller/storage-limited</x:v>
      </x:c>
      <x:c r="K9" s="83" t="str">
        <x:v>charge; fault; weather</x:v>
      </x:c>
    </x:row>
    <x:row r="10">
      <x:c r="A10" s="83" t="str">
        <x:v>Animal feed/water routine</x:v>
      </x:c>
      <x:c r="B10" s="109" t="n">
        <x:v>1</x:v>
      </x:c>
      <x:c r="C10" s="109" t="n">
        <x:v>1</x:v>
      </x:c>
      <x:c r="D10" s="109" t="n">
        <x:v>1</x:v>
      </x:c>
      <x:c r="E10" s="109" t="n">
        <x:v>1</x:v>
      </x:c>
      <x:c r="F10" s="109" t="n">
        <x:v>1</x:v>
      </x:c>
      <x:c r="G10" s="109" t="n">
        <x:v>0</x:v>
      </x:c>
      <x:c r="H10" s="109" t="n">
        <x:v>0</x:v>
      </x:c>
      <x:c r="I10" s="111" t="str">
        <x:f>IF(AND(B10=1,C10=1,D10=1,E10=1,F10=1,G10=0,H10=0),"ELIGIBLE","WAIT/STOP")</x:f>
        <x:v>ELIGIBLE</x:v>
      </x:c>
      <x:c r="J10" s="83" t="str">
        <x:v>reserve/welfare-limit</x:v>
      </x:c>
      <x:c r="K10" s="83" t="str">
        <x:v>consumption; behavior; halt</x:v>
      </x:c>
    </x:row>
    <x:row r="11">
      <x:c r="A11" s="83" t="str">
        <x:v>Qualified irrigation</x:v>
      </x:c>
      <x:c r="B11" s="109" t="n">
        <x:v>1</x:v>
      </x:c>
      <x:c r="C11" s="109" t="n">
        <x:v>1</x:v>
      </x:c>
      <x:c r="D11" s="109" t="n">
        <x:v>1</x:v>
      </x:c>
      <x:c r="E11" s="109" t="n">
        <x:v>1</x:v>
      </x:c>
      <x:c r="F11" s="109" t="n">
        <x:v>1</x:v>
      </x:c>
      <x:c r="G11" s="109" t="n">
        <x:v>0</x:v>
      </x:c>
      <x:c r="H11" s="109" t="n">
        <x:v>0</x:v>
      </x:c>
      <x:c r="I11" s="111" t="str">
        <x:f>IF(AND(B11=1,C11=1,D11=1,E11=1,F11=1,G11=0,H11=0),"ELIGIBLE","WAIT/STOP")</x:f>
        <x:v>ELIGIBLE</x:v>
      </x:c>
      <x:c r="J11" s="83" t="str">
        <x:v>reserve and soil limit</x:v>
      </x:c>
      <x:c r="K11" s="83" t="str">
        <x:v>water used; leak/stop</x:v>
      </x:c>
    </x:row>
    <x:row r="12">
      <x:c r="A12" s="83" t="str">
        <x:v>Open campfire</x:v>
      </x:c>
      <x:c r="B12" s="109" t="n">
        <x:v>0</x:v>
      </x:c>
      <x:c r="C12" s="109" t="n">
        <x:v>1</x:v>
      </x:c>
      <x:c r="D12" s="109" t="n">
        <x:v>1</x:v>
      </x:c>
      <x:c r="E12" s="109" t="n">
        <x:v>0</x:v>
      </x:c>
      <x:c r="F12" s="109" t="n">
        <x:v>0</x:v>
      </x:c>
      <x:c r="G12" s="109" t="n">
        <x:v>0</x:v>
      </x:c>
      <x:c r="H12" s="109" t="n">
        <x:v>1</x:v>
      </x:c>
      <x:c r="I12" s="111" t="str">
        <x:f>IF(AND(B12=1,C12=1,D12=1,E12=1,F12=1,G12=0,H12=0),"ELIGIBLE","WAIT/STOP")</x:f>
        <x:v>WAIT/STOP</x:v>
      </x:c>
      <x:c r="J12" s="83" t="str">
        <x:v>never ordinary offline</x:v>
      </x:c>
      <x:c r="K12" s="83" t="str">
        <x:v>waits extinguished</x:v>
      </x:c>
    </x:row>
    <x:row r="13">
      <x:c r="A13" s="83" t="str">
        <x:v>Unknown combination</x:v>
      </x:c>
      <x:c r="B13" s="109" t="n">
        <x:v>0</x:v>
      </x:c>
      <x:c r="C13" s="109" t="n">
        <x:v>1</x:v>
      </x:c>
      <x:c r="D13" s="109" t="n">
        <x:v>1</x:v>
      </x:c>
      <x:c r="E13" s="109" t="n">
        <x:v>0</x:v>
      </x:c>
      <x:c r="F13" s="109" t="n">
        <x:v>0</x:v>
      </x:c>
      <x:c r="G13" s="109" t="n">
        <x:v>1</x:v>
      </x:c>
      <x:c r="H13" s="109" t="n">
        <x:v>1</x:v>
      </x:c>
      <x:c r="I13" s="111" t="str">
        <x:f>IF(AND(B13=1,C13=1,D13=1,E13=1,F13=1,G13=0,H13=0),"ELIGIBLE","WAIT/STOP")</x:f>
        <x:v>WAIT/STOP</x:v>
      </x:c>
      <x:c r="J13" s="83" t="str">
        <x:v>never offline</x:v>
      </x:c>
      <x:c r="K13" s="83" t="str">
        <x:v>materials remain staged</x:v>
      </x:c>
    </x:row>
    <x:row r="14">
      <x:c r="A14" s="83" t="str">
        <x:v>Forge/casting</x:v>
      </x:c>
      <x:c r="B14" s="109" t="n">
        <x:v>0</x:v>
      </x:c>
      <x:c r="C14" s="109" t="n">
        <x:v>1</x:v>
      </x:c>
      <x:c r="D14" s="109" t="n">
        <x:v>1</x:v>
      </x:c>
      <x:c r="E14" s="109" t="n">
        <x:v>0</x:v>
      </x:c>
      <x:c r="F14" s="109" t="n">
        <x:v>0</x:v>
      </x:c>
      <x:c r="G14" s="109" t="n">
        <x:v>0</x:v>
      </x:c>
      <x:c r="H14" s="109" t="n">
        <x:v>1</x:v>
      </x:c>
      <x:c r="I14" s="111" t="str">
        <x:f>IF(AND(B14=1,C14=1,D14=1,E14=1,F14=1,G14=0,H14=0),"ELIGIBLE","WAIT/STOP")</x:f>
        <x:v>WAIT/STOP</x:v>
      </x:c>
      <x:c r="J14" s="83" t="str">
        <x:v>never ordinary offline</x:v>
      </x:c>
      <x:c r="K14" s="83" t="str">
        <x:v>hot work waits</x:v>
      </x:c>
    </x:row>
    <x:row r="15">
      <x:c r="A15" s="83" t="str">
        <x:v>Pressure steam plant</x:v>
      </x:c>
      <x:c r="B15" s="109" t="n">
        <x:v>0</x:v>
      </x:c>
      <x:c r="C15" s="109" t="n">
        <x:v>1</x:v>
      </x:c>
      <x:c r="D15" s="109" t="n">
        <x:v>1</x:v>
      </x:c>
      <x:c r="E15" s="109" t="n">
        <x:v>0</x:v>
      </x:c>
      <x:c r="F15" s="109" t="n">
        <x:v>0</x:v>
      </x:c>
      <x:c r="G15" s="109" t="n">
        <x:v>0</x:v>
      </x:c>
      <x:c r="H15" s="109" t="n">
        <x:v>1</x:v>
      </x:c>
      <x:c r="I15" s="111" t="str">
        <x:f>IF(AND(B15=1,C15=1,D15=1,E15=1,F15=1,G15=0,H15=0),"ELIGIBLE","WAIT/STOP")</x:f>
        <x:v>WAIT/STOP</x:v>
      </x:c>
      <x:c r="J15" s="83" t="str">
        <x:v>staffed institution only</x:v>
      </x:c>
      <x:c r="K15" s="83" t="str">
        <x:v>shutdown/inspection state</x:v>
      </x:c>
    </x:row>
    <x:row r="16">
      <x:c r="A16" s="84" t="str">
        <x:v>Dive/hunt/sea trial</x:v>
      </x:c>
      <x:c r="B16" s="110" t="n">
        <x:v>0</x:v>
      </x:c>
      <x:c r="C16" s="110" t="n">
        <x:v>1</x:v>
      </x:c>
      <x:c r="D16" s="110" t="n">
        <x:v>1</x:v>
      </x:c>
      <x:c r="E16" s="110" t="n">
        <x:v>0</x:v>
      </x:c>
      <x:c r="F16" s="110" t="n">
        <x:v>0</x:v>
      </x:c>
      <x:c r="G16" s="110" t="n">
        <x:v>1</x:v>
      </x:c>
      <x:c r="H16" s="110" t="n">
        <x:v>1</x:v>
      </x:c>
      <x:c r="I16" s="112" t="str">
        <x:f>IF(AND(B16=1,C16=1,D16=1,E16=1,F16=1,G16=0,H16=0),"ELIGIBLE","WAIT/STOP")</x:f>
        <x:v>WAIT/STOP</x:v>
      </x:c>
      <x:c r="J16" s="84" t="str">
        <x:v>never offline</x:v>
      </x:c>
      <x:c r="K16" s="84" t="str">
        <x:v>decision window waits</x:v>
      </x:c>
    </x:row>
  </x:sheetData>
  <x:mergeCells>
    <x:mergeCell ref="A1:K1"/>
    <x:mergeCell ref="A2:K2"/>
  </x:mergeCells>
  <x:conditionalFormatting sqref="I5:I16">
    <x:cfRule type="containsText" dxfId="8" priority="1" operator="containsText" text="WAIT"/>
    <x:cfRule type="containsText" dxfId="9" priority="2" operator="containsText" text="ELIGIBLE"/>
  </x:conditionalFormatting>
  <x:pageMargins left="0.7" right="0.7" top="0.75" bottom="0.75" header="0.3" footer="0.3"/>
  <x:tableParts count="1">
    <x:tablePart xmlns:r="http://schemas.openxmlformats.org/officeDocument/2006/relationships" r:id="Rd88e65b1b1b04fe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70" hidden="0" customWidth="1"/>
    <x:col min="4" max="4" width="54" hidden="0" customWidth="1"/>
  </x:cols>
  <x:sheetData>
    <x:row r="1" ht="30" customHeight="1">
      <x:c r="A1" s="87" t="str">
        <x:v>v2.7 Research Sources</x:v>
      </x:c>
      <x:c r="B1" s="87"/>
      <x:c r="C1" s="87"/>
      <x:c r="D1" s="87"/>
    </x:row>
    <x:row r="2" ht="42" customHeight="1">
      <x:c r="A2" s="91" t="str">
        <x:v>Primary and authoritative sources used to strengthen the Civilization Weave. URLs are plain text for auditability.</x:v>
      </x:c>
      <x:c r="B2" s="91"/>
      <x:c r="C2" s="91"/>
      <x:c r="D2" s="91"/>
    </x:row>
    <x:row r="4" ht="34" customHeight="1">
      <x:c r="A4" s="100" t="str">
        <x:v>Source</x:v>
      </x:c>
      <x:c r="B4" s="101" t="str">
        <x:v>Domain</x:v>
      </x:c>
      <x:c r="C4" s="101" t="str">
        <x:v>URL</x:v>
      </x:c>
      <x:c r="D4" s="102" t="str">
        <x:v>Design use</x:v>
      </x:c>
    </x:row>
    <x:row r="5">
      <x:c r="A5" s="83" t="str">
        <x:v>DOE industrial process heating</x:v>
      </x:c>
      <x:c r="B5" s="83" t="str">
        <x:v>Fire/industry</x:v>
      </x:c>
      <x:c r="C5" s="83" t="str">
        <x:v>https://www.energy.gov/documents/qtr-ch8-process-heating-ta-feb-13-2015pdf</x:v>
      </x:c>
      <x:c r="D5" s="83" t="str">
        <x:v>Heat supports drying, curing and material transformation; conversion has losses</x:v>
      </x:c>
    </x:row>
    <x:row r="6">
      <x:c r="A6" s="83" t="str">
        <x:v>DOE manufacturing steam uses</x:v>
      </x:c>
      <x:c r="B6" s="83" t="str">
        <x:v>Steam/power</x:v>
      </x:c>
      <x:c r="C6" s="83" t="str">
        <x:v>https://www.energy.gov/sites/prod/files/2018/10/f56/2014_mecs_footprint_definitions.pdf</x:v>
      </x:c>
      <x:c r="D6" s="83" t="str">
        <x:v>Steam generation, distribution and end use remain distinct</x:v>
      </x:c>
    </x:row>
    <x:row r="7">
      <x:c r="A7" s="83" t="str">
        <x:v>OSHA pressure vessel standards</x:v>
      </x:c>
      <x:c r="B7" s="83" t="str">
        <x:v>Pressure safety</x:v>
      </x:c>
      <x:c r="C7" s="83" t="str">
        <x:v>https://www.osha.gov/pressure-vessels/standards</x:v>
      </x:c>
      <x:c r="D7" s="83" t="str">
        <x:v>Pressure systems require specialized integrity and safety</x:v>
      </x:c>
    </x:row>
    <x:row r="8">
      <x:c r="A8" s="83" t="str">
        <x:v>OSHA pressure containment hazards</x:v>
      </x:c>
      <x:c r="B8" s="83" t="str">
        <x:v>Pressure safety</x:v>
      </x:c>
      <x:c r="C8" s="83" t="str">
        <x:v>https://www.osha.gov/otm/section-4-safety-hazards/chapter-3</x:v>
      </x:c>
      <x:c r="D8" s="83" t="str">
        <x:v>Leak and rupture consequences justify hard gating</x:v>
      </x:c>
    </x:row>
    <x:row r="9">
      <x:c r="A9" s="83" t="str">
        <x:v>FAO natural fibers</x:v>
      </x:c>
      <x:c r="B9" s="83" t="str">
        <x:v>Fiber</x:v>
      </x:c>
      <x:c r="C9" s="83" t="str">
        <x:v>https://www.fao.org/4/i0709e/i0709e.pdf</x:v>
      </x:c>
      <x:c r="D9" s="83" t="str">
        <x:v>Seed, bast, leaf and husk fibers have varied applications</x:v>
      </x:c>
    </x:row>
    <x:row r="10">
      <x:c r="A10" s="83" t="str">
        <x:v>FAO coir processing</x:v>
      </x:c>
      <x:c r="B10" s="83" t="str">
        <x:v>Fiber</x:v>
      </x:c>
      <x:c r="C10" s="83" t="str">
        <x:v>https://www.fao.org/4/y3612e/y3612e04.htm</x:v>
      </x:c>
      <x:c r="D10" s="83" t="str">
        <x:v>Extraction, retting, drying and grading affect quality and pollution</x:v>
      </x:c>
    </x:row>
    <x:row r="11">
      <x:c r="A11" s="83" t="str">
        <x:v>FAO construction materials</x:v>
      </x:c>
      <x:c r="B11" s="83" t="str">
        <x:v>Fiber/building</x:v>
      </x:c>
      <x:c r="C11" s="83" t="str">
        <x:v>https://www.fao.org/4/i2433e/i2433e02.pdf</x:v>
      </x:c>
      <x:c r="D11" s="83" t="str">
        <x:v>Sisal/coir roles in reinforcement and building products</x:v>
      </x:c>
    </x:row>
    <x:row r="12">
      <x:c r="A12" s="83" t="str">
        <x:v>NOAA derelict vessels</x:v>
      </x:c>
      <x:c r="B12" s="83" t="str">
        <x:v>Salvage</x:v>
      </x:c>
      <x:c r="C12" s="83" t="str">
        <x:v>https://response.restoration.noaa.gov/oil-and-chemical-spills/abandoned-and-derelict-vessels</x:v>
      </x:c>
      <x:c r="D12" s="83" t="str">
        <x:v>Wrecks move, pollute and damage habitat</x:v>
      </x:c>
    </x:row>
    <x:row r="13">
      <x:c r="A13" s="83" t="str">
        <x:v>NTSB investigation safety</x:v>
      </x:c>
      <x:c r="B13" s="83" t="str">
        <x:v>Aircraft salvage</x:v>
      </x:c>
      <x:c r="C13" s="83" t="str">
        <x:v>https://www.ntsb.gov/about/Documents/MajorInvestigationsManualApp.pdf</x:v>
      </x:c>
      <x:c r="D13" s="83" t="str">
        <x:v>Wrecks can contain sharp/heavy objects, fluids and hazardous cargo</x:v>
      </x:c>
    </x:row>
    <x:row r="14">
      <x:c r="A14" s="83" t="str">
        <x:v>EPA hazardous recycling</x:v>
      </x:c>
      <x:c r="B14" s="83" t="str">
        <x:v>Waste/recycling</x:v>
      </x:c>
      <x:c r="C14" s="83" t="str">
        <x:v>https://www.epa.gov/hw/regulatory-exclusions-and-alternative-standards-recycling-materials-solid-wastes-and-hazardous</x:v>
      </x:c>
      <x:c r="D14" s="83" t="str">
        <x:v>Recycling does not erase hazard</x:v>
      </x:c>
    </x:row>
    <x:row r="15">
      <x:c r="A15" s="83" t="str">
        <x:v>NIST disaster-resilient buildings</x:v>
      </x:c>
      <x:c r="B15" s="83" t="str">
        <x:v>Shelter</x:v>
      </x:c>
      <x:c r="C15" s="83" t="str">
        <x:v>https://nvlpubs.nist.gov/nistpubs/TechnicalNotes/NIST.TN.1795.pdf</x:v>
      </x:c>
      <x:c r="D15" s="83" t="str">
        <x:v>Continuous load paths and service performance across hazards</x:v>
      </x:c>
    </x:row>
    <x:row r="16">
      <x:c r="A16" s="83" t="str">
        <x:v>NIST resilience planning</x:v>
      </x:c>
      <x:c r="B16" s="83" t="str">
        <x:v>Shelter</x:v>
      </x:c>
      <x:c r="C16" s="83" t="str">
        <x:v>https://nvlpubs.nist.gov/nistpubs/SpecialPublications/NIST.SP.1190v2.pdf</x:v>
      </x:c>
      <x:c r="D16" s="83" t="str">
        <x:v>Performance and recovery rather than one durability value</x:v>
      </x:c>
    </x:row>
    <x:row r="17">
      <x:c r="A17" s="83" t="str">
        <x:v>NOAA hurricane hazards</x:v>
      </x:c>
      <x:c r="B17" s="83" t="str">
        <x:v>Weather</x:v>
      </x:c>
      <x:c r="C17" s="83" t="str">
        <x:v>https://www.nhc.noaa.gov/prepare/hazards.php</x:v>
      </x:c>
      <x:c r="D17" s="83" t="str">
        <x:v>Wind, rain, surge, rip currents and debris create distinct mechanisms</x:v>
      </x:c>
    </x:row>
    <x:row r="18">
      <x:c r="A18" s="83" t="str">
        <x:v>OSHA heat hazards</x:v>
      </x:c>
      <x:c r="B18" s="83" t="str">
        <x:v>Body/weather</x:v>
      </x:c>
      <x:c r="C18" s="83" t="str">
        <x:v>https://www.osha.gov/heat-exposure/hazards</x:v>
      </x:c>
      <x:c r="D18" s="83" t="str">
        <x:v>Temperature, humidity, sun, wind and workload combine</x:v>
      </x:c>
    </x:row>
    <x:row r="19">
      <x:c r="A19" s="83" t="str">
        <x:v>FAO small-scale poultry</x:v>
      </x:c>
      <x:c r="B19" s="83" t="str">
        <x:v>Husbandry</x:v>
      </x:c>
      <x:c r="C19" s="83" t="str">
        <x:v>https://openknowledge.fao.org/server/api/core/bitstreams/73edfce9-c9a1-4814-b907-d86917967ed3/content</x:v>
      </x:c>
      <x:c r="D19" s="83" t="str">
        <x:v>Feed, water, housing, weather and health interlock</x:v>
      </x:c>
    </x:row>
    <x:row r="20">
      <x:c r="A20" s="83" t="str">
        <x:v>FAO food systems/home gardens</x:v>
      </x:c>
      <x:c r="B20" s="83" t="str">
        <x:v>Cultivation</x:v>
      </x:c>
      <x:c r="C20" s="83" t="str">
        <x:v>https://www.fao.org/4/i3300e/i3300e.pdf</x:v>
      </x:c>
      <x:c r="D20" s="83" t="str">
        <x:v>Diet diversity gains remain constrained by labor and water</x:v>
      </x:c>
    </x:row>
    <x:row r="21">
      <x:c r="A21" s="83" t="str">
        <x:v>WHO drinking-water</x:v>
      </x:c>
      <x:c r="B21" s="83" t="str">
        <x:v>Water/health</x:v>
      </x:c>
      <x:c r="C21" s="83" t="str">
        <x:v>https://www.who.int/news-room/fact-sheets/detail/drinking-water</x:v>
      </x:c>
      <x:c r="D21" s="83" t="str">
        <x:v>Safe water and sanitation prevent disease</x:v>
      </x:c>
    </x:row>
    <x:row r="22">
      <x:c r="A22" s="83" t="str">
        <x:v>WHO microbial fact sheets</x:v>
      </x:c>
      <x:c r="B22" s="83" t="str">
        <x:v>Water/immunity</x:v>
      </x:c>
      <x:c r="C22" s="83" t="str">
        <x:v>https://cdn.who.int/media/docs/default-source/wash-documents/water-safety-and-quality/dwq-guidelines-4/gdwq_4ed_with_third-addenda_microbial-fact-sheets.pdf</x:v>
      </x:c>
      <x:c r="D22" s="83" t="str">
        <x:v>Prior infection may not confer immunity</x:v>
      </x:c>
    </x:row>
    <x:row r="23">
      <x:c r="A23" s="83" t="str">
        <x:v>CDC well-water treatment</x:v>
      </x:c>
      <x:c r="B23" s="83" t="str">
        <x:v>Wells</x:v>
      </x:c>
      <x:c r="C23" s="83" t="str">
        <x:v>https://www.cdc.gov/drinking-water/safety/guidelines-for-treating-well-water.html</x:v>
      </x:c>
      <x:c r="D23" s="83" t="str">
        <x:v>Boiling does not remove chemical contamination</x:v>
      </x:c>
    </x:row>
    <x:row r="24">
      <x:c r="A24" s="83" t="str">
        <x:v>EPA well contaminants</x:v>
      </x:c>
      <x:c r="B24" s="83" t="str">
        <x:v>Wells</x:v>
      </x:c>
      <x:c r="C24" s="83" t="str">
        <x:v>https://www.epa.gov/privatewells/potential-well-water-contaminants-and-their-impacts</x:v>
      </x:c>
      <x:c r="D24" s="83" t="str">
        <x:v>Runoff, waste and natural chemicals can contaminate wells</x:v>
      </x:c>
    </x:row>
    <x:row r="25">
      <x:c r="A25" s="83" t="str">
        <x:v>UNEP fog harvesting</x:v>
      </x:c>
      <x:c r="B25" s="83" t="str">
        <x:v>Atmospheric water</x:v>
      </x:c>
      <x:c r="C25" s="83" t="str">
        <x:v>https://www.unep.org/news-and-stories/story/shortages-mount-countries-hunt-novel-sources-water</x:v>
      </x:c>
      <x:c r="D25" s="83" t="str">
        <x:v>Fine mesh can capture fog droplets where conditions support it</x:v>
      </x:c>
    </x:row>
    <x:row r="26">
      <x:c r="A26" s="83" t="str">
        <x:v>Breath-hold physiology review</x:v>
      </x:c>
      <x:c r="B26" s="83" t="str">
        <x:v>Diving</x:v>
      </x:c>
      <x:c r="C26" s="83" t="str">
        <x:v>https://pmc.ncbi.nlm.nih.gov/articles/PMC8176094/</x:v>
      </x:c>
      <x:c r="D26" s="83" t="str">
        <x:v>Economy, oxygen conservation, pressure and limits interact</x:v>
      </x:c>
    </x:row>
    <x:row r="27">
      <x:c r="A27" s="83" t="str">
        <x:v>DAN hypoxia guidance</x:v>
      </x:c>
      <x:c r="B27" s="83" t="str">
        <x:v>Diving safety</x:v>
      </x:c>
      <x:c r="C27" s="83" t="str">
        <x:v>https://dan.org/alert-diver/article/hypoxia-in-breath-hold-diving/</x:v>
      </x:c>
      <x:c r="D27" s="83" t="str">
        <x:v>Hyperventilation can delay urge without safe oxygen reserve</x:v>
      </x:c>
    </x:row>
    <x:row r="28">
      <x:c r="A28" s="83" t="str">
        <x:v>Animal Crossing real-time interview</x:v>
      </x:c>
      <x:c r="B28" s="83" t="str">
        <x:v>Second-life design</x:v>
      </x:c>
      <x:c r="C28" s="83" t="str">
        <x:v>https://iwataasks.nintendo.com/interviews/3ds/animalcrossing-newleaf/0/1/</x:v>
      </x:c>
      <x:c r="D28" s="83" t="str">
        <x:v>Real-world passage can create attachment and rhythm</x:v>
      </x:c>
    </x:row>
    <x:row r="29">
      <x:c r="A29" s="83" t="str">
        <x:v>Project Zomboid long-term systems</x:v>
      </x:c>
      <x:c r="B29" s="83" t="str">
        <x:v>Game precedent</x:v>
      </x:c>
      <x:c r="C29" s="83" t="str">
        <x:v>https://projectzomboid.com/blog/upcoming-features-b42/</x:v>
      </x:c>
      <x:c r="D29" s="83" t="str">
        <x:v>Settled-life objectives and indefinite community play</x:v>
      </x:c>
    </x:row>
    <x:row r="30">
      <x:c r="A30" s="84" t="str">
        <x:v>Nintendo combination design</x:v>
      </x:c>
      <x:c r="B30" s="84" t="str">
        <x:v>Game precedent</x:v>
      </x:c>
      <x:c r="C30" s="84" t="str">
        <x:v>https://www.nintendo.com/us/whatsnew/ask-the-developer-vol-9-the-legend-of-zelda-tears-of-the-kingdom-part-4/</x:v>
      </x:c>
      <x:c r="D30" s="84" t="str">
        <x:v>Readable object combinations multiply creative play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086cc75701b420f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20" hidden="0" customWidth="1"/>
    <x:col min="3" max="3" width="20" hidden="0" customWidth="1"/>
    <x:col min="4" max="4" width="10" hidden="0" customWidth="1"/>
    <x:col min="5" max="5" width="15" hidden="0" customWidth="1"/>
    <x:col min="6" max="6" width="15" hidden="0" customWidth="1"/>
    <x:col min="7" max="7" width="15" hidden="0" customWidth="1"/>
    <x:col min="8" max="8" width="17.780000686645508" hidden="0" customWidth="1"/>
    <x:col min="9" max="9" width="15.5600004196167" hidden="0" customWidth="1"/>
  </x:cols>
  <x:sheetData>
    <x:row r="1" ht="28" customHeight="1">
      <x:c r="A1" s="118" t="str">
        <x:v>THE FIRST NIGHT v2.8 — Unified Progression Map</x:v>
      </x:c>
      <x:c r="B1" s="118"/>
      <x:c r="C1" s="118"/>
      <x:c r="D1" s="118"/>
      <x:c r="E1" s="118"/>
      <x:c r="F1" s="118"/>
      <x:c r="G1" s="118"/>
      <x:c r="H1" s="118"/>
      <x:c r="I1" s="118"/>
    </x:row>
    <x:row r="2" ht="34" customHeight="1">
      <x:c r="A2" s="122" t="str">
        <x:v>One resolver keeps characteristics, body, condition, skill, knowledge, proof, traits, and world change distinct but connected.</x:v>
      </x:c>
      <x:c r="B2" s="122"/>
      <x:c r="C2" s="122"/>
      <x:c r="D2" s="122"/>
      <x:c r="E2" s="122"/>
      <x:c r="F2" s="122"/>
      <x:c r="G2" s="122"/>
      <x:c r="H2" s="122"/>
      <x:c r="I2" s="122"/>
    </x:row>
    <x:row r="4">
      <x:c r="A4" s="125" t="str">
        <x:v>Seven layers of character capability</x:v>
      </x:c>
      <x:c r="B4" s="125"/>
      <x:c r="C4" s="125"/>
      <x:c r="D4" s="125"/>
      <x:c r="E4" s="125"/>
      <x:c r="F4" s="125"/>
      <x:c r="G4" s="125"/>
      <x:c r="H4" s="125"/>
      <x:c r="I4" s="125"/>
    </x:row>
    <x:row r="5">
      <x:c r="A5" s="132" t="str">
        <x:v>Layer</x:v>
      </x:c>
      <x:c r="B5" s="133" t="str">
        <x:v>Core question</x:v>
      </x:c>
      <x:c r="C5" s="133" t="str">
        <x:v>State form</x:v>
      </x:c>
      <x:c r="D5" s="133" t="str">
        <x:v>Changes through</x:v>
      </x:c>
      <x:c r="E5" s="133" t="str">
        <x:v>Immediate output</x:v>
      </x:c>
      <x:c r="F5" s="133" t="str">
        <x:v>Cannot replace</x:v>
      </x:c>
      <x:c r="G5" s="133" t="str">
        <x:v>Persists after death</x:v>
      </x:c>
      <x:c r="H5" s="133" t="str">
        <x:v>Player view</x:v>
      </x:c>
      <x:c r="I5" s="134" t="str">
        <x:v>Primary audit</x:v>
      </x:c>
    </x:row>
    <x:row r="6">
      <x:c r="A6" s="154" t="str">
        <x:v>Characteristics</x:v>
      </x:c>
      <x:c r="B6" s="155" t="str">
        <x:v>What kind of person is this?</x:v>
      </x:c>
      <x:c r="C6" s="155" t="str">
        <x:v>8 readable 1–10 bands + continuous internals</x:v>
      </x:c>
      <x:c r="D6" s="155" t="str">
        <x:v>life history; slow adaptation; injury; habits</x:v>
      </x:c>
      <x:c r="E6" s="155" t="str">
        <x:v>method preference and performance tendency</x:v>
      </x:c>
      <x:c r="F6" s="155" t="str">
        <x:v>knowledge; tools; proof</x:v>
      </x:c>
      <x:c r="G6" s="155" t="str">
        <x:v>No</x:v>
      </x:c>
      <x:c r="H6" s="155" t="str">
        <x:v>Character</x:v>
      </x:c>
      <x:c r="I6" s="156" t="str">
        <x:v>No recipe/permission unlock</x:v>
      </x:c>
    </x:row>
    <x:row r="7">
      <x:c r="A7" s="157" t="str">
        <x:v>Body capacities</x:v>
      </x:c>
      <x:c r="B7" s="158" t="str">
        <x:v>What can this body sustain/control?</x:v>
      </x:c>
      <x:c r="C7" s="158" t="str">
        <x:v>specific trainable capacities</x:v>
      </x:c>
      <x:c r="D7" s="158" t="str">
        <x:v>specific workload + recovery</x:v>
      </x:c>
      <x:c r="E7" s="158" t="str">
        <x:v>force; pace; balance; breath; steadiness</x:v>
      </x:c>
      <x:c r="F7" s="158" t="str">
        <x:v>condition; technique</x:v>
      </x:c>
      <x:c r="G7" s="158" t="str">
        <x:v>No</x:v>
      </x:c>
      <x:c r="H7" s="158" t="str">
        <x:v>Character / Vitals</x:v>
      </x:c>
      <x:c r="I7" s="159" t="str">
        <x:v>No grind without recovery</x:v>
      </x:c>
    </x:row>
    <x:row r="8">
      <x:c r="A8" s="157" t="str">
        <x:v>Current condition</x:v>
      </x:c>
      <x:c r="B8" s="158" t="str">
        <x:v>What can the person do now?</x:v>
      </x:c>
      <x:c r="C8" s="158" t="str">
        <x:v>readiness and impairments</x:v>
      </x:c>
      <x:c r="D8" s="158" t="str">
        <x:v>work; sleep; food; water; temperature; illness</x:v>
      </x:c>
      <x:c r="E8" s="158" t="str">
        <x:v>present control and safe duration</x:v>
      </x:c>
      <x:c r="F8" s="158" t="str">
        <x:v>long-term capability</x:v>
      </x:c>
      <x:c r="G8" s="158" t="str">
        <x:v>No</x:v>
      </x:c>
      <x:c r="H8" s="158" t="str">
        <x:v>Vitals / embodiment</x:v>
      </x:c>
      <x:c r="I8" s="159" t="str">
        <x:v>Cause-bound changes</x:v>
      </x:c>
    </x:row>
    <x:row r="9">
      <x:c r="A9" s="157" t="str">
        <x:v>Practical skill</x:v>
      </x:c>
      <x:c r="B9" s="158" t="str">
        <x:v>Can the hands control this operation?</x:v>
      </x:c>
      <x:c r="C9" s="158" t="str">
        <x:v>Untried → Teachable by context</x:v>
      </x:c>
      <x:c r="D9" s="158" t="str">
        <x:v>meaningful execution; feedback; variation; retention</x:v>
      </x:c>
      <x:c r="E9" s="158" t="str">
        <x:v>setup; timing; correction; yield</x:v>
      </x:c>
      <x:c r="F9" s="158" t="str">
        <x:v>theory; equipment</x:v>
      </x:c>
      <x:c r="G9" s="158" t="str">
        <x:v>No</x:v>
      </x:c>
      <x:c r="H9" s="158" t="str">
        <x:v>Skills evidence</x:v>
      </x:c>
      <x:c r="I9" s="159" t="str">
        <x:v>Stage needs more than score</x:v>
      </x:c>
    </x:row>
    <x:row r="10">
      <x:c r="A10" s="157" t="str">
        <x:v>Knowledge</x:v>
      </x:c>
      <x:c r="B10" s="158" t="str">
        <x:v>Can the mind explain and predict?</x:v>
      </x:c>
      <x:c r="C10" s="158" t="str">
        <x:v>Observed → Teachable claims</x:v>
      </x:c>
      <x:c r="D10" s="158" t="str">
        <x:v>observation; test; comparison; teaching; study</x:v>
      </x:c>
      <x:c r="E10" s="158" t="str">
        <x:v>planning; diagnosis; hazard prediction</x:v>
      </x:c>
      <x:c r="F10" s="158" t="str">
        <x:v>embodied control</x:v>
      </x:c>
      <x:c r="G10" s="158" t="str">
        <x:v>Only through carriers</x:v>
      </x:c>
      <x:c r="H10" s="158" t="str">
        <x:v>Knowledge evidence</x:v>
      </x:c>
      <x:c r="I10" s="159" t="str">
        <x:v>Claim has source/context</x:v>
      </x:c>
    </x:row>
    <x:row r="11">
      <x:c r="A11" s="157" t="str">
        <x:v>Pattern proof</x:v>
      </x:c>
      <x:c r="B11" s="158" t="str">
        <x:v>Has this architecture survived relevant testing?</x:v>
      </x:c>
      <x:c r="C11" s="158" t="str">
        <x:v>Question → Documented</x:v>
      </x:c>
      <x:c r="D11" s="158" t="str">
        <x:v>prototype; test; varied proof; record</x:v>
      </x:c>
      <x:c r="E11" s="158" t="str">
        <x:v>normal reproduce/adapt option</x:v>
      </x:c>
      <x:c r="F11" s="158" t="str">
        <x:v>operator condition</x:v>
      </x:c>
      <x:c r="G11" s="158" t="str">
        <x:v>Only physical record/object</x:v>
      </x:c>
      <x:c r="H11" s="158" t="str">
        <x:v>Patterns / station</x:v>
      </x:c>
      <x:c r="I11" s="159" t="str">
        <x:v>No menu entry before demonstration</x:v>
      </x:c>
    </x:row>
    <x:row r="12">
      <x:c r="A12" s="160" t="str">
        <x:v>Development traits</x:v>
      </x:c>
      <x:c r="B12" s="161" t="str">
        <x:v>How has this person learned to solve problems?</x:v>
      </x:c>
      <x:c r="C12" s="161" t="str">
        <x:v>earned qualitative constellation</x:v>
      </x:c>
      <x:c r="D12" s="161" t="str">
        <x:v>junction evidence + reflection + choice</x:v>
      </x:c>
      <x:c r="E12" s="161" t="str">
        <x:v>new cue; method; preparation; teaching option</x:v>
      </x:c>
      <x:c r="F12" s="161" t="str">
        <x:v>recipes; matter; immunity</x:v>
      </x:c>
      <x:c r="G12" s="161" t="str">
        <x:v>No</x:v>
      </x:c>
      <x:c r="H12" s="161" t="str">
        <x:v>Constellation</x:v>
      </x:c>
      <x:c r="I12" s="162" t="str">
        <x:v>No generic percentage perk</x:v>
      </x:c>
    </x:row>
    <x:row r="14">
      <x:c r="A14" s="125" t="str">
        <x:v>Capability hypergraph request</x:v>
      </x:c>
      <x:c r="B14" s="125"/>
      <x:c r="C14" s="125"/>
      <x:c r="D14" s="125"/>
      <x:c r="E14" s="125"/>
      <x:c r="F14" s="125"/>
      <x:c r="G14" s="125"/>
      <x:c r="H14" s="125"/>
      <x:c r="I14" s="125"/>
    </x:row>
    <x:row r="15">
      <x:c r="A15" s="132" t="str">
        <x:v>Gate</x:v>
      </x:c>
      <x:c r="B15" s="133" t="str">
        <x:v>Question</x:v>
      </x:c>
      <x:c r="C15" s="133" t="str">
        <x:v>Low-state route</x:v>
      </x:c>
      <x:c r="D15" s="133" t="str">
        <x:v>Blocks silently?</x:v>
      </x:c>
      <x:c r="E15" s="133" t="str">
        <x:v>Typical evidence</x:v>
      </x:c>
      <x:c r="F15" s="133" t="str">
        <x:v>Characteristic emphasis</x:v>
      </x:c>
      <x:c r="G15" s="133" t="str">
        <x:v>Skill emphasis</x:v>
      </x:c>
      <x:c r="H15" s="133" t="str">
        <x:v>Knowledge emphasis</x:v>
      </x:c>
      <x:c r="I15" s="134" t="str">
        <x:v>Proof</x:v>
      </x:c>
    </x:row>
    <x:row r="16">
      <x:c r="A16" s="154" t="str">
        <x:v>Purpose</x:v>
      </x:c>
      <x:c r="B16" s="155" t="str">
        <x:v>What should change?</x:v>
      </x:c>
      <x:c r="C16" s="155" t="str">
        <x:v>inspect need; form Work Question</x:v>
      </x:c>
      <x:c r="D16" s="155" t="str">
        <x:v>No</x:v>
      </x:c>
      <x:c r="E16" s="155" t="str">
        <x:v>need/outcome</x:v>
      </x:c>
      <x:c r="F16" s="155" t="str">
        <x:v>Reasoning</x:v>
      </x:c>
      <x:c r="G16" s="155" t="str">
        <x:v>planning</x:v>
      </x:c>
      <x:c r="H16" s="155" t="str">
        <x:v>function</x:v>
      </x:c>
      <x:c r="I16" s="156" t="str">
        <x:v>test definition</x:v>
      </x:c>
    </x:row>
    <x:row r="17">
      <x:c r="A17" s="157" t="str">
        <x:v>Matter</x:v>
      </x:c>
      <x:c r="B17" s="158" t="str">
        <x:v>Is suitable amount/form/condition present?</x:v>
      </x:c>
      <x:c r="C17" s="158" t="str">
        <x:v>substitute; prepare; reduce scale</x:v>
      </x:c>
      <x:c r="D17" s="158" t="str">
        <x:v>No</x:v>
      </x:c>
      <x:c r="E17" s="158" t="str">
        <x:v>lot/provenance</x:v>
      </x:c>
      <x:c r="F17" s="158" t="str">
        <x:v>Perception</x:v>
      </x:c>
      <x:c r="G17" s="158" t="str">
        <x:v>handling</x:v>
      </x:c>
      <x:c r="H17" s="158" t="str">
        <x:v>properties</x:v>
      </x:c>
      <x:c r="I17" s="159" t="str">
        <x:v>coupon/inspection</x:v>
      </x:c>
    </x:row>
    <x:row r="18">
      <x:c r="A18" s="157" t="str">
        <x:v>Operation</x:v>
      </x:c>
      <x:c r="B18" s="158" t="str">
        <x:v>Can the transformation be expressed?</x:v>
      </x:c>
      <x:c r="C18" s="158" t="str">
        <x:v>observe; study; experiment</x:v>
      </x:c>
      <x:c r="D18" s="158" t="str">
        <x:v>No</x:v>
      </x:c>
      <x:c r="E18" s="158" t="str">
        <x:v>operation hypothesis</x:v>
      </x:c>
      <x:c r="F18" s="158" t="str">
        <x:v>Reasoning</x:v>
      </x:c>
      <x:c r="G18" s="158" t="str">
        <x:v>motif</x:v>
      </x:c>
      <x:c r="H18" s="158" t="str">
        <x:v>causal relation</x:v>
      </x:c>
      <x:c r="I18" s="159" t="str">
        <x:v>phase output</x:v>
      </x:c>
    </x:row>
    <x:row r="19">
      <x:c r="A19" s="157" t="str">
        <x:v>Tool</x:v>
      </x:c>
      <x:c r="B19" s="158" t="str">
        <x:v>Can force/heat/measurement be applied?</x:v>
      </x:c>
      <x:c r="C19" s="158" t="str">
        <x:v>improvise; slower route</x:v>
      </x:c>
      <x:c r="D19" s="158" t="str">
        <x:v>No</x:v>
      </x:c>
      <x:c r="E19" s="158" t="str">
        <x:v>tool condition</x:v>
      </x:c>
      <x:c r="F19" s="158" t="str">
        <x:v>Strength/Dexterity</x:v>
      </x:c>
      <x:c r="G19" s="158" t="str">
        <x:v>tool control</x:v>
      </x:c>
      <x:c r="H19" s="158" t="str">
        <x:v>tool use</x:v>
      </x:c>
      <x:c r="I19" s="159" t="str">
        <x:v>tool qualification</x:v>
      </x:c>
    </x:row>
    <x:row r="20">
      <x:c r="A20" s="157" t="str">
        <x:v>Workspace</x:v>
      </x:c>
      <x:c r="B20" s="158" t="str">
        <x:v>Can matter be held/aligned/cleaned/isolated?</x:v>
      </x:c>
      <x:c r="C20" s="158" t="str">
        <x:v>build module; move; recruit</x:v>
      </x:c>
      <x:c r="D20" s="158" t="str">
        <x:v>No</x:v>
      </x:c>
      <x:c r="E20" s="158" t="str">
        <x:v>module state</x:v>
      </x:c>
      <x:c r="F20" s="158" t="str">
        <x:v>Mobility</x:v>
      </x:c>
      <x:c r="G20" s="158" t="str">
        <x:v>setup</x:v>
      </x:c>
      <x:c r="H20" s="158" t="str">
        <x:v>process boundary</x:v>
      </x:c>
      <x:c r="I20" s="159" t="str">
        <x:v>load/cleanliness test</x:v>
      </x:c>
    </x:row>
    <x:row r="21">
      <x:c r="A21" s="157" t="str">
        <x:v>Body</x:v>
      </x:c>
      <x:c r="B21" s="158" t="str">
        <x:v>Can this person perform safely now?</x:v>
      </x:c>
      <x:c r="C21" s="158" t="str">
        <x:v>rest; split; rig; redesign</x:v>
      </x:c>
      <x:c r="D21" s="158" t="str">
        <x:v>No</x:v>
      </x:c>
      <x:c r="E21" s="158" t="str">
        <x:v>condition</x:v>
      </x:c>
      <x:c r="F21" s="158" t="str">
        <x:v>Strength/Endurance</x:v>
      </x:c>
      <x:c r="G21" s="158" t="str">
        <x:v>pacing</x:v>
      </x:c>
      <x:c r="H21" s="158" t="str">
        <x:v>body warning</x:v>
      </x:c>
      <x:c r="I21" s="159" t="str">
        <x:v>safe completion</x:v>
      </x:c>
    </x:row>
    <x:row r="22">
      <x:c r="A22" s="157" t="str">
        <x:v>Skill</x:v>
      </x:c>
      <x:c r="B22" s="158" t="str">
        <x:v>Can the operation be controlled?</x:v>
      </x:c>
      <x:c r="C22" s="158" t="str">
        <x:v>guide; jig; sample; slow</x:v>
      </x:c>
      <x:c r="D22" s="158" t="str">
        <x:v>No</x:v>
      </x:c>
      <x:c r="E22" s="158" t="str">
        <x:v>retained practice</x:v>
      </x:c>
      <x:c r="F22" s="158" t="str">
        <x:v>Dexterity/Composure</x:v>
      </x:c>
      <x:c r="G22" s="158" t="str">
        <x:v>operation stage</x:v>
      </x:c>
      <x:c r="H22" s="158" t="str">
        <x:v>error model</x:v>
      </x:c>
      <x:c r="I22" s="159" t="str">
        <x:v>reproduction</x:v>
      </x:c>
    </x:row>
    <x:row r="23">
      <x:c r="A23" s="157" t="str">
        <x:v>Knowledge</x:v>
      </x:c>
      <x:c r="B23" s="158" t="str">
        <x:v>Are function/sequence/hazard understood?</x:v>
      </x:c>
      <x:c r="C23" s="158" t="str">
        <x:v>uncertainty; diagnosis</x:v>
      </x:c>
      <x:c r="D23" s="158" t="str">
        <x:v>No</x:v>
      </x:c>
      <x:c r="E23" s="158" t="str">
        <x:v>claim ledger</x:v>
      </x:c>
      <x:c r="F23" s="158" t="str">
        <x:v>Perception/Reasoning</x:v>
      </x:c>
      <x:c r="G23" s="158" t="str">
        <x:v>cue use</x:v>
      </x:c>
      <x:c r="H23" s="158" t="str">
        <x:v>causal model</x:v>
      </x:c>
      <x:c r="I23" s="159" t="str">
        <x:v>prediction test</x:v>
      </x:c>
    </x:row>
    <x:row r="24">
      <x:c r="A24" s="157" t="str">
        <x:v>Environment/time</x:v>
      </x:c>
      <x:c r="B24" s="158" t="str">
        <x:v>Are light/weather/tide/dryness/time adequate?</x:v>
      </x:c>
      <x:c r="C24" s="158" t="str">
        <x:v>wait; protect; relocate</x:v>
      </x:c>
      <x:c r="D24" s="158" t="str">
        <x:v>No</x:v>
      </x:c>
      <x:c r="E24" s="158" t="str">
        <x:v>forecast/site</x:v>
      </x:c>
      <x:c r="F24" s="158" t="str">
        <x:v>Perception/Composure</x:v>
      </x:c>
      <x:c r="G24" s="158" t="str">
        <x:v>adaptation</x:v>
      </x:c>
      <x:c r="H24" s="158" t="str">
        <x:v>environment response</x:v>
      </x:c>
      <x:c r="I24" s="159" t="str">
        <x:v>field proof</x:v>
      </x:c>
    </x:row>
    <x:row r="25">
      <x:c r="A25" s="160" t="str">
        <x:v>Proof</x:v>
      </x:c>
      <x:c r="B25" s="161" t="str">
        <x:v>How will the result be qualified?</x:v>
      </x:c>
      <x:c r="C25" s="161" t="str">
        <x:v>remain provisional</x:v>
      </x:c>
      <x:c r="D25" s="161" t="str">
        <x:v>No</x:v>
      </x:c>
      <x:c r="E25" s="161" t="str">
        <x:v>test plan/outcome</x:v>
      </x:c>
      <x:c r="F25" s="161" t="str">
        <x:v>Reasoning/Composure</x:v>
      </x:c>
      <x:c r="G25" s="161" t="str">
        <x:v>test execution</x:v>
      </x:c>
      <x:c r="H25" s="161" t="str">
        <x:v>limits</x:v>
      </x:c>
      <x:c r="I25" s="162" t="str">
        <x:v>demonstrated/proven</x:v>
      </x:c>
    </x:row>
  </x:sheetData>
  <x:mergeCells>
    <x:mergeCell ref="A1:I1"/>
    <x:mergeCell ref="A2:I2"/>
    <x:mergeCell ref="A4:I4"/>
    <x:mergeCell ref="A14:I14"/>
  </x:mergeCells>
  <x:pageMargins left="0.7" right="0.7" top="0.75" bottom="0.75" header="0.3" footer="0.3"/>
  <x:tableParts count="2">
    <x:tablePart xmlns:r="http://schemas.openxmlformats.org/officeDocument/2006/relationships" r:id="R9976b85387764abe"/>
    <x:tablePart xmlns:r="http://schemas.openxmlformats.org/officeDocument/2006/relationships" r:id="R2934b70150f440e8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8.889999389648438" hidden="0" customWidth="1"/>
    <x:col min="3" max="3" width="21.110000610351562" hidden="0" customWidth="1"/>
    <x:col min="4" max="4" width="21.110000610351562" hidden="0" customWidth="1"/>
    <x:col min="5" max="5" width="17.219999313354492" hidden="0" customWidth="1"/>
    <x:col min="6" max="6" width="17.219999313354492" hidden="0" customWidth="1"/>
    <x:col min="7" max="7" width="19.440000534057617" hidden="0" customWidth="1"/>
    <x:col min="8" max="8" width="21.110000610351562" hidden="0" customWidth="1"/>
    <x:col min="9" max="9" width="18.889999389648438" hidden="0" customWidth="1"/>
    <x:col min="10" max="10" width="19.440000534057617" hidden="0" customWidth="1"/>
  </x:cols>
  <x:sheetData>
    <x:row r="1" ht="28" customHeight="1">
      <x:c r="A1" s="118" t="str">
        <x:v>Eight Characteristic Frame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 ht="34" customHeight="1">
      <x:c r="A2" s="122" t="str">
        <x:v>Fallout-like readability without global levels, Luck, recipe perks, or permission locks. Internal values are continuous; player-facing values use broad 1–10 bands.</x:v>
      </x:c>
      <x:c r="B2" s="122"/>
      <x:c r="C2" s="122"/>
      <x:c r="D2" s="122"/>
      <x:c r="E2" s="122"/>
      <x:c r="F2" s="122"/>
      <x:c r="G2" s="122"/>
      <x:c r="H2" s="122"/>
      <x:c r="I2" s="122"/>
      <x:c r="J2" s="122"/>
    </x:row>
    <x:row r="4">
      <x:c r="A4" s="132" t="str">
        <x:v>Characteristic</x:v>
      </x:c>
      <x:c r="B4" s="133" t="str">
        <x:v>Definition</x:v>
      </x:c>
      <x:c r="C4" s="133" t="str">
        <x:v>Primary derived outputs</x:v>
      </x:c>
      <x:c r="D4" s="133" t="str">
        <x:v>Development route</x:v>
      </x:c>
      <x:c r="E4" s="133" t="str">
        <x:v>Fast suppressors</x:v>
      </x:c>
      <x:c r="F4" s="133" t="str">
        <x:v>Slow losses/changes</x:v>
      </x:c>
      <x:c r="G4" s="133" t="str">
        <x:v>Strong craft contribution</x:v>
      </x:c>
      <x:c r="H4" s="133" t="str">
        <x:v>Weak substitution route</x:v>
      </x:c>
      <x:c r="I4" s="133" t="str">
        <x:v>Cannot replace</x:v>
      </x:c>
      <x:c r="J4" s="134" t="str">
        <x:v>Example traits</x:v>
      </x:c>
    </x:row>
    <x:row r="5">
      <x:c r="A5" s="154" t="str">
        <x:v>Strength</x:v>
      </x:c>
      <x:c r="B5" s="155" t="str">
        <x:v>controllable force and bracing</x:v>
      </x:c>
      <x:c r="C5" s="155" t="str">
        <x:v>lift/hold; heavy-tool stability; short force</x:v>
      </x:c>
      <x:c r="D5" s="155" t="str">
        <x:v>progressive force work + recovery</x:v>
      </x:c>
      <x:c r="E5" s="155" t="str">
        <x:v>pain; fatigue; dehydration</x:v>
      </x:c>
      <x:c r="F5" s="155" t="str">
        <x:v>injury; disuse; malnutrition</x:v>
      </x:c>
      <x:c r="G5" s="155" t="str">
        <x:v>impact; clamping; lifting</x:v>
      </x:c>
      <x:c r="H5" s="155" t="str">
        <x:v>lever; pulley; split load; team</x:v>
      </x:c>
      <x:c r="I5" s="155" t="str">
        <x:v>knowledge; rigging; joint safety</x:v>
      </x:c>
      <x:c r="J5" s="156" t="str">
        <x:v>Controlled Force; Load Sense</x:v>
      </x:c>
    </x:row>
    <x:row r="6">
      <x:c r="A6" s="157" t="str">
        <x:v>Endurance</x:v>
      </x:c>
      <x:c r="B6" s="158" t="str">
        <x:v>sustainable useful output and reserve recovery</x:v>
      </x:c>
      <x:c r="C6" s="158" t="str">
        <x:v>work duration; pace; stamina recovery</x:v>
      </x:c>
      <x:c r="D6" s="158" t="str">
        <x:v>paced labor/walking/swim + recovery</x:v>
      </x:c>
      <x:c r="E6" s="158" t="str">
        <x:v>heat; illness; sleep debt</x:v>
      </x:c>
      <x:c r="F6" s="158" t="str">
        <x:v>disuse; chronic burden</x:v>
      </x:c>
      <x:c r="G6" s="158" t="str">
        <x:v>long cutting; hauling; paddling</x:v>
      </x:c>
      <x:c r="H6" s="158" t="str">
        <x:v>more rests; batching; route change</x:v>
      </x:c>
      <x:c r="I6" s="158" t="str">
        <x:v>water; food; sleep</x:v>
      </x:c>
      <x:c r="J6" s="159" t="str">
        <x:v>Work Rhythm; Reserve Keeper</x:v>
      </x:c>
    </x:row>
    <x:row r="7">
      <x:c r="A7" s="157" t="str">
        <x:v>Mobility</x:v>
      </x:c>
      <x:c r="B7" s="158" t="str">
        <x:v>posture, joint range, acceleration and terrain control</x:v>
      </x:c>
      <x:c r="C7" s="158" t="str">
        <x:v>climb; crouch; uneven-ground movement</x:v>
      </x:c>
      <x:c r="D7" s="158" t="str">
        <x:v>varied safe movement + recovery</x:v>
      </x:c>
      <x:c r="E7" s="158" t="str">
        <x:v>injury; load; cold; fatigue</x:v>
      </x:c>
      <x:c r="F7" s="158" t="str">
        <x:v>scar; disuse; aging</x:v>
      </x:c>
      <x:c r="G7" s="158" t="str">
        <x:v>wreck access; work posture; erection</x:v>
      </x:c>
      <x:c r="H7" s="158" t="str">
        <x:v>platform; handle; hoist; alternate access</x:v>
      </x:c>
      <x:c r="I7" s="158" t="str">
        <x:v>safe footing; anchors</x:v>
      </x:c>
      <x:c r="J7" s="159" t="str">
        <x:v>Sure Foot; Low-Profile Worker</x:v>
      </x:c>
    </x:row>
    <x:row r="8">
      <x:c r="A8" s="157" t="str">
        <x:v>Dexterity</x:v>
      </x:c>
      <x:c r="B8" s="158" t="str">
        <x:v>fine control and bimanual economy</x:v>
      </x:c>
      <x:c r="C8" s="158" t="str">
        <x:v>precision; fit; correction; part preservation</x:v>
      </x:c>
      <x:c r="D8" s="158" t="str">
        <x:v>varied precise work with feedback</x:v>
      </x:c>
      <x:c r="E8" s="158" t="str">
        <x:v>cold hands; pain; stress; fatigue</x:v>
      </x:c>
      <x:c r="F8" s="158" t="str">
        <x:v>nerve/tendon injury; disuse</x:v>
      </x:c>
      <x:c r="G8" s="158" t="str">
        <x:v>knap; knot; sew; fit; calibrate</x:v>
      </x:c>
      <x:c r="H8" s="158" t="str">
        <x:v>jig; guide; larger tolerance; assistance</x:v>
      </x:c>
      <x:c r="I8" s="158" t="str">
        <x:v>material identity; theory</x:v>
      </x:c>
      <x:c r="J8" s="159" t="str">
        <x:v>Soft Hands; Fine Fit</x:v>
      </x:c>
    </x:row>
    <x:row r="9">
      <x:c r="A9" s="157" t="str">
        <x:v>Perception</x:v>
      </x:c>
      <x:c r="B9" s="158" t="str">
        <x:v>detecting state, change, trace and misalignment</x:v>
      </x:c>
      <x:c r="C9" s="158" t="str">
        <x:v>cue detection; inspection; early warning</x:v>
      </x:c>
      <x:c r="D9" s="158" t="str">
        <x:v>comparison; instruments; validated observation</x:v>
      </x:c>
      <x:c r="E9" s="158" t="str">
        <x:v>darkness; noise; stress; illness</x:v>
      </x:c>
      <x:c r="F9" s="158" t="str">
        <x:v>sensory impairment; bias</x:v>
      </x:c>
      <x:c r="G9" s="158" t="str">
        <x:v>material triage; fault cues; weather</x:v>
      </x:c>
      <x:c r="H9" s="158" t="str">
        <x:v>better light; gauge; sample; second observer</x:v>
      </x:c>
      <x:c r="I9" s="158" t="str">
        <x:v>hidden facts without evidence</x:v>
      </x:c>
      <x:c r="J9" s="159" t="str">
        <x:v>Material Eye; Sound Diagnosis</x:v>
      </x:c>
    </x:row>
    <x:row r="10">
      <x:c r="A10" s="157" t="str">
        <x:v>Reasoning</x:v>
      </x:c>
      <x:c r="B10" s="158" t="str">
        <x:v>causal models, sequencing, substitution and diagnosis</x:v>
      </x:c>
      <x:c r="C10" s="158" t="str">
        <x:v>hypothesis quality; planning; fault isolation</x:v>
      </x:c>
      <x:c r="D10" s="158" t="str">
        <x:v>tested models; reconstruction; reflection</x:v>
      </x:c>
      <x:c r="E10" s="158" t="str">
        <x:v>sleep debt; panic; illness</x:v>
      </x:c>
      <x:c r="F10" s="158" t="str">
        <x:v>trauma; cognitive injury; disuse</x:v>
      </x:c>
      <x:c r="G10" s="158" t="str">
        <x:v>system repair; jig design; process planning</x:v>
      </x:c>
      <x:c r="H10" s="158" t="str">
        <x:v>checklist; teacher; manual; proven template</x:v>
      </x:c>
      <x:c r="I10" s="158" t="str">
        <x:v>hand control; force; truth</x:v>
      </x:c>
      <x:c r="J10" s="159" t="str">
        <x:v>Failure Analyst; System Mapper</x:v>
      </x:c>
    </x:row>
    <x:row r="11">
      <x:c r="A11" s="157" t="str">
        <x:v>Composure</x:v>
      </x:c>
      <x:c r="B11" s="158" t="str">
        <x:v>attention and abort discipline under pressure</x:v>
      </x:c>
      <x:c r="C11" s="158" t="str">
        <x:v>control under risk; decision quality; recovery from surprise</x:v>
      </x:c>
      <x:c r="D11" s="158" t="str">
        <x:v>staged exposure; rehearsal; safe success; reflection</x:v>
      </x:c>
      <x:c r="E11" s="158" t="str">
        <x:v>panic; pain; trauma; exhaustion</x:v>
      </x:c>
      <x:c r="F11" s="158" t="str">
        <x:v>unresolved trauma; chronic threat</x:v>
      </x:c>
      <x:c r="G11" s="158" t="str">
        <x:v>hot work; diving; wreck; testing</x:v>
      </x:c>
      <x:c r="H11" s="158" t="str">
        <x:v>remote test; shield; buddy; delay</x:v>
      </x:c>
      <x:c r="I11" s="158" t="str">
        <x:v>fearlessness; immunity</x:v>
      </x:c>
      <x:c r="J11" s="159" t="str">
        <x:v>Abort Discipline; Crisis Sequencing</x:v>
      </x:c>
    </x:row>
    <x:row r="12">
      <x:c r="A12" s="160" t="str">
        <x:v>Rapport</x:v>
      </x:c>
      <x:c r="B12" s="161" t="str">
        <x:v>teaching, trust, care, handling and negotiation</x:v>
      </x:c>
      <x:c r="C12" s="161" t="str">
        <x:v>cooperation; animal response; knowledge transfer</x:v>
      </x:c>
      <x:c r="D12" s="161" t="str">
        <x:v>consistent care; instruction; handoff; repaired trust</x:v>
      </x:c>
      <x:c r="E12" s="161" t="str">
        <x:v>fear; conflict; stress; language gap</x:v>
      </x:c>
      <x:c r="F12" s="161" t="str">
        <x:v>betrayal; isolation; harmful habit</x:v>
      </x:c>
      <x:c r="G12" s="161" t="str">
        <x:v>team lift; teaching; husbandry; trade</x:v>
      </x:c>
      <x:c r="H12" s="161" t="str">
        <x:v>written record; jig; solo method</x:v>
      </x:c>
      <x:c r="I12" s="161" t="str">
        <x:v>mind control; instant taming</x:v>
      </x:c>
      <x:c r="J12" s="162" t="str">
        <x:v>Patient Teacher; Clear Handoff</x:v>
      </x:c>
    </x:row>
    <x:row r="14">
      <x:c r="A14" s="125" t="str">
        <x:v>Seed conversion from continuous simulation to readable band</x:v>
      </x:c>
      <x:c r="B14" s="125"/>
      <x:c r="C14" s="125"/>
      <x:c r="D14" s="125"/>
      <x:c r="E14" s="125"/>
      <x:c r="F14" s="125"/>
      <x:c r="G14" s="125"/>
      <x:c r="H14" s="125"/>
      <x:c r="I14" s="125"/>
      <x:c r="J14" s="125"/>
    </x:row>
    <x:row r="15">
      <x:c r="A15" s="132" t="str">
        <x:v>Continuous value</x:v>
      </x:c>
      <x:c r="B15" s="133" t="str">
        <x:v>Displayed band</x:v>
      </x:c>
      <x:c r="C15" s="133" t="str">
        <x:v>Interpretation</x:v>
      </x:c>
      <x:c r="D15" s="133" t="str">
        <x:v>Not a promise</x:v>
      </x:c>
      <x:c r="E15" s="133" t="str">
        <x:v>Blind proof</x:v>
      </x:c>
      <x:c r="F15" s="134" t="str">
        <x:v>Calibration status</x:v>
      </x:c>
    </x:row>
    <x:row r="16">
      <x:c r="A16" s="163" t="n">
        <x:v>0.1</x:v>
      </x:c>
      <x:c r="B16" s="155" t="n">
        <x:v>1</x:v>
      </x:c>
      <x:c r="C16" s="155" t="str">
        <x:v>severely limited in this characteristic</x:v>
      </x:c>
      <x:c r="D16" s="155" t="str">
        <x:v>incapable person</x:v>
      </x:c>
      <x:c r="E16" s="155" t="str">
        <x:v>specific route/tool/assistance matters</x:v>
      </x:c>
      <x:c r="F16" s="156" t="str">
        <x:v>seed</x:v>
      </x:c>
    </x:row>
    <x:row r="17">
      <x:c r="A17" s="164" t="n">
        <x:v>0.3</x:v>
      </x:c>
      <x:c r="B17" s="158" t="n">
        <x:v>3</x:v>
      </x:c>
      <x:c r="C17" s="158" t="str">
        <x:v>below ordinary current adult tendency</x:v>
      </x:c>
      <x:c r="D17" s="158" t="str">
        <x:v>hard class lock</x:v>
      </x:c>
      <x:c r="E17" s="158" t="str">
        <x:v>same task needs more support</x:v>
      </x:c>
      <x:c r="F17" s="159" t="str">
        <x:v>seed</x:v>
      </x:c>
    </x:row>
    <x:row r="18">
      <x:c r="A18" s="164" t="n">
        <x:v>0.5</x:v>
      </x:c>
      <x:c r="B18" s="158" t="n">
        <x:v>5</x:v>
      </x:c>
      <x:c r="C18" s="158" t="str">
        <x:v>ordinary middle tendency</x:v>
      </x:c>
      <x:c r="D18" s="158" t="str">
        <x:v>average in every sub-capacity</x:v>
      </x:c>
      <x:c r="E18" s="158" t="str">
        <x:v>normal route and feedback</x:v>
      </x:c>
      <x:c r="F18" s="159" t="str">
        <x:v>seed</x:v>
      </x:c>
    </x:row>
    <x:row r="19">
      <x:c r="A19" s="164" t="n">
        <x:v>0.7</x:v>
      </x:c>
      <x:c r="B19" s="158" t="n">
        <x:v>7</x:v>
      </x:c>
      <x:c r="C19" s="158" t="str">
        <x:v>well-developed tendency</x:v>
      </x:c>
      <x:c r="D19" s="158" t="str">
        <x:v>expert technique</x:v>
      </x:c>
      <x:c r="E19" s="158" t="str">
        <x:v>wider safe control envelope</x:v>
      </x:c>
      <x:c r="F19" s="159" t="str">
        <x:v>seed</x:v>
      </x:c>
    </x:row>
    <x:row r="20">
      <x:c r="A20" s="165" t="n">
        <x:v>0.9</x:v>
      </x:c>
      <x:c r="B20" s="161" t="n">
        <x:v>9</x:v>
      </x:c>
      <x:c r="C20" s="161" t="str">
        <x:v>exceptional developed tendency</x:v>
      </x:c>
      <x:c r="D20" s="161" t="str">
        <x:v>superhuman physics</x:v>
      </x:c>
      <x:c r="E20" s="161" t="str">
        <x:v>qualitatively broader method choice</x:v>
      </x:c>
      <x:c r="F20" s="162" t="str">
        <x:v>seed</x:v>
      </x:c>
    </x:row>
  </x:sheetData>
  <x:mergeCells>
    <x:mergeCell ref="A1:J1"/>
    <x:mergeCell ref="A2:J2"/>
    <x:mergeCell ref="A14:J14"/>
  </x:mergeCells>
  <x:pageMargins left="0.7" right="0.7" top="0.75" bottom="0.75" header="0.3" footer="0.3"/>
  <x:tableParts count="1">
    <x:tablePart xmlns:r="http://schemas.openxmlformats.org/officeDocument/2006/relationships" r:id="R009e7644c13049cd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1.110000610351562" hidden="0" customWidth="1"/>
    <x:col min="4" max="4" width="12.220000267028809" hidden="0" customWidth="1"/>
    <x:col min="5" max="5" width="12.220000267028809" hidden="0" customWidth="1"/>
    <x:col min="6" max="6" width="12.779999732971191" hidden="0" customWidth="1"/>
    <x:col min="7" max="7" width="12.220000267028809" hidden="0" customWidth="1"/>
    <x:col min="8" max="8" width="15" hidden="0" customWidth="1"/>
    <x:col min="9" max="9" width="21.110000610351562" hidden="0" customWidth="1"/>
  </x:cols>
  <x:sheetData>
    <x:row r="1" ht="28" customHeight="1">
      <x:c r="A1" s="118" t="str">
        <x:v>Skill Architecture</x:v>
      </x:c>
      <x:c r="B1" s="118"/>
      <x:c r="C1" s="118"/>
      <x:c r="D1" s="118"/>
      <x:c r="E1" s="118"/>
      <x:c r="F1" s="118"/>
      <x:c r="G1" s="118"/>
      <x:c r="H1" s="118"/>
      <x:c r="I1" s="118"/>
    </x:row>
    <x:row r="2" ht="34" customHeight="1">
      <x:c r="A2" s="122" t="str">
        <x:v>Skill records controlled execution by operation and context. A family is a readable folder, not a universal craft level.</x:v>
      </x:c>
      <x:c r="B2" s="122"/>
      <x:c r="C2" s="122"/>
      <x:c r="D2" s="122"/>
      <x:c r="E2" s="122"/>
      <x:c r="F2" s="122"/>
      <x:c r="G2" s="122"/>
      <x:c r="H2" s="122"/>
      <x:c r="I2" s="122"/>
    </x:row>
    <x:row r="4">
      <x:c r="A4" s="132" t="str">
        <x:v>Family</x:v>
      </x:c>
      <x:c r="B4" s="133" t="str">
        <x:v>Technique strands</x:v>
      </x:c>
      <x:c r="C4" s="133" t="str">
        <x:v>Knowledge strands</x:v>
      </x:c>
      <x:c r="D4" s="133" t="str">
        <x:v>Transfer motifs</x:v>
      </x:c>
      <x:c r="E4" s="133" t="str">
        <x:v>Representative proof</x:v>
      </x:c>
      <x:c r="F4" s="133" t="str">
        <x:v>Typical trait links</x:v>
      </x:c>
      <x:c r="G4" s="133" t="str">
        <x:v>Fast suppressors</x:v>
      </x:c>
      <x:c r="H4" s="133" t="str">
        <x:v>Rust sensitivity</x:v>
      </x:c>
      <x:c r="I4" s="134" t="str">
        <x:v>Forbidden shortcut</x:v>
      </x:c>
    </x:row>
    <x:row r="5">
      <x:c r="A5" s="154" t="str">
        <x:v>Body &amp; Movement</x:v>
      </x:c>
      <x:c r="B5" s="155" t="str">
        <x:v>gait; carriage; lifting; climbing; pacing</x:v>
      </x:c>
      <x:c r="C5" s="155" t="str">
        <x:v>routes; pack fit; terrain; body cues</x:v>
      </x:c>
      <x:c r="D5" s="155" t="str">
        <x:v>load control; balance; breath; planning</x:v>
      </x:c>
      <x:c r="E5" s="155" t="str">
        <x:v>same route/load with more reserve</x:v>
      </x:c>
      <x:c r="F5" s="155" t="str">
        <x:v>Strength; Endurance; Mobility</x:v>
      </x:c>
      <x:c r="G5" s="155" t="str">
        <x:v>pain; heat; fatigue; injury</x:v>
      </x:c>
      <x:c r="H5" s="155" t="str">
        <x:v>moderate</x:v>
      </x:c>
      <x:c r="I5" s="156" t="str">
        <x:v>carry-cap number erases bulk/fit</x:v>
      </x:c>
    </x:row>
    <x:row r="6">
      <x:c r="A6" s="157" t="str">
        <x:v>Wood &amp; Structure</x:v>
      </x:c>
      <x:c r="B6" s="158" t="str">
        <x:v>split; hew; bore; join; erect</x:v>
      </x:c>
      <x:c r="C6" s="158" t="str">
        <x:v>timber; load paths; moisture; decay</x:v>
      </x:c>
      <x:c r="D6" s="158" t="str">
        <x:v>edge; impact; fit; tension</x:v>
      </x:c>
      <x:c r="E6" s="158" t="str">
        <x:v>joint/load test across wet/dry</x:v>
      </x:c>
      <x:c r="F6" s="158" t="str">
        <x:v>Strength; Dexterity; Perception</x:v>
      </x:c>
      <x:c r="G6" s="158" t="str">
        <x:v>cold; poor light; dull tool</x:v>
      </x:c>
      <x:c r="H6" s="158" t="str">
        <x:v>moderate</x:v>
      </x:c>
      <x:c r="I6" s="159" t="str">
        <x:v>Carpentry level grants shelter</x:v>
      </x:c>
    </x:row>
    <x:row r="7">
      <x:c r="A7" s="157" t="str">
        <x:v>Stone, Earth &amp; Ceramic</x:v>
      </x:c>
      <x:c r="B7" s="158" t="str">
        <x:v>fracture; dig; form; fire; lay</x:v>
      </x:c>
      <x:c r="C7" s="158" t="str">
        <x:v>geology; soil; drainage; heat history</x:v>
      </x:c>
      <x:c r="D7" s="158" t="str">
        <x:v>impact; heat; sequence; measurement</x:v>
      </x:c>
      <x:c r="E7" s="158" t="str">
        <x:v>edge/pot/wall survives relevant test</x:v>
      </x:c>
      <x:c r="F7" s="158" t="str">
        <x:v>Strength; Dexterity; Reasoning</x:v>
      </x:c>
      <x:c r="G7" s="158" t="str">
        <x:v>dust; heat; fatigue</x:v>
      </x:c>
      <x:c r="H7" s="158" t="str">
        <x:v>low–moderate</x:v>
      </x:c>
      <x:c r="I7" s="159" t="str">
        <x:v>ore icon reveals metallurgy</x:v>
      </x:c>
    </x:row>
    <x:row r="8">
      <x:c r="A8" s="157" t="str">
        <x:v>Fiber &amp; Flexible</x:v>
      </x:c>
      <x:c r="B8" s="158" t="str">
        <x:v>extract; twist; knot; weave; sew; net</x:v>
      </x:c>
      <x:c r="C8" s="158" t="str">
        <x:v>grading; wet behavior; abrasion; cleanliness</x:v>
      </x:c>
      <x:c r="D8" s="158" t="str">
        <x:v>tension; fit; contamination; sequence</x:v>
      </x:c>
      <x:c r="E8" s="158" t="str">
        <x:v>wet/dry load and abrasion test</x:v>
      </x:c>
      <x:c r="F8" s="158" t="str">
        <x:v>Dexterity; Perception; Reasoning</x:v>
      </x:c>
      <x:c r="G8" s="158" t="str">
        <x:v>cold hands; wetness; posture</x:v>
      </x:c>
      <x:c r="H8" s="158" t="str">
        <x:v>high for fine patterns</x:v>
      </x:c>
      <x:c r="I8" s="159" t="str">
        <x:v>Rope level makes bandage sterile</x:v>
      </x:c>
    </x:row>
    <x:row r="9">
      <x:c r="A9" s="157" t="str">
        <x:v>Fire, Food &amp; Heat</x:v>
      </x:c>
      <x:c r="B9" s="158" t="str">
        <x:v>ignite; draft; cook; dry; smoke; hot work</x:v>
      </x:c>
      <x:c r="C9" s="158" t="str">
        <x:v>combustion; safety; preservation; transfer</x:v>
      </x:c>
      <x:c r="D9" s="158" t="str">
        <x:v>heat; flow; timing; contamination</x:v>
      </x:c>
      <x:c r="E9" s="158" t="str">
        <x:v>stable process under changed fuel/weather</x:v>
      </x:c>
      <x:c r="F9" s="158" t="str">
        <x:v>Composure; Perception; Reasoning</x:v>
      </x:c>
      <x:c r="G9" s="158" t="str">
        <x:v>wind; dehydration; distraction</x:v>
      </x:c>
      <x:c r="H9" s="158" t="str">
        <x:v>high for timing</x:v>
      </x:c>
      <x:c r="I9" s="159" t="str">
        <x:v>Fire skill grants pressure steam</x:v>
      </x:c>
    </x:row>
    <x:row r="10">
      <x:c r="A10" s="157" t="str">
        <x:v>Water, Health &amp; Sanitation</x:v>
      </x:c>
      <x:c r="B10" s="158" t="str">
        <x:v>collect; treat; store; monitor; care</x:v>
      </x:c>
      <x:c r="C10" s="158" t="str">
        <x:v>hazards; illness; hygiene; physiology</x:v>
      </x:c>
      <x:c r="D10" s="158" t="str">
        <x:v>flow; contamination; diagnosis; record</x:v>
      </x:c>
      <x:c r="E10" s="158" t="str">
        <x:v>safe lot through storage/outcome</x:v>
      </x:c>
      <x:c r="F10" s="158" t="str">
        <x:v>Perception; Reasoning; Rapport</x:v>
      </x:c>
      <x:c r="G10" s="158" t="str">
        <x:v>illness; poor cleanliness; panic</x:v>
      </x:c>
      <x:c r="H10" s="158" t="str">
        <x:v>high for diagnosis</x:v>
      </x:c>
      <x:c r="I10" s="159" t="str">
        <x:v>boiled always means safe</x:v>
      </x:c>
    </x:row>
    <x:row r="11">
      <x:c r="A11" s="157" t="str">
        <x:v>Nature &amp; Animals</x:v>
      </x:c>
      <x:c r="B11" s="158" t="str">
        <x:v>forage; grow; track; fish; hunt; handle</x:v>
      </x:c>
      <x:c r="C11" s="158" t="str">
        <x:v>species; soil; season; behavior; feed</x:v>
      </x:c>
      <x:c r="D11" s="158" t="str">
        <x:v>observation; timing; planning; care</x:v>
      </x:c>
      <x:c r="E11" s="158" t="str">
        <x:v>repeatable yield/handling without damage</x:v>
      </x:c>
      <x:c r="F11" s="158" t="str">
        <x:v>Perception; Rapport; Composure</x:v>
      </x:c>
      <x:c r="G11" s="158" t="str">
        <x:v>weather; hunger; fear</x:v>
      </x:c>
      <x:c r="H11" s="158" t="str">
        <x:v>seasonal/contextual</x:v>
      </x:c>
      <x:c r="I11" s="159" t="str">
        <x:v>Nature number tames animals</x:v>
      </x:c>
    </x:row>
    <x:row r="12">
      <x:c r="A12" s="157" t="str">
        <x:v>Salvage &amp; Mechanics</x:v>
      </x:c>
      <x:c r="B12" s="158" t="str">
        <x:v>inspect; dismantle; fit; seal; lubricate; rig</x:v>
      </x:c>
      <x:c r="C12" s="158" t="str">
        <x:v>provenance; corrosion; mechanisms; loads</x:v>
      </x:c>
      <x:c r="D12" s="158" t="str">
        <x:v>diagnosis; fit; force; contamination</x:v>
      </x:c>
      <x:c r="E12" s="158" t="str">
        <x:v>restored subsystem survives run/load</x:v>
      </x:c>
      <x:c r="F12" s="158" t="str">
        <x:v>Reasoning; Perception; Dexterity</x:v>
      </x:c>
      <x:c r="G12" s="158" t="str">
        <x:v>rust; dirt; unique-part risk</x:v>
      </x:c>
      <x:c r="H12" s="158" t="str">
        <x:v>high</x:v>
      </x:c>
      <x:c r="I12" s="159" t="str">
        <x:v>mechanic perk fixes any engine</x:v>
      </x:c>
    </x:row>
    <x:row r="13">
      <x:c r="A13" s="157" t="str">
        <x:v>Metal, Power &amp; Instruments</x:v>
      </x:c>
      <x:c r="B13" s="158" t="str">
        <x:v>cold-work; forge; cast; wire; calibrate</x:v>
      </x:c>
      <x:c r="C13" s="158" t="str">
        <x:v>metallurgy; electricity; energy; measurement</x:v>
      </x:c>
      <x:c r="D13" s="158" t="str">
        <x:v>heat; fit; signal; calibration</x:v>
      </x:c>
      <x:c r="E13" s="158" t="str">
        <x:v>coupon + component + integrated proof</x:v>
      </x:c>
      <x:c r="F13" s="158" t="str">
        <x:v>Reasoning; Dexterity; Composure</x:v>
      </x:c>
      <x:c r="G13" s="158" t="str">
        <x:v>heat; fatigue; poor instruments</x:v>
      </x:c>
      <x:c r="H13" s="158" t="str">
        <x:v>high</x:v>
      </x:c>
      <x:c r="I13" s="159" t="str">
        <x:v>bench level grants metal recipes</x:v>
      </x:c>
    </x:row>
    <x:row r="14">
      <x:c r="A14" s="160" t="str">
        <x:v>Sea, Navigation &amp; Society</x:v>
      </x:c>
      <x:c r="B14" s="161" t="str">
        <x:v>swim; dive; seamanship; chart; teach</x:v>
      </x:c>
      <x:c r="C14" s="161" t="str">
        <x:v>weather; current; navigation; communication</x:v>
      </x:c>
      <x:c r="D14" s="161" t="str">
        <x:v>breath; balance; route; handoff</x:v>
      </x:c>
      <x:c r="E14" s="161" t="str">
        <x:v>return margin + successful transfer</x:v>
      </x:c>
      <x:c r="F14" s="161" t="str">
        <x:v>Composure; Rapport; Perception</x:v>
      </x:c>
      <x:c r="G14" s="161" t="str">
        <x:v>cold; panic; absence of evidence</x:v>
      </x:c>
      <x:c r="H14" s="161" t="str">
        <x:v>high</x:v>
      </x:c>
      <x:c r="I14" s="162" t="str">
        <x:v>skill creates oxygen/obedience</x:v>
      </x:c>
    </x:row>
    <x:row r="16">
      <x:c r="A16" s="125" t="str">
        <x:v>Practical skill stages — score alone never advances a stage</x:v>
      </x:c>
      <x:c r="B16" s="125"/>
      <x:c r="C16" s="125"/>
      <x:c r="D16" s="125"/>
      <x:c r="E16" s="125"/>
      <x:c r="F16" s="125"/>
      <x:c r="G16" s="125"/>
      <x:c r="H16" s="125"/>
      <x:c r="I16" s="125"/>
    </x:row>
    <x:row r="17">
      <x:c r="A17" s="132" t="str">
        <x:v>Stage</x:v>
      </x:c>
      <x:c r="B17" s="133" t="str">
        <x:v>Internal score seed</x:v>
      </x:c>
      <x:c r="C17" s="133" t="str">
        <x:v>Execution</x:v>
      </x:c>
      <x:c r="D17" s="133" t="str">
        <x:v>Required reproductions</x:v>
      </x:c>
      <x:c r="E17" s="133" t="str">
        <x:v>Required variations</x:v>
      </x:c>
      <x:c r="F17" s="133" t="str">
        <x:v>Required diagnoses</x:v>
      </x:c>
      <x:c r="G17" s="133" t="str">
        <x:v>Retention</x:v>
      </x:c>
      <x:c r="H17" s="133" t="str">
        <x:v>Typical support</x:v>
      </x:c>
      <x:c r="I17" s="134" t="str">
        <x:v>Player language</x:v>
      </x:c>
    </x:row>
    <x:row r="18">
      <x:c r="A18" s="154" t="str">
        <x:v>Untried</x:v>
      </x:c>
      <x:c r="B18" s="155" t="str">
        <x:v>0–4</x:v>
      </x:c>
      <x:c r="C18" s="155" t="str">
        <x:v>no controlled execution</x:v>
      </x:c>
      <x:c r="D18" s="155" t="n">
        <x:v>0</x:v>
      </x:c>
      <x:c r="E18" s="155" t="n">
        <x:v>0</x:v>
      </x:c>
      <x:c r="F18" s="155" t="n">
        <x:v>0</x:v>
      </x:c>
      <x:c r="G18" s="155" t="str">
        <x:v>none</x:v>
      </x:c>
      <x:c r="H18" s="155" t="str">
        <x:v>demonstration / safe prompt</x:v>
      </x:c>
      <x:c r="I18" s="156" t="str">
        <x:v>Not attempted</x:v>
      </x:c>
    </x:row>
    <x:row r="19">
      <x:c r="A19" s="157" t="str">
        <x:v>Guided</x:v>
      </x:c>
      <x:c r="B19" s="158" t="str">
        <x:v>5–19</x:v>
      </x:c>
      <x:c r="C19" s="158" t="str">
        <x:v>phases with checklist/teacher/jig</x:v>
      </x:c>
      <x:c r="D19" s="158" t="n">
        <x:v>0</x:v>
      </x:c>
      <x:c r="E19" s="158" t="n">
        <x:v>0</x:v>
      </x:c>
      <x:c r="F19" s="158" t="n">
        <x:v>0</x:v>
      </x:c>
      <x:c r="G19" s="158" t="str">
        <x:v>not yet</x:v>
      </x:c>
      <x:c r="H19" s="158" t="str">
        <x:v>high</x:v>
      </x:c>
      <x:c r="I19" s="159" t="str">
        <x:v>Can assist; needs support</x:v>
      </x:c>
    </x:row>
    <x:row r="20">
      <x:c r="A20" s="157" t="str">
        <x:v>Functional</x:v>
      </x:c>
      <x:c r="B20" s="158" t="str">
        <x:v>20–39</x:v>
      </x:c>
      <x:c r="C20" s="158" t="str">
        <x:v>familiar operation in normal context</x:v>
      </x:c>
      <x:c r="D20" s="158" t="n">
        <x:v>1</x:v>
      </x:c>
      <x:c r="E20" s="158" t="n">
        <x:v>0</x:v>
      </x:c>
      <x:c r="F20" s="158" t="n">
        <x:v>0</x:v>
      </x:c>
      <x:c r="G20" s="158" t="str">
        <x:v>short</x:v>
      </x:c>
      <x:c r="H20" s="158" t="str">
        <x:v>moderate</x:v>
      </x:c>
      <x:c r="I20" s="159" t="str">
        <x:v>Can reproduce known work</x:v>
      </x:c>
    </x:row>
    <x:row r="21">
      <x:c r="A21" s="157" t="str">
        <x:v>Reliable</x:v>
      </x:c>
      <x:c r="B21" s="158" t="str">
        <x:v>40–59</x:v>
      </x:c>
      <x:c r="C21" s="158" t="str">
        <x:v>repeatable control; early warning</x:v>
      </x:c>
      <x:c r="D21" s="158" t="n">
        <x:v>3</x:v>
      </x:c>
      <x:c r="E21" s="158" t="n">
        <x:v>1</x:v>
      </x:c>
      <x:c r="F21" s="158" t="n">
        <x:v>1</x:v>
      </x:c>
      <x:c r="G21" s="158" t="str">
        <x:v>later session</x:v>
      </x:c>
      <x:c r="H21" s="158" t="str">
        <x:v>low</x:v>
      </x:c>
      <x:c r="I21" s="159" t="str">
        <x:v>Consistent in known range</x:v>
      </x:c>
    </x:row>
    <x:row r="22">
      <x:c r="A22" s="157" t="str">
        <x:v>Adaptive</x:v>
      </x:c>
      <x:c r="B22" s="158" t="str">
        <x:v>60–79</x:v>
      </x:c>
      <x:c r="C22" s="158" t="str">
        <x:v>method changes across real variation</x:v>
      </x:c>
      <x:c r="D22" s="158" t="n">
        <x:v>5</x:v>
      </x:c>
      <x:c r="E22" s="158" t="n">
        <x:v>3</x:v>
      </x:c>
      <x:c r="F22" s="158" t="n">
        <x:v>2</x:v>
      </x:c>
      <x:c r="G22" s="158" t="str">
        <x:v>passed</x:v>
      </x:c>
      <x:c r="H22" s="158" t="str">
        <x:v>self-directed</x:v>
      </x:c>
      <x:c r="I22" s="159" t="str">
        <x:v>Transfers across changed conditions</x:v>
      </x:c>
    </x:row>
    <x:row r="23">
      <x:c r="A23" s="157" t="str">
        <x:v>Masterful</x:v>
      </x:c>
      <x:c r="B23" s="158" t="str">
        <x:v>80–94</x:v>
      </x:c>
      <x:c r="C23" s="158" t="str">
        <x:v>protects scarce matter; designs fixtures</x:v>
      </x:c>
      <x:c r="D23" s="158" t="n">
        <x:v>8</x:v>
      </x:c>
      <x:c r="E23" s="158" t="n">
        <x:v>5</x:v>
      </x:c>
      <x:c r="F23" s="158" t="n">
        <x:v>4</x:v>
      </x:c>
      <x:c r="G23" s="158" t="str">
        <x:v>strong</x:v>
      </x:c>
      <x:c r="H23" s="158" t="str">
        <x:v>self-directed</x:v>
      </x:c>
      <x:c r="I23" s="159" t="str">
        <x:v>Controls edge cases</x:v>
      </x:c>
    </x:row>
    <x:row r="24">
      <x:c r="A24" s="160" t="str">
        <x:v>Teachable</x:v>
      </x:c>
      <x:c r="B24" s="161" t="str">
        <x:v>95–100</x:v>
      </x:c>
      <x:c r="C24" s="161" t="str">
        <x:v>diagnoses another person and verifies transfer</x:v>
      </x:c>
      <x:c r="D24" s="161" t="n">
        <x:v>10</x:v>
      </x:c>
      <x:c r="E24" s="161" t="n">
        <x:v>6</x:v>
      </x:c>
      <x:c r="F24" s="161" t="n">
        <x:v>5</x:v>
      </x:c>
      <x:c r="G24" s="161" t="str">
        <x:v>strong + learner proof</x:v>
      </x:c>
      <x:c r="H24" s="161" t="str">
        <x:v>teaches</x:v>
      </x:c>
      <x:c r="I24" s="162" t="str">
        <x:v>Can create independent competence</x:v>
      </x:c>
    </x:row>
  </x:sheetData>
  <x:mergeCells>
    <x:mergeCell ref="A1:I1"/>
    <x:mergeCell ref="A2:I2"/>
    <x:mergeCell ref="A16:I16"/>
  </x:mergeCells>
  <x:pageMargins left="0.7" right="0.7" top="0.75" bottom="0.75" header="0.3" footer="0.3"/>
  <x:tableParts count="2">
    <x:tablePart xmlns:r="http://schemas.openxmlformats.org/officeDocument/2006/relationships" r:id="Raee50fd5ba694d7f"/>
    <x:tablePart xmlns:r="http://schemas.openxmlformats.org/officeDocument/2006/relationships" r:id="Rdecf8ee55b554053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109999656677246" hidden="0" customWidth="1"/>
    <x:col min="3" max="3" width="17.219999313354492" hidden="0" customWidth="1"/>
    <x:col min="4" max="4" width="20.559999465942383" hidden="0" customWidth="1"/>
    <x:col min="5" max="5" width="18.329999923706055" hidden="0" customWidth="1"/>
    <x:col min="6" max="6" width="11.670000076293945" hidden="0" customWidth="1"/>
    <x:col min="7" max="7" width="13.329999923706055" hidden="0" customWidth="1"/>
    <x:col min="8" max="8" width="11.670000076293945" hidden="0" customWidth="1"/>
    <x:col min="9" max="9" width="14.4399995803833" hidden="0" customWidth="1"/>
    <x:col min="10" max="10" width="20" hidden="0" customWidth="1"/>
  </x:cols>
  <x:sheetData>
    <x:row r="1" ht="28" customHeight="1">
      <x:c r="A1" s="118" t="str">
        <x:v>Knowledge Ledger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 ht="34" customHeight="1">
      <x:c r="A2" s="122" t="str">
        <x:v>Knowledge is a claim with evidence, contradictions, context limits, predictions, and a physical carrier—not a level or an item pickup.</x:v>
      </x:c>
      <x:c r="B2" s="122"/>
      <x:c r="C2" s="122"/>
      <x:c r="D2" s="122"/>
      <x:c r="E2" s="122"/>
      <x:c r="F2" s="122"/>
      <x:c r="G2" s="122"/>
      <x:c r="H2" s="122"/>
      <x:c r="I2" s="122"/>
      <x:c r="J2" s="122"/>
    </x:row>
    <x:row r="4">
      <x:c r="A4" s="132" t="str">
        <x:v>State</x:v>
      </x:c>
      <x:c r="B4" s="133" t="str">
        <x:v>Authority</x:v>
      </x:c>
      <x:c r="C4" s="133" t="str">
        <x:v>Required evidence</x:v>
      </x:c>
      <x:c r="D4" s="133" t="str">
        <x:v>Context coverage</x:v>
      </x:c>
      <x:c r="E4" s="133" t="str">
        <x:v>What it enables</x:v>
      </x:c>
      <x:c r="F4" s="133" t="str">
        <x:v>Does not enable</x:v>
      </x:c>
      <x:c r="G4" s="133" t="str">
        <x:v>Typical next action</x:v>
      </x:c>
      <x:c r="H4" s="133" t="str">
        <x:v>Survivor wording</x:v>
      </x:c>
      <x:c r="I4" s="133" t="str">
        <x:v>Can be inherited?</x:v>
      </x:c>
      <x:c r="J4" s="134" t="str">
        <x:v>Audit</x:v>
      </x:c>
    </x:row>
    <x:row r="5">
      <x:c r="A5" s="154" t="str">
        <x:v>Observed</x:v>
      </x:c>
      <x:c r="B5" s="155" t="str">
        <x:v>event only</x:v>
      </x:c>
      <x:c r="C5" s="155" t="str">
        <x:v>one trace/event/sample</x:v>
      </x:c>
      <x:c r="D5" s="155" t="str">
        <x:v>exact event</x:v>
      </x:c>
      <x:c r="E5" s="155" t="str">
        <x:v>record and compare</x:v>
      </x:c>
      <x:c r="F5" s="155" t="str">
        <x:v>causal procedure</x:v>
      </x:c>
      <x:c r="G5" s="155" t="str">
        <x:v>preserve sample; repeat</x:v>
      </x:c>
      <x:c r="H5" s="155" t="str">
        <x:v>I saw…</x:v>
      </x:c>
      <x:c r="I5" s="155" t="str">
        <x:v>Yes if carrier exists</x:v>
      </x:c>
      <x:c r="J5" s="156" t="str">
        <x:v>source required</x:v>
      </x:c>
    </x:row>
    <x:row r="6">
      <x:c r="A6" s="157" t="str">
        <x:v>Suspected</x:v>
      </x:c>
      <x:c r="B6" s="158" t="str">
        <x:v>candidate relation</x:v>
      </x:c>
      <x:c r="C6" s="158" t="str">
        <x:v>observation + plausible hypothesis</x:v>
      </x:c>
      <x:c r="D6" s="158" t="str">
        <x:v>narrow</x:v>
      </x:c>
      <x:c r="E6" s="158" t="str">
        <x:v>design discriminating test</x:v>
      </x:c>
      <x:c r="F6" s="158" t="str">
        <x:v>confidence</x:v>
      </x:c>
      <x:c r="G6" s="158" t="str">
        <x:v>change one variable</x:v>
      </x:c>
      <x:c r="H6" s="158" t="str">
        <x:v>It may be because…</x:v>
      </x:c>
      <x:c r="I6" s="158" t="str">
        <x:v>Yes if written</x:v>
      </x:c>
      <x:c r="J6" s="159" t="str">
        <x:v>uncertainty required</x:v>
      </x:c>
    </x:row>
    <x:row r="7">
      <x:c r="A7" s="157" t="str">
        <x:v>Supported</x:v>
      </x:c>
      <x:c r="B7" s="158" t="str">
        <x:v>credible association</x:v>
      </x:c>
      <x:c r="C7" s="158" t="str">
        <x:v>multiple agreeing evidence or strong test</x:v>
      </x:c>
      <x:c r="D7" s="158" t="str">
        <x:v>known contexts</x:v>
      </x:c>
      <x:c r="E7" s="158" t="str">
        <x:v>act cautiously; predict simple result</x:v>
      </x:c>
      <x:c r="F7" s="158" t="str">
        <x:v>generalization</x:v>
      </x:c>
      <x:c r="G7" s="158" t="str">
        <x:v>seek contradiction/variation</x:v>
      </x:c>
      <x:c r="H7" s="158" t="str">
        <x:v>Evidence supports…</x:v>
      </x:c>
      <x:c r="I7" s="158" t="str">
        <x:v>Yes</x:v>
      </x:c>
      <x:c r="J7" s="159" t="str">
        <x:v>counterevidence retained</x:v>
      </x:c>
    </x:row>
    <x:row r="8">
      <x:c r="A8" s="157" t="str">
        <x:v>Understood</x:v>
      </x:c>
      <x:c r="B8" s="158" t="str">
        <x:v>causal model</x:v>
      </x:c>
      <x:c r="C8" s="158" t="str">
        <x:v>prediction passes + cause discriminated</x:v>
      </x:c>
      <x:c r="D8" s="158" t="str">
        <x:v>bounded</x:v>
      </x:c>
      <x:c r="E8" s="158" t="str">
        <x:v>plan sequence/hazard/test</x:v>
      </x:c>
      <x:c r="F8" s="158" t="str">
        <x:v>embodied control</x:v>
      </x:c>
      <x:c r="G8" s="158" t="str">
        <x:v>reproduce and vary</x:v>
      </x:c>
      <x:c r="H8" s="158" t="str">
        <x:v>This works because…</x:v>
      </x:c>
      <x:c r="I8" s="158" t="str">
        <x:v>Yes</x:v>
      </x:c>
      <x:c r="J8" s="159" t="str">
        <x:v>prediction required</x:v>
      </x:c>
    </x:row>
    <x:row r="9">
      <x:c r="A9" s="157" t="str">
        <x:v>Generalized</x:v>
      </x:c>
      <x:c r="B9" s="158" t="str">
        <x:v>transferable principle</x:v>
      </x:c>
      <x:c r="C9" s="158" t="str">
        <x:v>meaningful material/load/environment variation</x:v>
      </x:c>
      <x:c r="D9" s="158" t="str">
        <x:v>broad but explicit</x:v>
      </x:c>
      <x:c r="E9" s="158" t="str">
        <x:v>substitute and adapt</x:v>
      </x:c>
      <x:c r="F9" s="158" t="str">
        <x:v>unlimited scope</x:v>
      </x:c>
      <x:c r="G9" s="158" t="str">
        <x:v>test edge case</x:v>
      </x:c>
      <x:c r="H9" s="158" t="str">
        <x:v>This holds when…</x:v>
      </x:c>
      <x:c r="I9" s="158" t="str">
        <x:v>Yes</x:v>
      </x:c>
      <x:c r="J9" s="159" t="str">
        <x:v>boundaries required</x:v>
      </x:c>
    </x:row>
    <x:row r="10">
      <x:c r="A10" s="160" t="str">
        <x:v>Teachable</x:v>
      </x:c>
      <x:c r="B10" s="161" t="str">
        <x:v>transfer model</x:v>
      </x:c>
      <x:c r="C10" s="161" t="str">
        <x:v>another survivor independently reproduces and diagnoses</x:v>
      </x:c>
      <x:c r="D10" s="161" t="str">
        <x:v>documented</x:v>
      </x:c>
      <x:c r="E10" s="161" t="str">
        <x:v>teach/verify/handoff</x:v>
      </x:c>
      <x:c r="F10" s="161" t="str">
        <x:v>learner's technique</x:v>
      </x:c>
      <x:c r="G10" s="161" t="str">
        <x:v>observe learner and revise</x:v>
      </x:c>
      <x:c r="H10" s="161" t="str">
        <x:v>Another person can learn…</x:v>
      </x:c>
      <x:c r="I10" s="161" t="str">
        <x:v>Yes</x:v>
      </x:c>
      <x:c r="J10" s="162" t="str">
        <x:v>learner proof required</x:v>
      </x:c>
    </x:row>
    <x:row r="12">
      <x:c r="A12" s="125" t="str">
        <x:v>Evidence types and suggested internal reliability seeds</x:v>
      </x:c>
      <x:c r="B12" s="125"/>
      <x:c r="C12" s="125"/>
      <x:c r="D12" s="125"/>
      <x:c r="E12" s="125"/>
      <x:c r="F12" s="125"/>
      <x:c r="G12" s="125"/>
      <x:c r="H12" s="125"/>
      <x:c r="I12" s="125"/>
      <x:c r="J12" s="125"/>
    </x:row>
    <x:row r="13">
      <x:c r="A13" s="132" t="str">
        <x:v>Evidence type</x:v>
      </x:c>
      <x:c r="B13" s="133" t="str">
        <x:v>Base reliability</x:v>
      </x:c>
      <x:c r="C13" s="133" t="str">
        <x:v>Information value</x:v>
      </x:c>
      <x:c r="D13" s="133" t="str">
        <x:v>Common bias/failure</x:v>
      </x:c>
      <x:c r="E13" s="133" t="str">
        <x:v>Needs</x:v>
      </x:c>
      <x:c r="F13" s="133" t="str">
        <x:v>Good for skill?</x:v>
      </x:c>
      <x:c r="G13" s="133" t="str">
        <x:v>Good for knowledge?</x:v>
      </x:c>
      <x:c r="H13" s="133" t="str">
        <x:v>Can contradict?</x:v>
      </x:c>
      <x:c r="I13" s="133" t="str">
        <x:v>Carrier</x:v>
      </x:c>
      <x:c r="J13" s="134" t="str">
        <x:v>Example</x:v>
      </x:c>
    </x:row>
    <x:row r="14">
      <x:c r="A14" s="154" t="str">
        <x:v>direct observation</x:v>
      </x:c>
      <x:c r="B14" s="166" t="n">
        <x:v>0.45</x:v>
      </x:c>
      <x:c r="C14" s="155" t="str">
        <x:v>state/change</x:v>
      </x:c>
      <x:c r="D14" s="155" t="str">
        <x:v>poor light; expectation</x:v>
      </x:c>
      <x:c r="E14" s="155" t="str">
        <x:v>time/place/context</x:v>
      </x:c>
      <x:c r="F14" s="155" t="str">
        <x:v>low</x:v>
      </x:c>
      <x:c r="G14" s="155" t="str">
        <x:v>moderate</x:v>
      </x:c>
      <x:c r="H14" s="155" t="str">
        <x:v>Yes</x:v>
      </x:c>
      <x:c r="I14" s="155" t="str">
        <x:v>note/sample</x:v>
      </x:c>
      <x:c r="J14" s="156" t="str">
        <x:v>binding slipped</x:v>
      </x:c>
    </x:row>
    <x:row r="15">
      <x:c r="A15" s="157" t="str">
        <x:v>comparison</x:v>
      </x:c>
      <x:c r="B15" s="167" t="n">
        <x:v>0.6</x:v>
      </x:c>
      <x:c r="C15" s="158" t="str">
        <x:v>difference</x:v>
      </x:c>
      <x:c r="D15" s="158" t="str">
        <x:v>multiple variables changed</x:v>
      </x:c>
      <x:c r="E15" s="158" t="str">
        <x:v>matched cases</x:v>
      </x:c>
      <x:c r="F15" s="158" t="str">
        <x:v>moderate</x:v>
      </x:c>
      <x:c r="G15" s="158" t="str">
        <x:v>strong</x:v>
      </x:c>
      <x:c r="H15" s="158" t="str">
        <x:v>Yes</x:v>
      </x:c>
      <x:c r="I15" s="158" t="str">
        <x:v>paired objects</x:v>
      </x:c>
      <x:c r="J15" s="159" t="str">
        <x:v>wet vs dry cord</x:v>
      </x:c>
    </x:row>
    <x:row r="16">
      <x:c r="A16" s="157" t="str">
        <x:v>controlled test</x:v>
      </x:c>
      <x:c r="B16" s="167" t="n">
        <x:v>0.8</x:v>
      </x:c>
      <x:c r="C16" s="158" t="str">
        <x:v>causal discrimination</x:v>
      </x:c>
      <x:c r="D16" s="158" t="str">
        <x:v>test too narrow</x:v>
      </x:c>
      <x:c r="E16" s="158" t="str">
        <x:v>defined variable/control</x:v>
      </x:c>
      <x:c r="F16" s="158" t="str">
        <x:v>moderate</x:v>
      </x:c>
      <x:c r="G16" s="158" t="str">
        <x:v>very strong</x:v>
      </x:c>
      <x:c r="H16" s="158" t="str">
        <x:v>Yes</x:v>
      </x:c>
      <x:c r="I16" s="158" t="str">
        <x:v>test record</x:v>
      </x:c>
      <x:c r="J16" s="159" t="str">
        <x:v>two knots same cord</x:v>
      </x:c>
    </x:row>
    <x:row r="17">
      <x:c r="A17" s="157" t="str">
        <x:v>field outcome</x:v>
      </x:c>
      <x:c r="B17" s="167" t="n">
        <x:v>0.7</x:v>
      </x:c>
      <x:c r="C17" s="158" t="str">
        <x:v>real-world validity</x:v>
      </x:c>
      <x:c r="D17" s="158" t="str">
        <x:v>confounders</x:v>
      </x:c>
      <x:c r="E17" s="158" t="str">
        <x:v>duration/context</x:v>
      </x:c>
      <x:c r="F17" s="158" t="str">
        <x:v>strong</x:v>
      </x:c>
      <x:c r="G17" s="158" t="str">
        <x:v>strong</x:v>
      </x:c>
      <x:c r="H17" s="158" t="str">
        <x:v>Yes</x:v>
      </x:c>
      <x:c r="I17" s="158" t="str">
        <x:v>object/wear record</x:v>
      </x:c>
      <x:c r="J17" s="159" t="str">
        <x:v>roof after storm</x:v>
      </x:c>
    </x:row>
    <x:row r="18">
      <x:c r="A18" s="157" t="str">
        <x:v>failure diagnosis</x:v>
      </x:c>
      <x:c r="B18" s="167" t="n">
        <x:v>0.7</x:v>
      </x:c>
      <x:c r="C18" s="158" t="str">
        <x:v>cause and boundary</x:v>
      </x:c>
      <x:c r="D18" s="158" t="str">
        <x:v>post-hoc story</x:v>
      </x:c>
      <x:c r="E18" s="158" t="str">
        <x:v>inspection/alternative causes</x:v>
      </x:c>
      <x:c r="F18" s="158" t="str">
        <x:v>strong</x:v>
      </x:c>
      <x:c r="G18" s="158" t="str">
        <x:v>very strong</x:v>
      </x:c>
      <x:c r="H18" s="158" t="str">
        <x:v>Yes</x:v>
      </x:c>
      <x:c r="I18" s="158" t="str">
        <x:v>failed object</x:v>
      </x:c>
      <x:c r="J18" s="159" t="str">
        <x:v>haft moved, fiber intact</x:v>
      </x:c>
    </x:row>
    <x:row r="19">
      <x:c r="A19" s="157" t="str">
        <x:v>manual/reference</x:v>
      </x:c>
      <x:c r="B19" s="167" t="n">
        <x:v>0.55</x:v>
      </x:c>
      <x:c r="C19" s="158" t="str">
        <x:v>principle/procedure clue</x:v>
      </x:c>
      <x:c r="D19" s="158" t="str">
        <x:v>wrong model/context</x:v>
      </x:c>
      <x:c r="E19" s="158" t="str">
        <x:v>interpretation/provenance</x:v>
      </x:c>
      <x:c r="F19" s="158" t="str">
        <x:v>low</x:v>
      </x:c>
      <x:c r="G19" s="158" t="str">
        <x:v>strong</x:v>
      </x:c>
      <x:c r="H19" s="158" t="str">
        <x:v>Yes</x:v>
      </x:c>
      <x:c r="I19" s="158" t="str">
        <x:v>physical manual</x:v>
      </x:c>
      <x:c r="J19" s="159" t="str">
        <x:v>engine cooling diagram</x:v>
      </x:c>
    </x:row>
    <x:row r="20">
      <x:c r="A20" s="157" t="str">
        <x:v>teacher demonstration</x:v>
      </x:c>
      <x:c r="B20" s="167" t="n">
        <x:v>0.65</x:v>
      </x:c>
      <x:c r="C20" s="158" t="str">
        <x:v>procedure and cues</x:v>
      </x:c>
      <x:c r="D20" s="158" t="str">
        <x:v>authority error</x:v>
      </x:c>
      <x:c r="E20" s="158" t="str">
        <x:v>observation/questions</x:v>
      </x:c>
      <x:c r="F20" s="158" t="str">
        <x:v>moderate</x:v>
      </x:c>
      <x:c r="G20" s="158" t="str">
        <x:v>strong</x:v>
      </x:c>
      <x:c r="H20" s="158" t="str">
        <x:v>Yes</x:v>
      </x:c>
      <x:c r="I20" s="158" t="str">
        <x:v>lesson record</x:v>
      </x:c>
      <x:c r="J20" s="159" t="str">
        <x:v>mentor dresses knot</x:v>
      </x:c>
    </x:row>
    <x:row r="21">
      <x:c r="A21" s="157" t="str">
        <x:v>instrument measure</x:v>
      </x:c>
      <x:c r="B21" s="167" t="n">
        <x:v>0.85</x:v>
      </x:c>
      <x:c r="C21" s="158" t="str">
        <x:v>quantified state</x:v>
      </x:c>
      <x:c r="D21" s="158" t="str">
        <x:v>bad calibration</x:v>
      </x:c>
      <x:c r="E21" s="158" t="str">
        <x:v>qualified instrument</x:v>
      </x:c>
      <x:c r="F21" s="158" t="str">
        <x:v>moderate</x:v>
      </x:c>
      <x:c r="G21" s="158" t="str">
        <x:v>very strong</x:v>
      </x:c>
      <x:c r="H21" s="158" t="str">
        <x:v>Yes</x:v>
      </x:c>
      <x:c r="I21" s="158" t="str">
        <x:v>log/gauge</x:v>
      </x:c>
      <x:c r="J21" s="159" t="str">
        <x:v>voltage under load</x:v>
      </x:c>
    </x:row>
    <x:row r="22">
      <x:c r="A22" s="157" t="str">
        <x:v>destructive proof</x:v>
      </x:c>
      <x:c r="B22" s="167" t="n">
        <x:v>0.9</x:v>
      </x:c>
      <x:c r="C22" s="158" t="str">
        <x:v>limit/failure mode</x:v>
      </x:c>
      <x:c r="D22" s="158" t="str">
        <x:v>sample unrepresentative</x:v>
      </x:c>
      <x:c r="E22" s="158" t="str">
        <x:v>sacrificial article</x:v>
      </x:c>
      <x:c r="F22" s="158" t="str">
        <x:v>strong</x:v>
      </x:c>
      <x:c r="G22" s="158" t="str">
        <x:v>very strong</x:v>
      </x:c>
      <x:c r="H22" s="158" t="str">
        <x:v>Yes</x:v>
      </x:c>
      <x:c r="I22" s="158" t="str">
        <x:v>coupon/fragments</x:v>
      </x:c>
      <x:c r="J22" s="159" t="str">
        <x:v>joint to failure</x:v>
      </x:c>
    </x:row>
    <x:row r="23">
      <x:c r="A23" s="160" t="str">
        <x:v>contradictory result</x:v>
      </x:c>
      <x:c r="B23" s="168" t="n">
        <x:v>0.7</x:v>
      </x:c>
      <x:c r="C23" s="161" t="str">
        <x:v>boundary/correction</x:v>
      </x:c>
      <x:c r="D23" s="161" t="str">
        <x:v>uncontrolled difference</x:v>
      </x:c>
      <x:c r="E23" s="161" t="str">
        <x:v>diagnosis</x:v>
      </x:c>
      <x:c r="F23" s="161" t="str">
        <x:v>moderate</x:v>
      </x:c>
      <x:c r="G23" s="161" t="str">
        <x:v>very strong</x:v>
      </x:c>
      <x:c r="H23" s="161" t="str">
        <x:v>Yes</x:v>
      </x:c>
      <x:c r="I23" s="161" t="str">
        <x:v>all carriers</x:v>
      </x:c>
      <x:c r="J23" s="162" t="str">
        <x:v>same seal fails cold</x:v>
      </x:c>
    </x:row>
  </x:sheetData>
  <x:mergeCells>
    <x:mergeCell ref="A1:J1"/>
    <x:mergeCell ref="A2:J2"/>
    <x:mergeCell ref="A12:J12"/>
  </x:mergeCells>
  <x:pageMargins left="0.7" right="0.7" top="0.75" bottom="0.75" header="0.3" footer="0.3"/>
  <x:tableParts count="2">
    <x:tablePart xmlns:r="http://schemas.openxmlformats.org/officeDocument/2006/relationships" r:id="Ra4e8de9a959d47ae"/>
    <x:tablePart xmlns:r="http://schemas.openxmlformats.org/officeDocument/2006/relationships" r:id="R627f9be739cb4e5f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6.110000610351562" hidden="0" customWidth="1"/>
    <x:col min="3" max="3" width="18.329999923706055" hidden="0" customWidth="1"/>
    <x:col min="4" max="4" width="19.440000534057617" hidden="0" customWidth="1"/>
    <x:col min="5" max="5" width="21.110000610351562" hidden="0" customWidth="1"/>
    <x:col min="6" max="6" width="23.329999923706055" hidden="0" customWidth="1"/>
    <x:col min="7" max="7" width="18.889999389648438" hidden="0" customWidth="1"/>
    <x:col min="8" max="8" width="18.889999389648438" hidden="0" customWidth="1"/>
    <x:col min="9" max="9" width="13.329999923706055" hidden="0" customWidth="1"/>
    <x:col min="10" max="10" width="10" hidden="0" customWidth="1"/>
  </x:cols>
  <x:sheetData>
    <x:row r="1" ht="28" customHeight="1">
      <x:c r="A1" s="118" t="str">
        <x:v>Development Trait Constellation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 ht="34" customHeight="1">
      <x:c r="A2" s="122" t="str">
        <x:v>Thirty-two Fallout-like identity choices, earned by evidence junctions rather than global perk points. Effects add methods, cues, preparation, or teaching—not recipes or flat universal bonuses.</x:v>
      </x:c>
      <x:c r="B2" s="122"/>
      <x:c r="C2" s="122"/>
      <x:c r="D2" s="122"/>
      <x:c r="E2" s="122"/>
      <x:c r="F2" s="122"/>
      <x:c r="G2" s="122"/>
      <x:c r="H2" s="122"/>
      <x:c r="I2" s="122"/>
      <x:c r="J2" s="122"/>
    </x:row>
    <x:row r="4">
      <x:c r="A4" s="132" t="str">
        <x:v>Characteristic</x:v>
      </x:c>
      <x:c r="B4" s="133" t="str">
        <x:v>Trait</x:v>
      </x:c>
      <x:c r="C4" s="133" t="str">
        <x:v>Technique gate</x:v>
      </x:c>
      <x:c r="D4" s="133" t="str">
        <x:v>Knowledge gate</x:v>
      </x:c>
      <x:c r="E4" s="133" t="str">
        <x:v>Proof/junction</x:v>
      </x:c>
      <x:c r="F4" s="133" t="str">
        <x:v>Choice effect</x:v>
      </x:c>
      <x:c r="G4" s="133" t="str">
        <x:v>Felt signal</x:v>
      </x:c>
      <x:c r="H4" s="133" t="str">
        <x:v>Cannot do</x:v>
      </x:c>
      <x:c r="I4" s="133" t="str">
        <x:v>Successor inheritance</x:v>
      </x:c>
      <x:c r="J4" s="134" t="str">
        <x:v>Prototype priority</x:v>
      </x:c>
    </x:row>
    <x:row r="5">
      <x:c r="A5" s="154" t="str">
        <x:v>Strength</x:v>
      </x:c>
      <x:c r="B5" s="155" t="str">
        <x:v>Controlled Force</x:v>
      </x:c>
      <x:c r="C5" s="155" t="str">
        <x:v>Reliable heavy control</x:v>
      </x:c>
      <x:c r="D5" s="155" t="str">
        <x:v>load/overload cues Supported</x:v>
      </x:c>
      <x:c r="E5" s="155" t="str">
        <x:v>three clean stops at varied force</x:v>
      </x:c>
      <x:c r="F5" s="155" t="str">
        <x:v>wider controlled-force option</x:v>
      </x:c>
      <x:c r="G5" s="155" t="str">
        <x:v>stable impact; earlier overload warning</x:v>
      </x:c>
      <x:c r="H5" s="155" t="str">
        <x:v>erase mass/joint risk</x:v>
      </x:c>
      <x:c r="I5" s="155" t="str">
        <x:v>No</x:v>
      </x:c>
      <x:c r="J5" s="156" t="str">
        <x:v>P0</x:v>
      </x:c>
    </x:row>
    <x:row r="6">
      <x:c r="A6" s="157" t="str">
        <x:v>Strength</x:v>
      </x:c>
      <x:c r="B6" s="158" t="str">
        <x:v>Load Sense</x:v>
      </x:c>
      <x:c r="C6" s="158" t="str">
        <x:v>Reliable carriage</x:v>
      </x:c>
      <x:c r="D6" s="158" t="str">
        <x:v>fit/balance Understood</x:v>
      </x:c>
      <x:c r="E6" s="158" t="str">
        <x:v>three real routes with corrected hotspots</x:v>
      </x:c>
      <x:c r="F6" s="158" t="str">
        <x:v>pre-departure load-fit forecast</x:v>
      </x:c>
      <x:c r="G6" s="158" t="str">
        <x:v>posture/strap cues</x:v>
      </x:c>
      <x:c r="H6" s="158" t="str">
        <x:v>add carry capacity magically</x:v>
      </x:c>
      <x:c r="I6" s="158" t="str">
        <x:v>No</x:v>
      </x:c>
      <x:c r="J6" s="159" t="str">
        <x:v>P1</x:v>
      </x:c>
    </x:row>
    <x:row r="7">
      <x:c r="A7" s="157" t="str">
        <x:v>Strength</x:v>
      </x:c>
      <x:c r="B7" s="158" t="str">
        <x:v>Tool Momentum</x:v>
      </x:c>
      <x:c r="C7" s="158" t="str">
        <x:v>Reliable impact</x:v>
      </x:c>
      <x:c r="D7" s="158" t="str">
        <x:v>tool-mass/rebound Supported</x:v>
      </x:c>
      <x:c r="E7" s="158" t="str">
        <x:v>two tool masses and materials</x:v>
      </x:c>
      <x:c r="F7" s="158" t="str">
        <x:v>select swing/tool mass by task</x:v>
      </x:c>
      <x:c r="G7" s="158" t="str">
        <x:v>rhythm/rebound cue</x:v>
      </x:c>
      <x:c r="H7" s="158" t="str">
        <x:v>increase all damage</x:v>
      </x:c>
      <x:c r="I7" s="158" t="str">
        <x:v>No</x:v>
      </x:c>
      <x:c r="J7" s="159" t="str">
        <x:v>P1</x:v>
      </x:c>
    </x:row>
    <x:row r="8">
      <x:c r="A8" s="157" t="str">
        <x:v>Strength</x:v>
      </x:c>
      <x:c r="B8" s="158" t="str">
        <x:v>Mechanical Advantage</x:v>
      </x:c>
      <x:c r="C8" s="158" t="str">
        <x:v>Functional rigging</x:v>
      </x:c>
      <x:c r="D8" s="158" t="str">
        <x:v>leverage Understood</x:v>
      </x:c>
      <x:c r="E8" s="158" t="str">
        <x:v>force limit solved with mechanism</x:v>
      </x:c>
      <x:c r="F8" s="158" t="str">
        <x:v>suggest lever/pulley/split/team route</x:v>
      </x:c>
      <x:c r="G8" s="158" t="str">
        <x:v>force-path preview</x:v>
      </x:c>
      <x:c r="H8" s="158" t="str">
        <x:v>grant rigging pattern</x:v>
      </x:c>
      <x:c r="I8" s="158" t="str">
        <x:v>No</x:v>
      </x:c>
      <x:c r="J8" s="159" t="str">
        <x:v>P0</x:v>
      </x:c>
    </x:row>
    <x:row r="9">
      <x:c r="A9" s="157" t="str">
        <x:v>Endurance</x:v>
      </x:c>
      <x:c r="B9" s="158" t="str">
        <x:v>Work Rhythm</x:v>
      </x:c>
      <x:c r="C9" s="158" t="str">
        <x:v>Reliable sustained work</x:v>
      </x:c>
      <x:c r="D9" s="158" t="str">
        <x:v>pacing Supported</x:v>
      </x:c>
      <x:c r="E9" s="158" t="str">
        <x:v>two long useful tasks with stable reserve</x:v>
      </x:c>
      <x:c r="F9" s="158" t="str">
        <x:v>plan work/rest cadence</x:v>
      </x:c>
      <x:c r="G9" s="158" t="str">
        <x:v>breathing/tool rhythm</x:v>
      </x:c>
      <x:c r="H9" s="158" t="str">
        <x:v>remove hydration cost</x:v>
      </x:c>
      <x:c r="I9" s="158" t="str">
        <x:v>No</x:v>
      </x:c>
      <x:c r="J9" s="159" t="str">
        <x:v>P0</x:v>
      </x:c>
    </x:row>
    <x:row r="10">
      <x:c r="A10" s="157" t="str">
        <x:v>Endurance</x:v>
      </x:c>
      <x:c r="B10" s="158" t="str">
        <x:v>Reserve Keeper</x:v>
      </x:c>
      <x:c r="C10" s="158" t="str">
        <x:v>Reliable route pacing</x:v>
      </x:c>
      <x:c r="D10" s="158" t="str">
        <x:v>return margin Understood</x:v>
      </x:c>
      <x:c r="E10" s="158" t="str">
        <x:v>three safe abort/turn decisions</x:v>
      </x:c>
      <x:c r="F10" s="158" t="str">
        <x:v>better return and remaining-work forecast</x:v>
      </x:c>
      <x:c r="G10" s="158" t="str">
        <x:v>reserve warning</x:v>
      </x:c>
      <x:c r="H10" s="158" t="str">
        <x:v>prevent exhaustion</x:v>
      </x:c>
      <x:c r="I10" s="158" t="str">
        <x:v>No</x:v>
      </x:c>
      <x:c r="J10" s="159" t="str">
        <x:v>P0</x:v>
      </x:c>
    </x:row>
    <x:row r="11">
      <x:c r="A11" s="157" t="str">
        <x:v>Endurance</x:v>
      </x:c>
      <x:c r="B11" s="158" t="str">
        <x:v>Long Haul</x:v>
      </x:c>
      <x:c r="C11" s="158" t="str">
        <x:v>Reliable repeated route</x:v>
      </x:c>
      <x:c r="D11" s="158" t="str">
        <x:v>route/logistics Supported</x:v>
      </x:c>
      <x:c r="E11" s="158" t="str">
        <x:v>same route/load retained later</x:v>
      </x:c>
      <x:c r="F11" s="158" t="str">
        <x:v>pack-break and pace plan</x:v>
      </x:c>
      <x:c r="G11" s="158" t="str">
        <x:v>fewer unplanned stops</x:v>
      </x:c>
      <x:c r="H11" s="158" t="str">
        <x:v>ignore terrain</x:v>
      </x:c>
      <x:c r="I11" s="158" t="str">
        <x:v>No</x:v>
      </x:c>
      <x:c r="J11" s="159" t="str">
        <x:v>P1</x:v>
      </x:c>
    </x:row>
    <x:row r="12">
      <x:c r="A12" s="157" t="str">
        <x:v>Endurance</x:v>
      </x:c>
      <x:c r="B12" s="158" t="str">
        <x:v>Recovery Discipline</x:v>
      </x:c>
      <x:c r="C12" s="158" t="str">
        <x:v>Functional recovery behavior</x:v>
      </x:c>
      <x:c r="D12" s="158" t="str">
        <x:v>fatigue/recovery Understood</x:v>
      </x:c>
      <x:c r="E12" s="158" t="str">
        <x:v>avoids overload through correct recovery</x:v>
      </x:c>
      <x:c r="F12" s="158" t="str">
        <x:v>better recovery forecast/options</x:v>
      </x:c>
      <x:c r="G12" s="158" t="str">
        <x:v>sleep/appetite cues</x:v>
      </x:c>
      <x:c r="H12" s="158" t="str">
        <x:v>speed healing magically</x:v>
      </x:c>
      <x:c r="I12" s="158" t="str">
        <x:v>No</x:v>
      </x:c>
      <x:c r="J12" s="159" t="str">
        <x:v>P1</x:v>
      </x:c>
    </x:row>
    <x:row r="13">
      <x:c r="A13" s="157" t="str">
        <x:v>Mobility</x:v>
      </x:c>
      <x:c r="B13" s="158" t="str">
        <x:v>Sure Foot</x:v>
      </x:c>
      <x:c r="C13" s="158" t="str">
        <x:v>Reliable varied terrain</x:v>
      </x:c>
      <x:c r="D13" s="158" t="str">
        <x:v>footing risk Supported</x:v>
      </x:c>
      <x:c r="E13" s="158" t="str">
        <x:v>multiple surfaces with controlled corrections</x:v>
      </x:c>
      <x:c r="F13" s="158" t="str">
        <x:v>earlier footing/asymmetry cue</x:v>
      </x:c>
      <x:c r="G13" s="158" t="str">
        <x:v>foot placement feedback</x:v>
      </x:c>
      <x:c r="H13" s="158" t="str">
        <x:v>cancel falls</x:v>
      </x:c>
      <x:c r="I13" s="158" t="str">
        <x:v>No</x:v>
      </x:c>
      <x:c r="J13" s="159" t="str">
        <x:v>P0</x:v>
      </x:c>
    </x:row>
    <x:row r="14">
      <x:c r="A14" s="157" t="str">
        <x:v>Mobility</x:v>
      </x:c>
      <x:c r="B14" s="158" t="str">
        <x:v>Low-Profile Worker</x:v>
      </x:c>
      <x:c r="C14" s="158" t="str">
        <x:v>Reliable confined posture</x:v>
      </x:c>
      <x:c r="D14" s="158" t="str">
        <x:v>clearance/egress Supported</x:v>
      </x:c>
      <x:c r="E14" s="158" t="str">
        <x:v>wreck/shelter work with safe exit</x:v>
      </x:c>
      <x:c r="F14" s="158" t="str">
        <x:v>stable confined-work options</x:v>
      </x:c>
      <x:c r="G14" s="158" t="str">
        <x:v>posture/exit cue</x:v>
      </x:c>
      <x:c r="H14" s="158" t="str">
        <x:v>ignore crush risk</x:v>
      </x:c>
      <x:c r="I14" s="158" t="str">
        <x:v>No</x:v>
      </x:c>
      <x:c r="J14" s="159" t="str">
        <x:v>P1</x:v>
      </x:c>
    </x:row>
    <x:row r="15">
      <x:c r="A15" s="157" t="str">
        <x:v>Mobility</x:v>
      </x:c>
      <x:c r="B15" s="158" t="str">
        <x:v>Moving Deck</x:v>
      </x:c>
      <x:c r="C15" s="158" t="str">
        <x:v>Reliable boat balance</x:v>
      </x:c>
      <x:c r="D15" s="158" t="str">
        <x:v>trim/load shift Understood</x:v>
      </x:c>
      <x:c r="E15" s="158" t="str">
        <x:v>varied load transfer on craft</x:v>
      </x:c>
      <x:c r="F15" s="158" t="str">
        <x:v>better step/trim timing</x:v>
      </x:c>
      <x:c r="G15" s="158" t="str">
        <x:v>deck motion cue</x:v>
      </x:c>
      <x:c r="H15" s="158" t="str">
        <x:v>cancel capsize</x:v>
      </x:c>
      <x:c r="I15" s="158" t="str">
        <x:v>No</x:v>
      </x:c>
      <x:c r="J15" s="159" t="str">
        <x:v>P1</x:v>
      </x:c>
    </x:row>
    <x:row r="16">
      <x:c r="A16" s="157" t="str">
        <x:v>Mobility</x:v>
      </x:c>
      <x:c r="B16" s="158" t="str">
        <x:v>Climb Economy</x:v>
      </x:c>
      <x:c r="C16" s="158" t="str">
        <x:v>Reliable staged climb</x:v>
      </x:c>
      <x:c r="D16" s="158" t="str">
        <x:v>anchors/route Understood</x:v>
      </x:c>
      <x:c r="E16" s="158" t="str">
        <x:v>qualified climb with load transfer</x:v>
      </x:c>
      <x:c r="F16" s="158" t="str">
        <x:v>better three-point/anchor plan</x:v>
      </x:c>
      <x:c r="G16" s="158" t="str">
        <x:v>reach/anchor cue</x:v>
      </x:c>
      <x:c r="H16" s="158" t="str">
        <x:v>grant free climb</x:v>
      </x:c>
      <x:c r="I16" s="158" t="str">
        <x:v>No</x:v>
      </x:c>
      <x:c r="J16" s="159" t="str">
        <x:v>P1</x:v>
      </x:c>
    </x:row>
    <x:row r="17">
      <x:c r="A17" s="157" t="str">
        <x:v>Dexterity</x:v>
      </x:c>
      <x:c r="B17" s="158" t="str">
        <x:v>Soft Hands</x:v>
      </x:c>
      <x:c r="C17" s="158" t="str">
        <x:v>Reliable fragile handling</x:v>
      </x:c>
      <x:c r="D17" s="158" t="str">
        <x:v>part consequence Supported</x:v>
      </x:c>
      <x:c r="E17" s="158" t="str">
        <x:v>three scarce parts preserved</x:v>
      </x:c>
      <x:c r="F17" s="158" t="str">
        <x:v>lower handling-damage pressure</x:v>
      </x:c>
      <x:c r="G17" s="158" t="str">
        <x:v>force/texture feedback</x:v>
      </x:c>
      <x:c r="H17" s="158" t="str">
        <x:v>repair unknown systems</x:v>
      </x:c>
      <x:c r="I17" s="158" t="str">
        <x:v>No</x:v>
      </x:c>
      <x:c r="J17" s="159" t="str">
        <x:v>P0</x:v>
      </x:c>
    </x:row>
    <x:row r="18">
      <x:c r="A18" s="157" t="str">
        <x:v>Dexterity</x:v>
      </x:c>
      <x:c r="B18" s="158" t="str">
        <x:v>Edge Control</x:v>
      </x:c>
      <x:c r="C18" s="158" t="str">
        <x:v>Reliable remove/sharpen</x:v>
      </x:c>
      <x:c r="D18" s="158" t="str">
        <x:v>fracture/edge Understood</x:v>
      </x:c>
      <x:c r="E18" s="158" t="str">
        <x:v>varied stone/wood/metal edge work</x:v>
      </x:c>
      <x:c r="F18" s="158" t="str">
        <x:v>more precise removal and warning</x:v>
      </x:c>
      <x:c r="G18" s="158" t="str">
        <x:v>chip/burr cue</x:v>
      </x:c>
      <x:c r="H18" s="158" t="str">
        <x:v>grant blade pattern</x:v>
      </x:c>
      <x:c r="I18" s="158" t="str">
        <x:v>No</x:v>
      </x:c>
      <x:c r="J18" s="159" t="str">
        <x:v>P0</x:v>
      </x:c>
    </x:row>
    <x:row r="19">
      <x:c r="A19" s="157" t="str">
        <x:v>Dexterity</x:v>
      </x:c>
      <x:c r="B19" s="158" t="str">
        <x:v>Fine Fit</x:v>
      </x:c>
      <x:c r="C19" s="158" t="str">
        <x:v>Reliable measured assembly</x:v>
      </x:c>
      <x:c r="D19" s="158" t="str">
        <x:v>fit/tolerance Understood</x:v>
      </x:c>
      <x:c r="E19" s="158" t="str">
        <x:v>three assemblies within meaningful tolerance</x:v>
      </x:c>
      <x:c r="F19" s="158" t="str">
        <x:v>earlier fit and misalignment cue</x:v>
      </x:c>
      <x:c r="G19" s="158" t="str">
        <x:v>contact/alignment feedback</x:v>
      </x:c>
      <x:c r="H19" s="158" t="str">
        <x:v>replace gauges</x:v>
      </x:c>
      <x:c r="I19" s="158" t="str">
        <x:v>No</x:v>
      </x:c>
      <x:c r="J19" s="159" t="str">
        <x:v>P0</x:v>
      </x:c>
    </x:row>
    <x:row r="20">
      <x:c r="A20" s="157" t="str">
        <x:v>Dexterity</x:v>
      </x:c>
      <x:c r="B20" s="158" t="str">
        <x:v>Compensating Hand</x:v>
      </x:c>
      <x:c r="C20" s="158" t="str">
        <x:v>Functional alternate-hand work</x:v>
      </x:c>
      <x:c r="D20" s="158" t="str">
        <x:v>compensation Supported</x:v>
      </x:c>
      <x:c r="E20" s="158" t="str">
        <x:v>safe retraining after constraint</x:v>
      </x:c>
      <x:c r="F20" s="158" t="str">
        <x:v>slower one/off-hand methods</x:v>
      </x:c>
      <x:c r="G20" s="158" t="str">
        <x:v>asymmetry cue</x:v>
      </x:c>
      <x:c r="H20" s="158" t="str">
        <x:v>erase impairment</x:v>
      </x:c>
      <x:c r="I20" s="158" t="str">
        <x:v>No</x:v>
      </x:c>
      <x:c r="J20" s="159" t="str">
        <x:v>P2</x:v>
      </x:c>
    </x:row>
    <x:row r="21">
      <x:c r="A21" s="157" t="str">
        <x:v>Perception</x:v>
      </x:c>
      <x:c r="B21" s="158" t="str">
        <x:v>Material Eye</x:v>
      </x:c>
      <x:c r="C21" s="158" t="str">
        <x:v>Reliable inspection</x:v>
      </x:c>
      <x:c r="D21" s="158" t="str">
        <x:v>provenance/failure Understood</x:v>
      </x:c>
      <x:c r="E21" s="158" t="str">
        <x:v>compares several lots and outcomes</x:v>
      </x:c>
      <x:c r="F21" s="158" t="str">
        <x:v>more visible condition cues</x:v>
      </x:c>
      <x:c r="G21" s="158" t="str">
        <x:v>surface/sound/smell cue</x:v>
      </x:c>
      <x:c r="H21" s="158" t="str">
        <x:v>reveal hidden composition</x:v>
      </x:c>
      <x:c r="I21" s="158" t="str">
        <x:v>No</x:v>
      </x:c>
      <x:c r="J21" s="159" t="str">
        <x:v>P0</x:v>
      </x:c>
    </x:row>
    <x:row r="22">
      <x:c r="A22" s="157" t="str">
        <x:v>Perception</x:v>
      </x:c>
      <x:c r="B22" s="158" t="str">
        <x:v>Sound Diagnosis</x:v>
      </x:c>
      <x:c r="C22" s="158" t="str">
        <x:v>Reliable cue use</x:v>
      </x:c>
      <x:c r="D22" s="158" t="str">
        <x:v>sound/fault Supported</x:v>
      </x:c>
      <x:c r="E22" s="158" t="str">
        <x:v>three validated audible diagnoses</x:v>
      </x:c>
      <x:c r="F22" s="158" t="str">
        <x:v>highlights meaningful sound changes</x:v>
      </x:c>
      <x:c r="G22" s="158" t="str">
        <x:v>direction/rhythm cue</x:v>
      </x:c>
      <x:c r="H22" s="158" t="str">
        <x:v>auto diagnose</x:v>
      </x:c>
      <x:c r="I22" s="158" t="str">
        <x:v>No</x:v>
      </x:c>
      <x:c r="J22" s="159" t="str">
        <x:v>P1</x:v>
      </x:c>
    </x:row>
    <x:row r="23">
      <x:c r="A23" s="157" t="str">
        <x:v>Perception</x:v>
      </x:c>
      <x:c r="B23" s="158" t="str">
        <x:v>Trace Reader</x:v>
      </x:c>
      <x:c r="C23" s="158" t="str">
        <x:v>Reliable tracking/inspection</x:v>
      </x:c>
      <x:c r="D23" s="158" t="str">
        <x:v>trace progression Supported</x:v>
      </x:c>
      <x:c r="E23" s="158" t="str">
        <x:v>linked signs across time</x:v>
      </x:c>
      <x:c r="F23" s="158" t="str">
        <x:v>preserve/compare subtle traces</x:v>
      </x:c>
      <x:c r="G23" s="158" t="str">
        <x:v>context highlight</x:v>
      </x:c>
      <x:c r="H23" s="158" t="str">
        <x:v>reveal invisible actor</x:v>
      </x:c>
      <x:c r="I23" s="158" t="str">
        <x:v>No</x:v>
      </x:c>
      <x:c r="J23" s="159" t="str">
        <x:v>P1</x:v>
      </x:c>
    </x:row>
    <x:row r="24">
      <x:c r="A24" s="157" t="str">
        <x:v>Perception</x:v>
      </x:c>
      <x:c r="B24" s="158" t="str">
        <x:v>Weather Reader</x:v>
      </x:c>
      <x:c r="C24" s="158" t="str">
        <x:v>Reliable local observation</x:v>
      </x:c>
      <x:c r="D24" s="158" t="str">
        <x:v>local trend Understood</x:v>
      </x:c>
      <x:c r="E24" s="158" t="str">
        <x:v>recorded forecast/outcome series</x:v>
      </x:c>
      <x:c r="F24" s="158" t="str">
        <x:v>better confidence/uncertainty forecast</x:v>
      </x:c>
      <x:c r="G24" s="158" t="str">
        <x:v>sky/wind/swell cue</x:v>
      </x:c>
      <x:c r="H24" s="158" t="str">
        <x:v>guarantee forecast</x:v>
      </x:c>
      <x:c r="I24" s="158" t="str">
        <x:v>No</x:v>
      </x:c>
      <x:c r="J24" s="159" t="str">
        <x:v>P1</x:v>
      </x:c>
    </x:row>
    <x:row r="25">
      <x:c r="A25" s="157" t="str">
        <x:v>Reasoning</x:v>
      </x:c>
      <x:c r="B25" s="158" t="str">
        <x:v>Failure Analyst</x:v>
      </x:c>
      <x:c r="C25" s="158" t="str">
        <x:v>Reliable diagnosis</x:v>
      </x:c>
      <x:c r="D25" s="158" t="str">
        <x:v>causal alternatives Understood</x:v>
      </x:c>
      <x:c r="E25" s="158" t="str">
        <x:v>three distinct correctly diagnosed failures</x:v>
      </x:c>
      <x:c r="F25" s="158" t="str">
        <x:v>structures causes and discriminating test</x:v>
      </x:c>
      <x:c r="G25" s="158" t="str">
        <x:v>cause-map prompt</x:v>
      </x:c>
      <x:c r="H25" s="158" t="str">
        <x:v>make failure harmless</x:v>
      </x:c>
      <x:c r="I25" s="158" t="str">
        <x:v>No</x:v>
      </x:c>
      <x:c r="J25" s="159" t="str">
        <x:v>P0</x:v>
      </x:c>
    </x:row>
    <x:row r="26">
      <x:c r="A26" s="157" t="str">
        <x:v>Reasoning</x:v>
      </x:c>
      <x:c r="B26" s="158" t="str">
        <x:v>Substitute Designer</x:v>
      </x:c>
      <x:c r="C26" s="158" t="str">
        <x:v>Adaptive material use</x:v>
      </x:c>
      <x:c r="D26" s="158" t="str">
        <x:v>property slots Generalized</x:v>
      </x:c>
      <x:c r="E26" s="158" t="str">
        <x:v>one substitution proven under load</x:v>
      </x:c>
      <x:c r="F26" s="158" t="str">
        <x:v>exposes slots/tradeoffs in known pattern</x:v>
      </x:c>
      <x:c r="G26" s="158" t="str">
        <x:v>comparison surface</x:v>
      </x:c>
      <x:c r="H26" s="158" t="str">
        <x:v>accept any material</x:v>
      </x:c>
      <x:c r="I26" s="158" t="str">
        <x:v>No</x:v>
      </x:c>
      <x:c r="J26" s="159" t="str">
        <x:v>P0</x:v>
      </x:c>
    </x:row>
    <x:row r="27">
      <x:c r="A27" s="157" t="str">
        <x:v>Reasoning</x:v>
      </x:c>
      <x:c r="B27" s="158" t="str">
        <x:v>System Mapper</x:v>
      </x:c>
      <x:c r="C27" s="158" t="str">
        <x:v>Reliable subsystem diagnosis</x:v>
      </x:c>
      <x:c r="D27" s="158" t="str">
        <x:v>system relation Understood</x:v>
      </x:c>
      <x:c r="E27" s="158" t="str">
        <x:v>restored integrated chain</x:v>
      </x:c>
      <x:c r="F27" s="158" t="str">
        <x:v>dependency/isolation map</x:v>
      </x:c>
      <x:c r="G27" s="158" t="str">
        <x:v>flow/path cue</x:v>
      </x:c>
      <x:c r="H27" s="158" t="str">
        <x:v>reveal unknown internals</x:v>
      </x:c>
      <x:c r="I27" s="158" t="str">
        <x:v>No</x:v>
      </x:c>
      <x:c r="J27" s="159" t="str">
        <x:v>P1</x:v>
      </x:c>
    </x:row>
    <x:row r="28">
      <x:c r="A28" s="157" t="str">
        <x:v>Reasoning</x:v>
      </x:c>
      <x:c r="B28" s="158" t="str">
        <x:v>Standard Maker</x:v>
      </x:c>
      <x:c r="C28" s="158" t="str">
        <x:v>Reliable measurement/jig</x:v>
      </x:c>
      <x:c r="D28" s="158" t="str">
        <x:v>repeatability Generalized</x:v>
      </x:c>
      <x:c r="E28" s="158" t="str">
        <x:v>tested gauge/template/checklist</x:v>
      </x:c>
      <x:c r="F28" s="158" t="str">
        <x:v>faster repeatability and handoff</x:v>
      </x:c>
      <x:c r="G28" s="158" t="str">
        <x:v>datum/check cue</x:v>
      </x:c>
      <x:c r="H28" s="158" t="str">
        <x:v>guarantee quality</x:v>
      </x:c>
      <x:c r="I28" s="158" t="str">
        <x:v>Carrier only</x:v>
      </x:c>
      <x:c r="J28" s="159" t="str">
        <x:v>P0</x:v>
      </x:c>
    </x:row>
    <x:row r="29">
      <x:c r="A29" s="157" t="str">
        <x:v>Composure</x:v>
      </x:c>
      <x:c r="B29" s="158" t="str">
        <x:v>Abort Discipline</x:v>
      </x:c>
      <x:c r="C29" s="158" t="str">
        <x:v>Reliable safe stopping</x:v>
      </x:c>
      <x:c r="D29" s="158" t="str">
        <x:v>reserve/hazard Understood</x:v>
      </x:c>
      <x:c r="E29" s="158" t="str">
        <x:v>survived by early abort repeatedly</x:v>
      </x:c>
      <x:c r="F29" s="158" t="str">
        <x:v>stronger go/no-go and exit cue</x:v>
      </x:c>
      <x:c r="G29" s="158" t="str">
        <x:v>focus/exit cue</x:v>
      </x:c>
      <x:c r="H29" s="158" t="str">
        <x:v>remove fear/risk</x:v>
      </x:c>
      <x:c r="I29" s="158" t="str">
        <x:v>No</x:v>
      </x:c>
      <x:c r="J29" s="159" t="str">
        <x:v>P0</x:v>
      </x:c>
    </x:row>
    <x:row r="30">
      <x:c r="A30" s="157" t="str">
        <x:v>Composure</x:v>
      </x:c>
      <x:c r="B30" s="158" t="str">
        <x:v>Crisis Sequencing</x:v>
      </x:c>
      <x:c r="C30" s="158" t="str">
        <x:v>Reliable emergency routine</x:v>
      </x:c>
      <x:c r="D30" s="158" t="str">
        <x:v>triage Understood</x:v>
      </x:c>
      <x:c r="E30" s="158" t="str">
        <x:v>multi-threat event resolved causally</x:v>
      </x:c>
      <x:c r="F30" s="158" t="str">
        <x:v>supports action ordering</x:v>
      </x:c>
      <x:c r="G30" s="158" t="str">
        <x:v>priority cue</x:v>
      </x:c>
      <x:c r="H30" s="158" t="str">
        <x:v>slow time</x:v>
      </x:c>
      <x:c r="I30" s="158" t="str">
        <x:v>No</x:v>
      </x:c>
      <x:c r="J30" s="159" t="str">
        <x:v>P1</x:v>
      </x:c>
    </x:row>
    <x:row r="31">
      <x:c r="A31" s="157" t="str">
        <x:v>Composure</x:v>
      </x:c>
      <x:c r="B31" s="158" t="str">
        <x:v>Steady Hands</x:v>
      </x:c>
      <x:c r="C31" s="158" t="str">
        <x:v>Reliable qualified stress work</x:v>
      </x:c>
      <x:c r="D31" s="158" t="str">
        <x:v>stress effects Supported</x:v>
      </x:c>
      <x:c r="E31" s="158" t="str">
        <x:v>familiar high-stress task controlled</x:v>
      </x:c>
      <x:c r="F31" s="158" t="str">
        <x:v>narrows penalty only in qualified action</x:v>
      </x:c>
      <x:c r="G31" s="158" t="str">
        <x:v>breath/tremor cue</x:v>
      </x:c>
      <x:c r="H31" s="158" t="str">
        <x:v>apply to unknown task</x:v>
      </x:c>
      <x:c r="I31" s="158" t="str">
        <x:v>No</x:v>
      </x:c>
      <x:c r="J31" s="159" t="str">
        <x:v>P1</x:v>
      </x:c>
    </x:row>
    <x:row r="32">
      <x:c r="A32" s="157" t="str">
        <x:v>Composure</x:v>
      </x:c>
      <x:c r="B32" s="158" t="str">
        <x:v>Fear Memory</x:v>
      </x:c>
      <x:c r="C32" s="158" t="str">
        <x:v>Functional staged re-entry</x:v>
      </x:c>
      <x:c r="D32" s="158" t="str">
        <x:v>trauma cue Understood</x:v>
      </x:c>
      <x:c r="E32" s="158" t="str">
        <x:v>specific severe event reflected/re-entered</x:v>
      </x:c>
      <x:c r="F32" s="158" t="str">
        <x:v>turns aversion into warnings/stages</x:v>
      </x:c>
      <x:c r="G32" s="158" t="str">
        <x:v>memory cue</x:v>
      </x:c>
      <x:c r="H32" s="158" t="str">
        <x:v>grant immunity</x:v>
      </x:c>
      <x:c r="I32" s="158" t="str">
        <x:v>No</x:v>
      </x:c>
      <x:c r="J32" s="159" t="str">
        <x:v>P2</x:v>
      </x:c>
    </x:row>
    <x:row r="33">
      <x:c r="A33" s="157" t="str">
        <x:v>Rapport</x:v>
      </x:c>
      <x:c r="B33" s="158" t="str">
        <x:v>Patient Teacher</x:v>
      </x:c>
      <x:c r="C33" s="158" t="str">
        <x:v>Reliable operation + observation</x:v>
      </x:c>
      <x:c r="D33" s="158" t="str">
        <x:v>teaching model Understood</x:v>
      </x:c>
      <x:c r="E33" s="158" t="str">
        <x:v>learner independently reproduces</x:v>
      </x:c>
      <x:c r="F33" s="158" t="str">
        <x:v>better prompts/correction timing</x:v>
      </x:c>
      <x:c r="G33" s="158" t="str">
        <x:v>learner cue</x:v>
      </x:c>
      <x:c r="H33" s="158" t="str">
        <x:v>transfer own skill instantly</x:v>
      </x:c>
      <x:c r="I33" s="158" t="str">
        <x:v>No</x:v>
      </x:c>
      <x:c r="J33" s="159" t="str">
        <x:v>P1</x:v>
      </x:c>
    </x:row>
    <x:row r="34">
      <x:c r="A34" s="157" t="str">
        <x:v>Rapport</x:v>
      </x:c>
      <x:c r="B34" s="158" t="str">
        <x:v>Animal Reader</x:v>
      </x:c>
      <x:c r="C34" s="158" t="str">
        <x:v>Reliable handling</x:v>
      </x:c>
      <x:c r="D34" s="158" t="str">
        <x:v>behavior Understood</x:v>
      </x:c>
      <x:c r="E34" s="158" t="str">
        <x:v>repeated calm correct prediction</x:v>
      </x:c>
      <x:c r="F34" s="158" t="str">
        <x:v>more behavior/approach cues</x:v>
      </x:c>
      <x:c r="G34" s="158" t="str">
        <x:v>distance/posture cue</x:v>
      </x:c>
      <x:c r="H34" s="158" t="str">
        <x:v>tame instantly</x:v>
      </x:c>
      <x:c r="I34" s="158" t="str">
        <x:v>No</x:v>
      </x:c>
      <x:c r="J34" s="159" t="str">
        <x:v>P1</x:v>
      </x:c>
    </x:row>
    <x:row r="35">
      <x:c r="A35" s="157" t="str">
        <x:v>Rapport</x:v>
      </x:c>
      <x:c r="B35" s="158" t="str">
        <x:v>Trust Builder</x:v>
      </x:c>
      <x:c r="C35" s="158" t="str">
        <x:v>Reliable commitments</x:v>
      </x:c>
      <x:c r="D35" s="158" t="str">
        <x:v>social consequence Supported</x:v>
      </x:c>
      <x:c r="E35" s="158" t="str">
        <x:v>agreement honored/repair completed</x:v>
      </x:c>
      <x:c r="F35" s="158" t="str">
        <x:v>stronger cooperation/handoff</x:v>
      </x:c>
      <x:c r="G35" s="158" t="str">
        <x:v>trust history cue</x:v>
      </x:c>
      <x:c r="H35" s="158" t="str">
        <x:v>mind control</x:v>
      </x:c>
      <x:c r="I35" s="158" t="str">
        <x:v>No</x:v>
      </x:c>
      <x:c r="J35" s="159" t="str">
        <x:v>P2</x:v>
      </x:c>
    </x:row>
    <x:row r="36">
      <x:c r="A36" s="160" t="str">
        <x:v>Rapport</x:v>
      </x:c>
      <x:c r="B36" s="161" t="str">
        <x:v>Clear Handoff</x:v>
      </x:c>
      <x:c r="C36" s="161" t="str">
        <x:v>Reliable documentation</x:v>
      </x:c>
      <x:c r="D36" s="161" t="str">
        <x:v>handoff model Generalized</x:v>
      </x:c>
      <x:c r="E36" s="161" t="str">
        <x:v>project transferred across person/life</x:v>
      </x:c>
      <x:c r="F36" s="161" t="str">
        <x:v>better task state/warning/verification record</x:v>
      </x:c>
      <x:c r="G36" s="161" t="str">
        <x:v>handoff checklist</x:v>
      </x:c>
      <x:c r="H36" s="161" t="str">
        <x:v>transfer tacit memory</x:v>
      </x:c>
      <x:c r="I36" s="161" t="str">
        <x:v>Carrier only</x:v>
      </x:c>
      <x:c r="J36" s="162" t="str">
        <x:v>P0</x:v>
      </x:c>
    </x:row>
  </x:sheetData>
  <x:mergeCells>
    <x:mergeCell ref="A1:J1"/>
    <x:mergeCell ref="A2:J2"/>
  </x:mergeCells>
  <x:conditionalFormatting sqref="J5:J36">
    <x:cfRule type="containsText" dxfId="12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9f47b991997e4b9b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2.220000267028809" hidden="0" customWidth="1"/>
    <x:col min="3" max="3" width="3.890000104904175" hidden="0" customWidth="1"/>
    <x:col min="4" max="4" width="21.110000610351562" hidden="0" customWidth="1"/>
    <x:col min="5" max="5" width="28.889999389648438" hidden="0" customWidth="1"/>
    <x:col min="6" max="6" width="6.670000076293945" hidden="0" customWidth="1"/>
    <x:col min="7" max="7" width="6.670000076293945" hidden="0" customWidth="1"/>
    <x:col min="8" max="8" width="6.670000076293945" hidden="0" customWidth="1"/>
  </x:cols>
  <x:sheetData>
    <x:row r="1" ht="28" customHeight="1">
      <x:c r="A1" s="118" t="str">
        <x:v>Learning and Stage Resolver</x:v>
      </x:c>
      <x:c r="B1" s="118"/>
      <x:c r="C1" s="118"/>
      <x:c r="D1" s="118"/>
      <x:c r="E1" s="118"/>
      <x:c r="F1" s="118"/>
      <x:c r="G1" s="118"/>
      <x:c r="H1" s="118"/>
    </x:row>
    <x:row r="2" ht="34" customHeight="1">
      <x:c r="A2" s="122" t="str">
        <x:v>Blue cells are editable calibration seeds. Experience is evidence; durable advancement also needs reproduction, variation, diagnosis, retention, and recovery.</x:v>
      </x:c>
      <x:c r="B2" s="122"/>
      <x:c r="C2" s="122"/>
      <x:c r="D2" s="122"/>
      <x:c r="E2" s="122"/>
      <x:c r="F2" s="122"/>
      <x:c r="G2" s="122"/>
      <x:c r="H2" s="122"/>
    </x:row>
    <x:row r="4">
      <x:c r="A4" s="125" t="str">
        <x:v>Editable attempt inputs</x:v>
      </x:c>
      <x:c r="B4" s="125"/>
      <x:c r="D4" s="125" t="str">
        <x:v>Derived attempt evidence</x:v>
      </x:c>
      <x:c r="E4" s="125"/>
      <x:c r="F4" s="125"/>
    </x:row>
    <x:row r="5">
      <x:c r="A5" s="188" t="str">
        <x:v>Base information units</x:v>
      </x:c>
      <x:c r="B5" s="189" t="n">
        <x:v>10</x:v>
      </x:c>
      <x:c r="D5" s="132" t="str">
        <x:v>Output</x:v>
      </x:c>
      <x:c r="E5" s="134" t="str">
        <x:v>Value</x:v>
      </x:c>
    </x:row>
    <x:row r="6">
      <x:c r="A6" s="190" t="str">
        <x:v>Task difficulty 0–1</x:v>
      </x:c>
      <x:c r="B6" s="191" t="n">
        <x:v>0.6</x:v>
      </x:c>
      <x:c r="D6" s="154" t="str">
        <x:v>Challenge gap</x:v>
      </x:c>
      <x:c r="E6" s="194" t="n">
        <x:f>B6-B7</x:f>
        <x:v>0.14999999999999997</x:v>
      </x:c>
    </x:row>
    <x:row r="7">
      <x:c r="A7" s="190" t="str">
        <x:v>Current technique 0–1</x:v>
      </x:c>
      <x:c r="B7" s="191" t="n">
        <x:v>0.45</x:v>
      </x:c>
      <x:c r="D7" s="157" t="str">
        <x:v>Challenge fit</x:v>
      </x:c>
      <x:c r="E7" s="195" t="n">
        <x:f>MAX(0,1-ABS(E6-0.15)/0.85)</x:f>
        <x:v>1</x:v>
      </x:c>
    </x:row>
    <x:row r="8">
      <x:c r="A8" s="190" t="str">
        <x:v>Novelty 0–1</x:v>
      </x:c>
      <x:c r="B8" s="191" t="n">
        <x:v>0.8</x:v>
      </x:c>
      <x:c r="D8" s="157" t="str">
        <x:v>Anti-repetition</x:v>
      </x:c>
      <x:c r="E8" s="195" t="n">
        <x:f>1-B13</x:f>
        <x:v>0.85</x:v>
      </x:c>
    </x:row>
    <x:row r="9">
      <x:c r="A9" s="190" t="str">
        <x:v>Feedback quality 0–1</x:v>
      </x:c>
      <x:c r="B9" s="191" t="n">
        <x:v>0.75</x:v>
      </x:c>
      <x:c r="D9" s="157" t="str">
        <x:v>Acquisition evidence</x:v>
      </x:c>
      <x:c r="E9" s="196" t="n">
        <x:f>B5*E7*B8*B9*B10*B11*B12*E8</x:f>
        <x:v>2.81775</x:v>
      </x:c>
    </x:row>
    <x:row r="10">
      <x:c r="A10" s="190" t="str">
        <x:v>Causal clarity 0–1</x:v>
      </x:c>
      <x:c r="B10" s="191" t="n">
        <x:v>0.65</x:v>
      </x:c>
      <x:c r="D10" s="157" t="str">
        <x:v>Retained evidence</x:v>
      </x:c>
      <x:c r="E10" s="196" t="n">
        <x:f>E9*B14*(0.35+0.65*B15)*(0.5+0.5*B16)</x:f>
        <x:v>1.36097325</x:v>
      </x:c>
    </x:row>
    <x:row r="11">
      <x:c r="A11" s="190" t="str">
        <x:v>Agency 0–1</x:v>
      </x:c>
      <x:c r="B11" s="191" t="n">
        <x:v>1</x:v>
      </x:c>
      <x:c r="D11" s="157" t="str">
        <x:v>Technique share</x:v>
      </x:c>
      <x:c r="E11" s="196" t="n">
        <x:f>E10*(0.55+0.25*B17)</x:f>
        <x:v>0.9526812750000001</x:v>
      </x:c>
    </x:row>
    <x:row r="12">
      <x:c r="A12" s="190" t="str">
        <x:v>Readiness 0–1</x:v>
      </x:c>
      <x:c r="B12" s="191" t="n">
        <x:v>0.85</x:v>
      </x:c>
      <x:c r="D12" s="157" t="str">
        <x:v>Knowledge share</x:v>
      </x:c>
      <x:c r="E12" s="196" t="n">
        <x:f>E10*(0.45+0.35*B10)</x:f>
        <x:v>0.9220593768750001</x:v>
      </x:c>
    </x:row>
    <x:row r="13">
      <x:c r="A13" s="190" t="str">
        <x:v>Repetition saturation 0–1</x:v>
      </x:c>
      <x:c r="B13" s="191" t="n">
        <x:v>0.15</x:v>
      </x:c>
      <x:c r="D13" s="157" t="str">
        <x:v>Transfer evidence</x:v>
      </x:c>
      <x:c r="E13" s="196" t="n">
        <x:f>E10*B17*B16</x:f>
        <x:v>0.408291975</x:v>
      </x:c>
    </x:row>
    <x:row r="14">
      <x:c r="A14" s="190" t="str">
        <x:v>Recovery quality 0–1</x:v>
      </x:c>
      <x:c r="B14" s="191" t="n">
        <x:v>0.8</x:v>
      </x:c>
      <x:c r="D14" s="160" t="str">
        <x:v>Interpretation</x:v>
      </x:c>
      <x:c r="E14" s="162" t="str">
        <x:f>IF(E7&lt;0.25,"Overwhelming or trivial: little interpretable learning",IF(E8&lt;0.2,"Saturated repetition: maintenance more than growth",IF(E10&gt;2,"Strong retained evidence candidate","Modest evidence; seek feedback or variation")))</x:f>
        <x:v>Modest evidence; seek feedback or variation</x:v>
      </x:c>
    </x:row>
    <x:row r="15">
      <x:c r="A15" s="190" t="str">
        <x:v>Later reproduction 0–1</x:v>
      </x:c>
      <x:c r="B15" s="191" t="n">
        <x:v>0.7</x:v>
      </x:c>
    </x:row>
    <x:row r="16">
      <x:c r="A16" s="190" t="str">
        <x:v>Context coverage 0–1</x:v>
      </x:c>
      <x:c r="B16" s="191" t="n">
        <x:v>0.5</x:v>
      </x:c>
    </x:row>
    <x:row r="17">
      <x:c r="A17" s="192" t="str">
        <x:v>Transfer relevance 0–1</x:v>
      </x:c>
      <x:c r="B17" s="193" t="n">
        <x:v>0.6</x:v>
      </x:c>
    </x:row>
    <x:row r="19">
      <x:c r="A19" s="125" t="str">
        <x:v>Stage qualification — conjunctive requirements</x:v>
      </x:c>
      <x:c r="B19" s="125"/>
      <x:c r="C19" s="125"/>
      <x:c r="D19" s="125"/>
      <x:c r="E19" s="125"/>
      <x:c r="F19" s="125"/>
      <x:c r="G19" s="125"/>
      <x:c r="H19" s="125"/>
    </x:row>
    <x:row r="20">
      <x:c r="A20" s="132" t="str">
        <x:v>Editable career evidence</x:v>
      </x:c>
      <x:c r="B20" s="134" t="str">
        <x:v>Value</x:v>
      </x:c>
      <x:c r="D20" s="132" t="str">
        <x:v>Derived stage</x:v>
      </x:c>
      <x:c r="E20" s="134" t="str">
        <x:v>Value</x:v>
      </x:c>
    </x:row>
    <x:row r="21">
      <x:c r="A21" s="154" t="str">
        <x:v>Accumulated retained evidence</x:v>
      </x:c>
      <x:c r="B21" s="197" t="n">
        <x:v>47</x:v>
      </x:c>
      <x:c r="D21" s="154" t="str">
        <x:v>Current stage</x:v>
      </x:c>
      <x:c r="E21" s="156" t="str">
        <x:f>IF(AND(B21&gt;=95,B22&gt;=10,B23&gt;=6,B24&gt;=5,B25=1,B26=1),"Teachable",IF(AND(B21&gt;=80,B22&gt;=8,B23&gt;=5,B24&gt;=4,B25=1),"Masterful",IF(AND(B21&gt;=60,B22&gt;=5,B23&gt;=3,B24&gt;=2,B25=1),"Adaptive",IF(AND(B21&gt;=40,B22&gt;=3,B23&gt;=1,B24&gt;=1,B25=1),"Reliable",IF(AND(B21&gt;=20,B22&gt;=1),"Functional",IF(B21&gt;=5,"Guided","Untried"))))))</x:f>
        <x:v>Reliable</x:v>
      </x:c>
    </x:row>
    <x:row r="22">
      <x:c r="A22" s="157" t="str">
        <x:v>Independent reproductions</x:v>
      </x:c>
      <x:c r="B22" s="198" t="n">
        <x:v>4</x:v>
      </x:c>
      <x:c r="D22" s="157" t="str">
        <x:v>Evidence-only band</x:v>
      </x:c>
      <x:c r="E22" s="159" t="str">
        <x:f>IF(B21&gt;=95,"Teachable score",IF(B21&gt;=80,"Masterful score",IF(B21&gt;=60,"Adaptive score",IF(B21&gt;=40,"Reliable score",IF(B21&gt;=20,"Functional score",IF(B21&gt;=5,"Guided score","Untried"))))))</x:f>
        <x:v>Reliable score</x:v>
      </x:c>
    </x:row>
    <x:row r="23">
      <x:c r="A23" s="157" t="str">
        <x:v>Meaningful variations</x:v>
      </x:c>
      <x:c r="B23" s="198" t="n">
        <x:v>2</x:v>
      </x:c>
      <x:c r="D23" s="157" t="str">
        <x:v>Score gate</x:v>
      </x:c>
      <x:c r="E23" s="159" t="n">
        <x:f>B21</x:f>
        <x:v>47</x:v>
      </x:c>
    </x:row>
    <x:row r="24">
      <x:c r="A24" s="157" t="str">
        <x:v>Correct diagnoses</x:v>
      </x:c>
      <x:c r="B24" s="198" t="n">
        <x:v>2</x:v>
      </x:c>
      <x:c r="D24" s="157" t="str">
        <x:v>Variation gate</x:v>
      </x:c>
      <x:c r="E24" s="159" t="n">
        <x:f>B23</x:f>
        <x:v>2</x:v>
      </x:c>
    </x:row>
    <x:row r="25">
      <x:c r="A25" s="157" t="str">
        <x:v>Retention test passed? (1/0)</x:v>
      </x:c>
      <x:c r="B25" s="198" t="n">
        <x:v>1</x:v>
      </x:c>
      <x:c r="D25" s="157" t="str">
        <x:v>Diagnosis gate</x:v>
      </x:c>
      <x:c r="E25" s="159" t="n">
        <x:f>B24</x:f>
        <x:v>2</x:v>
      </x:c>
    </x:row>
    <x:row r="26">
      <x:c r="A26" s="160" t="str">
        <x:v>Learner proof? (1/0)</x:v>
      </x:c>
      <x:c r="B26" s="199" t="n">
        <x:v>0</x:v>
      </x:c>
      <x:c r="D26" s="157" t="str">
        <x:v>Retention gate</x:v>
      </x:c>
      <x:c r="E26" s="159" t="n">
        <x:f>B25</x:f>
        <x:v>1</x:v>
      </x:c>
    </x:row>
    <x:row r="27">
      <x:c r="D27" s="160" t="str">
        <x:v>Why not next</x:v>
      </x:c>
      <x:c r="E27" s="162" t="str">
        <x:f>IF(E21=E22,"All current stage gates satisfied","Score is ahead of retained variation/diagnosis/reproduction proof")</x:f>
        <x:v>Score is ahead of retained variation/diagnosis/reproduction proof</x:v>
      </x:c>
    </x:row>
  </x:sheetData>
  <x:mergeCells>
    <x:mergeCell ref="A1:H1"/>
    <x:mergeCell ref="A2:H2"/>
    <x:mergeCell ref="A4:B4"/>
    <x:mergeCell ref="D4:F4"/>
    <x:mergeCell ref="A19:H19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11.670000076293945" hidden="0" customWidth="1"/>
    <x:col min="3" max="3" width="3.890000104904175" hidden="0" customWidth="1"/>
    <x:col min="4" max="4" width="20.559999465942383" hidden="0" customWidth="1"/>
    <x:col min="5" max="5" width="27.780000686645508" hidden="0" customWidth="1"/>
    <x:col min="6" max="6" width="3.890000104904175" hidden="0" customWidth="1"/>
    <x:col min="7" max="7" width="17.780000686645508" hidden="0" customWidth="1"/>
    <x:col min="8" max="8" width="27.219999313354492" hidden="0" customWidth="1"/>
    <x:col min="9" max="9" width="24.440000534057617" hidden="0" customWidth="1"/>
  </x:cols>
  <x:sheetData>
    <x:row r="1" ht="28" customHeight="1">
      <x:c r="A1" s="118" t="str">
        <x:v>Phase-Based Craft Resolver</x:v>
      </x:c>
      <x:c r="B1" s="118"/>
      <x:c r="C1" s="118"/>
      <x:c r="D1" s="118"/>
      <x:c r="E1" s="118"/>
      <x:c r="F1" s="118"/>
      <x:c r="G1" s="118"/>
      <x:c r="H1" s="118"/>
      <x:c r="I1" s="118"/>
    </x:row>
    <x:row r="2" ht="34" customHeight="1">
      <x:c r="A2" s="122" t="str">
        <x:v>Blue cells are editable. The calculator separates labor, setup, irreversible process time, passive waiting, inspection, rework, quality, yield, and learning.</x:v>
      </x:c>
      <x:c r="B2" s="122"/>
      <x:c r="C2" s="122"/>
      <x:c r="D2" s="122"/>
      <x:c r="E2" s="122"/>
      <x:c r="F2" s="122"/>
      <x:c r="G2" s="122"/>
      <x:c r="H2" s="122"/>
      <x:c r="I2" s="122"/>
    </x:row>
    <x:row r="4">
      <x:c r="A4" s="125" t="str">
        <x:v>Editable phase inputs</x:v>
      </x:c>
      <x:c r="B4" s="125"/>
      <x:c r="D4" s="125" t="str">
        <x:v>Derived time, control and quality</x:v>
      </x:c>
      <x:c r="E4" s="125"/>
      <x:c r="F4" s="125"/>
      <x:c r="G4" s="125" t="str">
        <x:v>Interpretation law</x:v>
      </x:c>
      <x:c r="H4" s="125"/>
      <x:c r="I4" s="125"/>
    </x:row>
    <x:row r="5">
      <x:c r="A5" s="188" t="str">
        <x:v>Base labor minutes</x:v>
      </x:c>
      <x:c r="B5" s="200" t="n">
        <x:v>180</x:v>
      </x:c>
      <x:c r="D5" s="132" t="str">
        <x:v>Output</x:v>
      </x:c>
      <x:c r="E5" s="134" t="str">
        <x:v>Value</x:v>
      </x:c>
      <x:c r="G5" s="132" t="str">
        <x:v>Situation</x:v>
      </x:c>
      <x:c r="H5" s="133" t="str">
        <x:v>Correct resolver response</x:v>
      </x:c>
      <x:c r="I5" s="134" t="str">
        <x:v>Forbidden response</x:v>
      </x:c>
    </x:row>
    <x:row r="6">
      <x:c r="A6" s="190" t="str">
        <x:v>Setup minutes</x:v>
      </x:c>
      <x:c r="B6" s="201" t="n">
        <x:v>20</x:v>
      </x:c>
      <x:c r="D6" s="154" t="str">
        <x:v>Technique economy</x:v>
      </x:c>
      <x:c r="E6" s="156" t="n">
        <x:f>0.55+0.65*B10</x:f>
        <x:v>0.8425</x:v>
      </x:c>
      <x:c r="G6" s="154" t="str">
        <x:v>novice but physical setup exists</x:v>
      </x:c>
      <x:c r="H6" s="155" t="str">
        <x:v>allow attempt; expose uncertainty and safer routes</x:v>
      </x:c>
      <x:c r="I6" s="156" t="str">
        <x:v>Level too low</x:v>
      </x:c>
    </x:row>
    <x:row r="7">
      <x:c r="A7" s="190" t="str">
        <x:v>Irreversible process minimum</x:v>
      </x:c>
      <x:c r="B7" s="201" t="n">
        <x:v>30</x:v>
      </x:c>
      <x:c r="D7" s="157" t="str">
        <x:v>Control margin</x:v>
      </x:c>
      <x:c r="E7" s="196" t="n">
        <x:f>0.18*B10+0.16*B11+0.10*B12+0.13*B13+0.13*B14+0.10*B15+0.08*B16+0.12*B17-B18</x:f>
        <x:v>-0.08499999999999996</x:v>
      </x:c>
      <x:c r="G7" s="157" t="str">
        <x:v>missing workholding</x:v>
      </x:c>
      <x:c r="H7" s="158" t="str">
        <x:v>require clamp/brace/helper/redesign</x:v>
      </x:c>
      <x:c r="I7" s="159" t="str">
        <x:v>more XP creates extra hands</x:v>
      </x:c>
    </x:row>
    <x:row r="8">
      <x:c r="A8" s="190" t="str">
        <x:v>Passive condition minutes</x:v>
      </x:c>
      <x:c r="B8" s="201" t="n">
        <x:v>120</x:v>
      </x:c>
      <x:c r="D8" s="157" t="str">
        <x:v>Active labor minutes</x:v>
      </x:c>
      <x:c r="E8" s="202" t="n">
        <x:f>B5/MAX(0.35,B20*E6*(0.45+0.55*B13)*(0.45+0.55*B14)*(0.60+0.40*B15))+B6</x:f>
        <x:v>534.2857142857143</x:v>
      </x:c>
      <x:c r="G8" s="157" t="str">
        <x:v>poor material</x:v>
      </x:c>
      <x:c r="H8" s="158" t="str">
        <x:v>show property/condition conflict; allow coupon/test</x:v>
      </x:c>
      <x:c r="I8" s="159" t="str">
        <x:v>random low quality color</x:v>
      </x:c>
    </x:row>
    <x:row r="9">
      <x:c r="A9" s="190" t="str">
        <x:v>Inspection/test minutes</x:v>
      </x:c>
      <x:c r="B9" s="201" t="n">
        <x:v>30</x:v>
      </x:c>
      <x:c r="D9" s="157" t="str">
        <x:v>Expected rework minutes</x:v>
      </x:c>
      <x:c r="E9" s="202" t="n">
        <x:f>B5*MAX(0,-E7)*0.75</x:f>
        <x:v>11.474999999999994</x:v>
      </x:c>
      <x:c r="G9" s="157" t="str">
        <x:v>negative control margin</x:v>
      </x:c>
      <x:c r="H9" s="158" t="str">
        <x:v>add time, rework and causal defect pressure</x:v>
      </x:c>
      <x:c r="I9" s="159" t="str">
        <x:v>silent failed-craft roll</x:v>
      </x:c>
    </x:row>
    <x:row r="10">
      <x:c r="A10" s="190" t="str">
        <x:v>Practical skill 0–1</x:v>
      </x:c>
      <x:c r="B10" s="191" t="n">
        <x:v>0.45</x:v>
      </x:c>
      <x:c r="D10" s="157" t="str">
        <x:v>Embodied phase minutes</x:v>
      </x:c>
      <x:c r="E10" s="202" t="n">
        <x:f>MAX(E8,B7)+E9</x:f>
        <x:v>545.7607142857144</x:v>
      </x:c>
      <x:c r="G10" s="157" t="str">
        <x:v>life-critical object</x:v>
      </x:c>
      <x:c r="H10" s="158" t="str">
        <x:v>weakest critical axis governs trust</x:v>
      </x:c>
      <x:c r="I10" s="159" t="str">
        <x:v>average quality score</x:v>
      </x:c>
    </x:row>
    <x:row r="11">
      <x:c r="A11" s="190" t="str">
        <x:v>Knowledge/preparation 0–1</x:v>
      </x:c>
      <x:c r="B11" s="191" t="n">
        <x:v>0.5</x:v>
      </x:c>
      <x:c r="D11" s="157" t="str">
        <x:v>Total elapsed minutes</x:v>
      </x:c>
      <x:c r="E11" s="202" t="n">
        <x:f>E10+B8+B9</x:f>
        <x:v>695.7607142857144</x:v>
      </x:c>
      <x:c r="G11" s="157" t="str">
        <x:v>mastery</x:v>
      </x:c>
      <x:c r="H11" s="158" t="str">
        <x:v>less correction/waste; better setup and transfer</x:v>
      </x:c>
      <x:c r="I11" s="159" t="str">
        <x:v>instant unknown manufacture</x:v>
      </x:c>
    </x:row>
    <x:row r="12">
      <x:c r="A12" s="190" t="str">
        <x:v>Characteristic fit 0–1</x:v>
      </x:c>
      <x:c r="B12" s="191" t="n">
        <x:v>0.55</x:v>
      </x:c>
      <x:c r="D12" s="157" t="str">
        <x:v>Function quality</x:v>
      </x:c>
      <x:c r="E12" s="195" t="n">
        <x:f>MAX(0,MIN(1,0.25*B17+0.20*B11+0.20*B10+0.15*B14+0.10*B15+0.10*B21))</x:f>
        <x:v>0.5800000000000001</x:v>
      </x:c>
      <x:c r="G12" s="160" t="str">
        <x:v>passive process</x:v>
      </x:c>
      <x:c r="H12" s="161" t="str">
        <x:v>conditions and world time continue</x:v>
      </x:c>
      <x:c r="I12" s="162" t="str">
        <x:v>skip chemistry through skill</x:v>
      </x:c>
    </x:row>
    <x:row r="13">
      <x:c r="A13" s="190" t="str">
        <x:v>Tool effectiveness 0–1</x:v>
      </x:c>
      <x:c r="B13" s="191" t="n">
        <x:v>0.5</x:v>
      </x:c>
      <x:c r="D13" s="157" t="str">
        <x:v>Safety quality</x:v>
      </x:c>
      <x:c r="E13" s="195" t="n">
        <x:f>MAX(0,MIN(1,0.22*B11+0.20*B13+0.18*B14+0.15*B15+0.10*B16+0.15*B21-B19*MAX(0,-E7)))</x:f>
        <x:v>0.513</x:v>
      </x:c>
    </x:row>
    <x:row r="14">
      <x:c r="A14" s="190" t="str">
        <x:v>Workspace control 0–1</x:v>
      </x:c>
      <x:c r="B14" s="191" t="n">
        <x:v>0.4</x:v>
      </x:c>
      <x:c r="D14" s="157" t="str">
        <x:v>Durability quality</x:v>
      </x:c>
      <x:c r="E14" s="195" t="n">
        <x:f>MAX(0,MIN(1,0.35*B17+0.20*B10+0.15*B11+0.15*B14+0.15*B21))</x:f>
        <x:v>0.58</x:v>
      </x:c>
    </x:row>
    <x:row r="15">
      <x:c r="A15" s="190" t="str">
        <x:v>Readiness 0–1</x:v>
      </x:c>
      <x:c r="B15" s="191" t="n">
        <x:v>0.8</x:v>
      </x:c>
      <x:c r="D15" s="157" t="str">
        <x:v>Repairability</x:v>
      </x:c>
      <x:c r="E15" s="195" t="n">
        <x:f>MAX(0,MIN(1,0.30*B11+0.25*B14+0.20*B10+0.25*B21))</x:f>
        <x:v>0.465</x:v>
      </x:c>
    </x:row>
    <x:row r="16">
      <x:c r="A16" s="190" t="str">
        <x:v>Environment suitability 0–1</x:v>
      </x:c>
      <x:c r="B16" s="191" t="n">
        <x:v>0.7</x:v>
      </x:c>
      <x:c r="D16" s="157" t="str">
        <x:v>Material yield</x:v>
      </x:c>
      <x:c r="E16" s="195" t="n">
        <x:f>MAX(0.15,MIN(0.98,0.50+0.20*B10+0.12*B11+0.10*B14+0.08*B20-0.25*MAX(0,-E7)))</x:f>
        <x:v>0.71675</x:v>
      </x:c>
    </x:row>
    <x:row r="17">
      <x:c r="A17" s="190" t="str">
        <x:v>Material suitability 0–1</x:v>
      </x:c>
      <x:c r="B17" s="191" t="n">
        <x:v>0.8</x:v>
      </x:c>
      <x:c r="D17" s="157" t="str">
        <x:v>Weakest critical axis</x:v>
      </x:c>
      <x:c r="E17" s="195" t="n">
        <x:f>MIN(E12,E13,E14)</x:f>
        <x:v>0.513</x:v>
      </x:c>
    </x:row>
    <x:row r="18">
      <x:c r="A18" s="190" t="str">
        <x:v>Operation difficulty 0–1</x:v>
      </x:c>
      <x:c r="B18" s="191" t="n">
        <x:v>0.65</x:v>
      </x:c>
      <x:c r="D18" s="157" t="str">
        <x:v>Learning candidate</x:v>
      </x:c>
      <x:c r="E18" s="196" t="n">
        <x:f>'Learning Resolver'!E9*(0.5+0.5*MAX(0,-E7))</x:f>
        <x:v>1.528629375</x:v>
      </x:c>
    </x:row>
    <x:row r="19">
      <x:c r="A19" s="190" t="str">
        <x:v>Hazard severity 0–1</x:v>
      </x:c>
      <x:c r="B19" s="191" t="n">
        <x:v>0.4</x:v>
      </x:c>
      <x:c r="D19" s="160" t="str">
        <x:v>Phase diagnosis</x:v>
      </x:c>
      <x:c r="E19" s="162" t="str">
        <x:f>IF(E7&gt;=0.15,"Controlled phase; main gains are consistency and proof",IF(E7&gt;=0,"Marginal control; inspect and test carefully","Defect pressure exceeds control; slow, jig, sample, guide, or change method"))</x:f>
        <x:v>Defect pressure exceeds control; slow, jig, sample, guide, or change method</x:v>
      </x:c>
    </x:row>
    <x:row r="20">
      <x:c r="A20" s="190" t="str">
        <x:v>Method efficiency 0–1</x:v>
      </x:c>
      <x:c r="B20" s="191" t="n">
        <x:v>0.6</x:v>
      </x:c>
    </x:row>
    <x:row r="21">
      <x:c r="A21" s="192" t="str">
        <x:v>Verification quality 0–1</x:v>
      </x:c>
      <x:c r="B21" s="193" t="n">
        <x:v>0.5</x:v>
      </x:c>
    </x:row>
  </x:sheetData>
  <x:mergeCells>
    <x:mergeCell ref="A1:I1"/>
    <x:mergeCell ref="A2:I2"/>
    <x:mergeCell ref="A4:B4"/>
    <x:mergeCell ref="D4:F4"/>
    <x:mergeCell ref="G4:I4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6.670000076293945" hidden="0" customWidth="1"/>
    <x:col min="3" max="3" width="21.110000610351562" hidden="0" customWidth="1"/>
    <x:col min="4" max="4" width="16.670000076293945" hidden="0" customWidth="1"/>
    <x:col min="5" max="5" width="21.110000610351562" hidden="0" customWidth="1"/>
    <x:col min="6" max="6" width="17.780000686645508" hidden="0" customWidth="1"/>
    <x:col min="7" max="7" width="16.110000610351562" hidden="0" customWidth="1"/>
    <x:col min="8" max="8" width="9.4399995803833" hidden="0" customWidth="1"/>
    <x:col min="9" max="9" width="9.4399995803833" hidden="0" customWidth="1"/>
    <x:col min="10" max="10" width="10.5600004196167" hidden="0" customWidth="1"/>
    <x:col min="11" max="11" width="23.329999923706055" hidden="0" customWidth="1"/>
    <x:col min="12" max="12" width="20" hidden="0" customWidth="1"/>
  </x:cols>
  <x:sheetData>
    <x:row r="1" ht="28" customHeight="1">
      <x:c r="A1" s="118" t="str">
        <x:v>Workbench Build and Module Back-Chain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4" customHeight="1">
      <x:c r="A2" s="122" t="str">
        <x:v>A table opens controlled operations only through physical surfaces, holding, measurement, separation, energy, and proof. Time values are game-time calibration seeds.</x:v>
      </x:c>
      <x:c r="B2" s="122"/>
      <x:c r="C2" s="122"/>
      <x:c r="D2" s="122"/>
      <x:c r="E2" s="122"/>
      <x:c r="F2" s="122"/>
      <x:c r="G2" s="122"/>
      <x:c r="H2" s="122"/>
      <x:c r="I2" s="122"/>
      <x:c r="J2" s="122"/>
      <x:c r="K2" s="122"/>
      <x:c r="L2" s="122"/>
    </x:row>
    <x:row r="4">
      <x:c r="A4" s="132" t="str">
        <x:v>State</x:v>
      </x:c>
      <x:c r="B4" s="133" t="str">
        <x:v>Module</x:v>
      </x:c>
      <x:c r="C4" s="133" t="str">
        <x:v>Main resources</x:v>
      </x:c>
      <x:c r="D4" s="133" t="str">
        <x:v>Upstream tools</x:v>
      </x:c>
      <x:c r="E4" s="133" t="str">
        <x:v>Required operations</x:v>
      </x:c>
      <x:c r="F4" s="133" t="str">
        <x:v>Knowledge minimum</x:v>
      </x:c>
      <x:c r="G4" s="133" t="str">
        <x:v>Skill minimum</x:v>
      </x:c>
      <x:c r="H4" s="133" t="str">
        <x:v>Active min</x:v>
      </x:c>
      <x:c r="I4" s="133" t="str">
        <x:v>Passive min</x:v>
      </x:c>
      <x:c r="J4" s="133" t="str">
        <x:v>Relations added</x:v>
      </x:c>
      <x:c r="K4" s="133" t="str">
        <x:v>Qualification</x:v>
      </x:c>
      <x:c r="L4" s="134" t="str">
        <x:v>New obligation</x:v>
      </x:c>
    </x:row>
    <x:row r="5">
      <x:c r="A5" s="154" t="str">
        <x:v>W0</x:v>
      </x:c>
      <x:c r="B5" s="155" t="str">
        <x:v>flat relation surface</x:v>
      </x:c>
      <x:c r="C5" s="155" t="str">
        <x:v>flat stone/stump/sand bed</x:v>
      </x:c>
      <x:c r="D5" s="155" t="str">
        <x:v>hands</x:v>
      </x:c>
      <x:c r="E5" s="155" t="str">
        <x:v>clear; stabilize; compare</x:v>
      </x:c>
      <x:c r="F5" s="155" t="str">
        <x:v>Observed stability</x:v>
      </x:c>
      <x:c r="G5" s="155" t="str">
        <x:v>Untried</x:v>
      </x:c>
      <x:c r="H5" s="203" t="n">
        <x:v>15</x:v>
      </x:c>
      <x:c r="I5" s="203" t="n">
        <x:v>0</x:v>
      </x:c>
      <x:c r="J5" s="155" t="n">
        <x:v>0</x:v>
      </x:c>
      <x:c r="K5" s="155" t="str">
        <x:v>workpiece stable under hand force</x:v>
      </x:c>
      <x:c r="L5" s="156" t="str">
        <x:v>dirt; posture; lost parts</x:v>
      </x:c>
    </x:row>
    <x:row r="6">
      <x:c r="A6" s="157" t="str">
        <x:v>W0</x:v>
      </x:c>
      <x:c r="B6" s="158" t="str">
        <x:v>woven work mat</x:v>
      </x:c>
      <x:c r="C6" s="158" t="str">
        <x:v>0.5–1.5 kg fiber</x:v>
      </x:c>
      <x:c r="D6" s="158" t="str">
        <x:v>cutter optional</x:v>
      </x:c>
      <x:c r="E6" s="158" t="str">
        <x:v>strip; dry; twist/weave</x:v>
      </x:c>
      <x:c r="F6" s="158" t="str">
        <x:v>Supported fiber handling</x:v>
      </x:c>
      <x:c r="G6" s="158" t="str">
        <x:v>Guided fiber</x:v>
      </x:c>
      <x:c r="H6" s="204" t="n">
        <x:v>90</x:v>
      </x:c>
      <x:c r="I6" s="204" t="n">
        <x:v>180</x:v>
      </x:c>
      <x:c r="J6" s="158" t="n">
        <x:v>0</x:v>
      </x:c>
      <x:c r="K6" s="158" t="str">
        <x:v>parts remain visible/cleaner</x:v>
      </x:c>
      <x:c r="L6" s="159" t="str">
        <x:v>drying; cleaning</x:v>
      </x:c>
    </x:row>
    <x:row r="7">
      <x:c r="A7" s="157" t="str">
        <x:v>W1</x:v>
      </x:c>
      <x:c r="B7" s="158" t="str">
        <x:v>top/slab</x:v>
      </x:c>
      <x:c r="C7" s="158" t="str">
        <x:v>20–40 kg timber</x:v>
      </x:c>
      <x:c r="D7" s="158" t="str">
        <x:v>axe/cutter/hammerstone</x:v>
      </x:c>
      <x:c r="E7" s="158" t="str">
        <x:v>split; flatten contact; arrange</x:v>
      </x:c>
      <x:c r="F7" s="158" t="str">
        <x:v>Supported timber/load</x:v>
      </x:c>
      <x:c r="G7" s="158" t="str">
        <x:v>Functional wood</x:v>
      </x:c>
      <x:c r="H7" s="204" t="n">
        <x:v>240</x:v>
      </x:c>
      <x:c r="I7" s="204" t="n">
        <x:v>0</x:v>
      </x:c>
      <x:c r="J7" s="158" t="n">
        <x:v>0</x:v>
      </x:c>
      <x:c r="K7" s="158" t="str">
        <x:v>top survives vertical/side hand load</x:v>
      </x:c>
      <x:c r="L7" s="159" t="str">
        <x:v>checking; surface wear</x:v>
      </x:c>
    </x:row>
    <x:row r="8">
      <x:c r="A8" s="157" t="str">
        <x:v>W1</x:v>
      </x:c>
      <x:c r="B8" s="158" t="str">
        <x:v>base/legs/braces</x:v>
      </x:c>
      <x:c r="C8" s="158" t="str">
        <x:v>4 legs/trestles; braces</x:v>
      </x:c>
      <x:c r="D8" s="158" t="str">
        <x:v>axe/cutter</x:v>
      </x:c>
      <x:c r="E8" s="158" t="str">
        <x:v>cut; notch; lash/peg</x:v>
      </x:c>
      <x:c r="F8" s="158" t="str">
        <x:v>Supported load path</x:v>
      </x:c>
      <x:c r="G8" s="158" t="str">
        <x:v>Functional wood/binding</x:v>
      </x:c>
      <x:c r="H8" s="204" t="n">
        <x:v>300</x:v>
      </x:c>
      <x:c r="I8" s="204" t="n">
        <x:v>0</x:v>
      </x:c>
      <x:c r="J8" s="158" t="n">
        <x:v>1</x:v>
      </x:c>
      <x:c r="K8" s="158" t="str">
        <x:v>no progressive rack/overturn</x:v>
      </x:c>
      <x:c r="L8" s="159" t="str">
        <x:v>joint inspection</x:v>
      </x:c>
    </x:row>
    <x:row r="9">
      <x:c r="A9" s="157" t="str">
        <x:v>W1</x:v>
      </x:c>
      <x:c r="B9" s="158" t="str">
        <x:v>pegs/wedges or lash joints</x:v>
      </x:c>
      <x:c r="C9" s="158" t="str">
        <x:v>6–12 pegs or 8–15 m cord</x:v>
      </x:c>
      <x:c r="D9" s="158" t="str">
        <x:v>knife/hammerstone</x:v>
      </x:c>
      <x:c r="E9" s="158" t="str">
        <x:v>carve; bore/drive; tension</x:v>
      </x:c>
      <x:c r="F9" s="158" t="str">
        <x:v>Supported joint behavior</x:v>
      </x:c>
      <x:c r="G9" s="158" t="str">
        <x:v>Functional fit/binding</x:v>
      </x:c>
      <x:c r="H9" s="204" t="n">
        <x:v>150</x:v>
      </x:c>
      <x:c r="I9" s="204" t="n">
        <x:v>0</x:v>
      </x:c>
      <x:c r="J9" s="158" t="n">
        <x:v>0</x:v>
      </x:c>
      <x:c r="K9" s="158" t="str">
        <x:v>joint marked and load checked</x:v>
      </x:c>
      <x:c r="L9" s="159" t="str">
        <x:v>retension/replacement</x:v>
      </x:c>
    </x:row>
    <x:row r="10">
      <x:c r="A10" s="157" t="str">
        <x:v>W1</x:v>
      </x:c>
      <x:c r="B10" s="158" t="str">
        <x:v>leveling pads/shims</x:v>
      </x:c>
      <x:c r="C10" s="158" t="str">
        <x:v>stone/wood shims; line/water cue</x:v>
      </x:c>
      <x:c r="D10" s="158" t="str">
        <x:v>hammer/line</x:v>
      </x:c>
      <x:c r="E10" s="158" t="str">
        <x:v>compare; shim; load</x:v>
      </x:c>
      <x:c r="F10" s="158" t="str">
        <x:v>Suspected datum</x:v>
      </x:c>
      <x:c r="G10" s="158" t="str">
        <x:v>Guided measurement</x:v>
      </x:c>
      <x:c r="H10" s="204" t="n">
        <x:v>60</x:v>
      </x:c>
      <x:c r="I10" s="204" t="n">
        <x:v>0</x:v>
      </x:c>
      <x:c r="J10" s="158" t="n">
        <x:v>0</x:v>
      </x:c>
      <x:c r="K10" s="158" t="str">
        <x:v>reference does not rock</x:v>
      </x:c>
      <x:c r="L10" s="159" t="str">
        <x:v>settlement checks</x:v>
      </x:c>
    </x:row>
    <x:row r="11">
      <x:c r="A11" s="157" t="str">
        <x:v>W1</x:v>
      </x:c>
      <x:c r="B11" s="158" t="str">
        <x:v>sacrificial surface</x:v>
      </x:c>
      <x:c r="C11" s="158" t="str">
        <x:v>bark/board/replaceable strip</x:v>
      </x:c>
      <x:c r="D11" s="158" t="str">
        <x:v>cutter</x:v>
      </x:c>
      <x:c r="E11" s="158" t="str">
        <x:v>fit; fasten</x:v>
      </x:c>
      <x:c r="F11" s="158" t="str">
        <x:v>Observed contamination/wear</x:v>
      </x:c>
      <x:c r="G11" s="158" t="str">
        <x:v>Guided fit</x:v>
      </x:c>
      <x:c r="H11" s="204" t="n">
        <x:v>45</x:v>
      </x:c>
      <x:c r="I11" s="204" t="n">
        <x:v>0</x:v>
      </x:c>
      <x:c r="J11" s="158" t="n">
        <x:v>0</x:v>
      </x:c>
      <x:c r="K11" s="158" t="str">
        <x:v>replaceable without bench damage</x:v>
      </x:c>
      <x:c r="L11" s="159" t="str">
        <x:v>replacement stock</x:v>
      </x:c>
    </x:row>
    <x:row r="12">
      <x:c r="A12" s="157" t="str">
        <x:v>W2</x:v>
      </x:c>
      <x:c r="B12" s="158" t="str">
        <x:v>bench stop/hook</x:v>
      </x:c>
      <x:c r="C12" s="158" t="str">
        <x:v>hardwood peg/wedge/board</x:v>
      </x:c>
      <x:c r="D12" s="158" t="str">
        <x:v>knife/axe/hammer</x:v>
      </x:c>
      <x:c r="E12" s="158" t="str">
        <x:v>fit; seat; load</x:v>
      </x:c>
      <x:c r="F12" s="158" t="str">
        <x:v>Supported force direction</x:v>
      </x:c>
      <x:c r="G12" s="158" t="str">
        <x:v>Functional fit</x:v>
      </x:c>
      <x:c r="H12" s="204" t="n">
        <x:v>60</x:v>
      </x:c>
      <x:c r="I12" s="204" t="n">
        <x:v>0</x:v>
      </x:c>
      <x:c r="J12" s="158" t="n">
        <x:v>1</x:v>
      </x:c>
      <x:c r="K12" s="158" t="str">
        <x:v>holds intended cutting direction</x:v>
      </x:c>
      <x:c r="L12" s="159" t="str">
        <x:v>surface damage</x:v>
      </x:c>
    </x:row>
    <x:row r="13">
      <x:c r="A13" s="157" t="str">
        <x:v>W2</x:v>
      </x:c>
      <x:c r="B13" s="158" t="str">
        <x:v>dogs/pegs</x:v>
      </x:c>
      <x:c r="C13" s="158" t="str">
        <x:v>shaped hardwood or metal</x:v>
      </x:c>
      <x:c r="D13" s="158" t="str">
        <x:v>knife/gauge</x:v>
      </x:c>
      <x:c r="E13" s="158" t="str">
        <x:v>shape; fit repeated holes</x:v>
      </x:c>
      <x:c r="F13" s="158" t="str">
        <x:v>Supported repeat placement</x:v>
      </x:c>
      <x:c r="G13" s="158" t="str">
        <x:v>Reliable fit</x:v>
      </x:c>
      <x:c r="H13" s="204" t="n">
        <x:v>90</x:v>
      </x:c>
      <x:c r="I13" s="204" t="n">
        <x:v>0</x:v>
      </x:c>
      <x:c r="J13" s="158" t="n">
        <x:v>1</x:v>
      </x:c>
      <x:c r="K13" s="158" t="str">
        <x:v>repeat positions without drift</x:v>
      </x:c>
      <x:c r="L13" s="159" t="str">
        <x:v>hole/peg wear</x:v>
      </x:c>
    </x:row>
    <x:row r="14">
      <x:c r="A14" s="157" t="str">
        <x:v>W2</x:v>
      </x:c>
      <x:c r="B14" s="158" t="str">
        <x:v>wedge clamp</x:v>
      </x:c>
      <x:c r="C14" s="158" t="str">
        <x:v>jaws; wedges; soft lining</x:v>
      </x:c>
      <x:c r="D14" s="158" t="str">
        <x:v>knife/axe/gauge</x:v>
      </x:c>
      <x:c r="E14" s="158" t="str">
        <x:v>shape; align; wedge</x:v>
      </x:c>
      <x:c r="F14" s="158" t="str">
        <x:v>Understood clamping</x:v>
      </x:c>
      <x:c r="G14" s="158" t="str">
        <x:v>Reliable wood/fit</x:v>
      </x:c>
      <x:c r="H14" s="204" t="n">
        <x:v>240</x:v>
      </x:c>
      <x:c r="I14" s="204" t="n">
        <x:v>0</x:v>
      </x:c>
      <x:c r="J14" s="158" t="n">
        <x:v>1</x:v>
      </x:c>
      <x:c r="K14" s="158" t="str">
        <x:v>holds without crushing test piece</x:v>
      </x:c>
      <x:c r="L14" s="159" t="str">
        <x:v>jaw/lining inspection</x:v>
      </x:c>
    </x:row>
    <x:row r="15">
      <x:c r="A15" s="157" t="str">
        <x:v>W2</x:v>
      </x:c>
      <x:c r="B15" s="158" t="str">
        <x:v>vise route</x:v>
      </x:c>
      <x:c r="C15" s="158" t="str">
        <x:v>jaws; guide; screw/wedge/lever</x:v>
      </x:c>
      <x:c r="D15" s="158" t="str">
        <x:v>saw/borer/gauge</x:v>
      </x:c>
      <x:c r="E15" s="158" t="str">
        <x:v>bore; align; join; test</x:v>
      </x:c>
      <x:c r="F15" s="158" t="str">
        <x:v>Understood force/alignment</x:v>
      </x:c>
      <x:c r="G15" s="158" t="str">
        <x:v>Reliable fit</x:v>
      </x:c>
      <x:c r="H15" s="204" t="n">
        <x:v>720</x:v>
      </x:c>
      <x:c r="I15" s="204" t="n">
        <x:v>0</x:v>
      </x:c>
      <x:c r="J15" s="158" t="n">
        <x:v>2</x:v>
      </x:c>
      <x:c r="K15" s="158" t="str">
        <x:v>multi-axis hold within safe force</x:v>
      </x:c>
      <x:c r="L15" s="159" t="str">
        <x:v>thread/guide lubrication</x:v>
      </x:c>
    </x:row>
    <x:row r="16">
      <x:c r="A16" s="157" t="str">
        <x:v>W2</x:v>
      </x:c>
      <x:c r="B16" s="158" t="str">
        <x:v>straightedge</x:v>
      </x:c>
      <x:c r="C16" s="158" t="str">
        <x:v>seasoned straight stock</x:v>
      </x:c>
      <x:c r="D16" s="158" t="str">
        <x:v>plane/scraper/line</x:v>
      </x:c>
      <x:c r="E16" s="158" t="str">
        <x:v>season; compare; true</x:v>
      </x:c>
      <x:c r="F16" s="158" t="str">
        <x:v>Supported measurement</x:v>
      </x:c>
      <x:c r="G16" s="158" t="str">
        <x:v>Reliable surface</x:v>
      </x:c>
      <x:c r="H16" s="204" t="n">
        <x:v>120</x:v>
      </x:c>
      <x:c r="I16" s="204" t="n">
        <x:v>10080</x:v>
      </x:c>
      <x:c r="J16" s="158" t="n">
        <x:v>0</x:v>
      </x:c>
      <x:c r="K16" s="158" t="str">
        <x:v>checked by reversal/comparison</x:v>
      </x:c>
      <x:c r="L16" s="159" t="str">
        <x:v>reverification</x:v>
      </x:c>
    </x:row>
    <x:row r="17">
      <x:c r="A17" s="157" t="str">
        <x:v>W2</x:v>
      </x:c>
      <x:c r="B17" s="158" t="str">
        <x:v>square</x:v>
      </x:c>
      <x:c r="C17" s="158" t="str">
        <x:v>two stable members; fastener</x:v>
      </x:c>
      <x:c r="D17" s="158" t="str">
        <x:v>straightedge/knife</x:v>
      </x:c>
      <x:c r="E17" s="158" t="str">
        <x:v>fit; mark; reverse-test</x:v>
      </x:c>
      <x:c r="F17" s="158" t="str">
        <x:v>Understood right-angle relation</x:v>
      </x:c>
      <x:c r="G17" s="158" t="str">
        <x:v>Reliable fit</x:v>
      </x:c>
      <x:c r="H17" s="204" t="n">
        <x:v>150</x:v>
      </x:c>
      <x:c r="I17" s="204" t="n">
        <x:v>0</x:v>
      </x:c>
      <x:c r="J17" s="158" t="n">
        <x:v>0</x:v>
      </x:c>
      <x:c r="K17" s="158" t="str">
        <x:v>reversal test passes meaningful tolerance</x:v>
      </x:c>
      <x:c r="L17" s="159" t="str">
        <x:v>datum protection</x:v>
      </x:c>
    </x:row>
    <x:row r="18">
      <x:c r="A18" s="157" t="str">
        <x:v>W2</x:v>
      </x:c>
      <x:c r="B18" s="158" t="str">
        <x:v>marking line/gauge</x:v>
      </x:c>
      <x:c r="C18" s="158" t="str">
        <x:v>cord/pigment or beam/pin</x:v>
      </x:c>
      <x:c r="D18" s="158" t="str">
        <x:v>knife</x:v>
      </x:c>
      <x:c r="E18" s="158" t="str">
        <x:v>make; calibrate; mark</x:v>
      </x:c>
      <x:c r="F18" s="158" t="str">
        <x:v>Supported repeat dimension</x:v>
      </x:c>
      <x:c r="G18" s="158" t="str">
        <x:v>Functional measurement</x:v>
      </x:c>
      <x:c r="H18" s="204" t="n">
        <x:v>90</x:v>
      </x:c>
      <x:c r="I18" s="204" t="n">
        <x:v>0</x:v>
      </x:c>
      <x:c r="J18" s="158" t="n">
        <x:v>0</x:v>
      </x:c>
      <x:c r="K18" s="158" t="str">
        <x:v>marks repeat from same datum</x:v>
      </x:c>
      <x:c r="L18" s="159" t="str">
        <x:v>line/pin wear</x:v>
      </x:c>
    </x:row>
    <x:row r="19">
      <x:c r="A19" s="157" t="str">
        <x:v>W2</x:v>
      </x:c>
      <x:c r="B19" s="158" t="str">
        <x:v>boring guide</x:v>
      </x:c>
      <x:c r="C19" s="158" t="str">
        <x:v>hard block/tube; marks</x:v>
      </x:c>
      <x:c r="D19" s="158" t="str">
        <x:v>borer/square</x:v>
      </x:c>
      <x:c r="E19" s="158" t="str">
        <x:v>bore; align; proof</x:v>
      </x:c>
      <x:c r="F19" s="158" t="str">
        <x:v>Understood axis control</x:v>
      </x:c>
      <x:c r="G19" s="158" t="str">
        <x:v>Reliable boring</x:v>
      </x:c>
      <x:c r="H19" s="204" t="n">
        <x:v>300</x:v>
      </x:c>
      <x:c r="I19" s="204" t="n">
        <x:v>0</x:v>
      </x:c>
      <x:c r="J19" s="158" t="n">
        <x:v>1</x:v>
      </x:c>
      <x:c r="K19" s="158" t="str">
        <x:v>sample holes meet alignment test</x:v>
      </x:c>
      <x:c r="L19" s="159" t="str">
        <x:v>guide wear</x:v>
      </x:c>
    </x:row>
    <x:row r="20">
      <x:c r="A20" s="157" t="str">
        <x:v>W3</x:v>
      </x:c>
      <x:c r="B20" s="158" t="str">
        <x:v>jig interface</x:v>
      </x:c>
      <x:c r="C20" s="158" t="str">
        <x:v>stable datum rail/holes</x:v>
      </x:c>
      <x:c r="D20" s="158" t="str">
        <x:v>W2 suite</x:v>
      </x:c>
      <x:c r="E20" s="158" t="str">
        <x:v>measure; bore; label</x:v>
      </x:c>
      <x:c r="F20" s="158" t="str">
        <x:v>Generalized repeatability</x:v>
      </x:c>
      <x:c r="G20" s="158" t="str">
        <x:v>Reliable measurement</x:v>
      </x:c>
      <x:c r="H20" s="204" t="n">
        <x:v>480</x:v>
      </x:c>
      <x:c r="I20" s="204" t="n">
        <x:v>0</x:v>
      </x:c>
      <x:c r="J20" s="158" t="n">
        <x:v>2</x:v>
      </x:c>
      <x:c r="K20" s="158" t="str">
        <x:v>multiple jigs locate consistently</x:v>
      </x:c>
      <x:c r="L20" s="159" t="str">
        <x:v>interface standards</x:v>
      </x:c>
    </x:row>
    <x:row r="21">
      <x:c r="A21" s="157" t="str">
        <x:v>W3</x:v>
      </x:c>
      <x:c r="B21" s="158" t="str">
        <x:v>parts board/drawers</x:v>
      </x:c>
      <x:c r="C21" s="158" t="str">
        <x:v>dry boards/fiber bins/labels</x:v>
      </x:c>
      <x:c r="D21" s="158" t="str">
        <x:v>wood tools</x:v>
      </x:c>
      <x:c r="E21" s="158" t="str">
        <x:v>join; partition; label</x:v>
      </x:c>
      <x:c r="F21" s="158" t="str">
        <x:v>Supported stock control</x:v>
      </x:c>
      <x:c r="G21" s="158" t="str">
        <x:v>Functional joinery</x:v>
      </x:c>
      <x:c r="H21" s="204" t="n">
        <x:v>420</x:v>
      </x:c>
      <x:c r="I21" s="204" t="n">
        <x:v>0</x:v>
      </x:c>
      <x:c r="J21" s="158" t="n">
        <x:v>0</x:v>
      </x:c>
      <x:c r="K21" s="158" t="str">
        <x:v>scarce parts traceable after task</x:v>
      </x:c>
      <x:c r="L21" s="159" t="str">
        <x:v>inventory discipline</x:v>
      </x:c>
    </x:row>
    <x:row r="22">
      <x:c r="A22" s="157" t="str">
        <x:v>W3</x:v>
      </x:c>
      <x:c r="B22" s="158" t="str">
        <x:v>replaceable clean insert</x:v>
      </x:c>
      <x:c r="C22" s="158" t="str">
        <x:v>sealed board/metal/ceramic surface</x:v>
      </x:c>
      <x:c r="D22" s="158" t="str">
        <x:v>clean tools</x:v>
      </x:c>
      <x:c r="E22" s="158" t="str">
        <x:v>clean; seal; isolate</x:v>
      </x:c>
      <x:c r="F22" s="158" t="str">
        <x:v>Understood contamination</x:v>
      </x:c>
      <x:c r="G22" s="158" t="str">
        <x:v>Reliable hygiene</x:v>
      </x:c>
      <x:c r="H22" s="204" t="n">
        <x:v>240</x:v>
      </x:c>
      <x:c r="I22" s="204" t="n">
        <x:v>360</x:v>
      </x:c>
      <x:c r="J22" s="158" t="n">
        <x:v>0</x:v>
      </x:c>
      <x:c r="K22" s="158" t="str">
        <x:v>cleaning/contamination test</x:v>
      </x:c>
      <x:c r="L22" s="159" t="str">
        <x:v>separate storage</x:v>
      </x:c>
    </x:row>
    <x:row r="23">
      <x:c r="A23" s="157" t="str">
        <x:v>W4</x:v>
      </x:c>
      <x:c r="B23" s="158" t="str">
        <x:v>fiber cell</x:v>
      </x:c>
      <x:c r="C23" s="158" t="str">
        <x:v>racks; spindle; gauges; wet/dirty boundary</x:v>
      </x:c>
      <x:c r="D23" s="158" t="str">
        <x:v>cutters; hooks</x:v>
      </x:c>
      <x:c r="E23" s="158" t="str">
        <x:v>process; dry; twist; weave</x:v>
      </x:c>
      <x:c r="F23" s="158" t="str">
        <x:v>Understood fiber states</x:v>
      </x:c>
      <x:c r="G23" s="158" t="str">
        <x:v>Reliable fiber</x:v>
      </x:c>
      <x:c r="H23" s="204" t="n">
        <x:v>1200</x:v>
      </x:c>
      <x:c r="I23" s="204" t="n">
        <x:v>720</x:v>
      </x:c>
      <x:c r="J23" s="158" t="n">
        <x:v>3</x:v>
      </x:c>
      <x:c r="K23" s="158" t="str">
        <x:v>repeat cord/net spec</x:v>
      </x:c>
      <x:c r="L23" s="159" t="str">
        <x:v>humidity; cleaning</x:v>
      </x:c>
    </x:row>
    <x:row r="24">
      <x:c r="A24" s="157" t="str">
        <x:v>W4</x:v>
      </x:c>
      <x:c r="B24" s="158" t="str">
        <x:v>food/medical clean cell</x:v>
      </x:c>
      <x:c r="C24" s="158" t="str">
        <x:v>qualified surface; clean water; light; waste</x:v>
      </x:c>
      <x:c r="D24" s="158" t="str">
        <x:v>clean tools</x:v>
      </x:c>
      <x:c r="E24" s="158" t="str">
        <x:v>wash; isolate; monitor</x:v>
      </x:c>
      <x:c r="F24" s="158" t="str">
        <x:v>Understood hygiene</x:v>
      </x:c>
      <x:c r="G24" s="158" t="str">
        <x:v>Reliable sanitation</x:v>
      </x:c>
      <x:c r="H24" s="204" t="n">
        <x:v>900</x:v>
      </x:c>
      <x:c r="I24" s="204" t="n">
        <x:v>360</x:v>
      </x:c>
      <x:c r="J24" s="158" t="n">
        <x:v>2</x:v>
      </x:c>
      <x:c r="K24" s="158" t="str">
        <x:v>clean workflow audit</x:v>
      </x:c>
      <x:c r="L24" s="159" t="str">
        <x:v>water/waste supply</x:v>
      </x:c>
    </x:row>
    <x:row r="25">
      <x:c r="A25" s="157" t="str">
        <x:v>W4</x:v>
      </x:c>
      <x:c r="B25" s="158" t="str">
        <x:v>hot-work cell</x:v>
      </x:c>
      <x:c r="C25" s="158" t="str">
        <x:v>hearth/forge; block/anvil; tongs; quench; shield</x:v>
      </x:c>
      <x:c r="D25" s="158" t="str">
        <x:v>fire tools</x:v>
      </x:c>
      <x:c r="E25" s="158" t="str">
        <x:v>build; draft; heat; handle</x:v>
      </x:c>
      <x:c r="F25" s="158" t="str">
        <x:v>Understood heat/fire</x:v>
      </x:c>
      <x:c r="G25" s="158" t="str">
        <x:v>Reliable fire/hot work</x:v>
      </x:c>
      <x:c r="H25" s="204" t="n">
        <x:v>2400</x:v>
      </x:c>
      <x:c r="I25" s="204" t="n">
        <x:v>1440</x:v>
      </x:c>
      <x:c r="J25" s="158" t="n">
        <x:v>3</x:v>
      </x:c>
      <x:c r="K25" s="158" t="str">
        <x:v>controlled heat + emergency shutdown</x:v>
      </x:c>
      <x:c r="L25" s="159" t="str">
        <x:v>fuel; fire watch; ventilation</x:v>
      </x:c>
    </x:row>
    <x:row r="26">
      <x:c r="A26" s="157" t="str">
        <x:v>W4</x:v>
      </x:c>
      <x:c r="B26" s="158" t="str">
        <x:v>mechanical cell</x:v>
      </x:c>
      <x:c r="C26" s="158" t="str">
        <x:v>drain tray; stand; parts control; cleaner</x:v>
      </x:c>
      <x:c r="D26" s="158" t="str">
        <x:v>W2/W3; hoist route</x:v>
      </x:c>
      <x:c r="E26" s="158" t="str">
        <x:v>isolate; dismantle; clean; fit</x:v>
      </x:c>
      <x:c r="F26" s="158" t="str">
        <x:v>Understood mechanism/fluids</x:v>
      </x:c>
      <x:c r="G26" s="158" t="str">
        <x:v>Reliable mechanics</x:v>
      </x:c>
      <x:c r="H26" s="204" t="n">
        <x:v>1800</x:v>
      </x:c>
      <x:c r="I26" s="204" t="n">
        <x:v>720</x:v>
      </x:c>
      <x:c r="J26" s="158" t="n">
        <x:v>3</x:v>
      </x:c>
      <x:c r="K26" s="158" t="str">
        <x:v>subsystem bench/run test</x:v>
      </x:c>
      <x:c r="L26" s="159" t="str">
        <x:v>spares; fluid/waste</x:v>
      </x:c>
    </x:row>
    <x:row r="27">
      <x:c r="A27" s="157" t="str">
        <x:v>W4</x:v>
      </x:c>
      <x:c r="B27" s="158" t="str">
        <x:v>electrical cell</x:v>
      </x:c>
      <x:c r="C27" s="158" t="str">
        <x:v>dry isolation; meter; fuse; insulated storage</x:v>
      </x:c>
      <x:c r="D27" s="158" t="str">
        <x:v>qualified instruments</x:v>
      </x:c>
      <x:c r="E27" s="158" t="str">
        <x:v>isolate; measure; join; test</x:v>
      </x:c>
      <x:c r="F27" s="158" t="str">
        <x:v>Understood circuits/hazard</x:v>
      </x:c>
      <x:c r="G27" s="158" t="str">
        <x:v>Reliable electrical</x:v>
      </x:c>
      <x:c r="H27" s="204" t="n">
        <x:v>1500</x:v>
      </x:c>
      <x:c r="I27" s="204" t="n">
        <x:v>0</x:v>
      </x:c>
      <x:c r="J27" s="158" t="n">
        <x:v>2</x:v>
      </x:c>
      <x:c r="K27" s="158" t="str">
        <x:v>continuity/insulation/load test</x:v>
      </x:c>
      <x:c r="L27" s="159" t="str">
        <x:v>calibration; dry boundary</x:v>
      </x:c>
    </x:row>
    <x:row r="28">
      <x:c r="A28" s="157" t="str">
        <x:v>W5</x:v>
      </x:c>
      <x:c r="B28" s="158" t="str">
        <x:v>guarded powered drive</x:v>
      </x:c>
      <x:c r="C28" s="158" t="str">
        <x:v>motor/shaft/belts/guards/stop/power</x:v>
      </x:c>
      <x:c r="D28" s="158" t="str">
        <x:v>mechanical/electrical cells</x:v>
      </x:c>
      <x:c r="E28" s="158" t="str">
        <x:v>align; guard; lubricate; test</x:v>
      </x:c>
      <x:c r="F28" s="158" t="str">
        <x:v>Generalized machine safety</x:v>
      </x:c>
      <x:c r="G28" s="158" t="str">
        <x:v>Adaptive mechanics</x:v>
      </x:c>
      <x:c r="H28" s="204" t="n">
        <x:v>4800</x:v>
      </x:c>
      <x:c r="I28" s="204" t="n">
        <x:v>1440</x:v>
      </x:c>
      <x:c r="J28" s="158" t="n">
        <x:v>4</x:v>
      </x:c>
      <x:c r="K28" s="158" t="str">
        <x:v>no-load then guarded load test</x:v>
      </x:c>
      <x:c r="L28" s="159" t="str">
        <x:v>energy; guarding; maintenance</x:v>
      </x:c>
    </x:row>
    <x:row r="29">
      <x:c r="A29" s="160" t="str">
        <x:v>W6</x:v>
      </x:c>
      <x:c r="B29" s="161" t="str">
        <x:v>legacy shop/boatyard</x:v>
      </x:c>
      <x:c r="C29" s="161" t="str">
        <x:v>hoist; test stands; stock; archive; launch support</x:v>
      </x:c>
      <x:c r="D29" s="161" t="str">
        <x:v>W4/W5 network</x:v>
      </x:c>
      <x:c r="E29" s="161" t="str">
        <x:v>integrate; standardize; teach</x:v>
      </x:c>
      <x:c r="F29" s="161" t="str">
        <x:v>Generalized systems/handoff</x:v>
      </x:c>
      <x:c r="G29" s="161" t="str">
        <x:v>Adaptive multi-domain</x:v>
      </x:c>
      <x:c r="H29" s="205" t="n">
        <x:v>14400</x:v>
      </x:c>
      <x:c r="I29" s="205" t="n">
        <x:v>10080</x:v>
      </x:c>
      <x:c r="J29" s="161" t="n">
        <x:v>6</x:v>
      </x:c>
      <x:c r="K29" s="161" t="str">
        <x:v>representative engine/boat/utility proof</x:v>
      </x:c>
      <x:c r="L29" s="162" t="str">
        <x:v>institutional upkeep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7f03b9df94141c4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9.440000534057617" hidden="0" customWidth="1"/>
    <x:col min="3" max="3" width="10.5600004196167" hidden="0" customWidth="1"/>
    <x:col min="4" max="4" width="28.889999389648438" hidden="0" customWidth="1"/>
    <x:col min="5" max="5" width="23.329999923706055" hidden="0" customWidth="1"/>
    <x:col min="6" max="6" width="17.780000686645508" hidden="0" customWidth="1"/>
    <x:col min="7" max="7" width="18.889999389648438" hidden="0" customWidth="1"/>
    <x:col min="8" max="8" width="22.219999313354492" hidden="0" customWidth="1"/>
    <x:col min="9" max="9" width="20.559999465942383" hidden="0" customWidth="1"/>
    <x:col min="10" max="10" width="18.329999923706055" hidden="0" customWidth="1"/>
    <x:col min="11" max="11" width="9.4399995803833" hidden="0" customWidth="1"/>
    <x:col min="12" max="12" width="9.4399995803833" hidden="0" customWidth="1"/>
    <x:col min="13" max="13" width="23.889999389648438" hidden="0" customWidth="1"/>
    <x:col min="14" max="14" width="19.440000534057617" hidden="0" customWidth="1"/>
  </x:cols>
  <x:sheetData>
    <x:row r="1" ht="28" customHeight="1">
      <x:c r="A1" s="118" t="str">
        <x:v>Core Craft Tree — Resources, Tools, Workspaces, Knowledge and Time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</x:row>
    <x:row r="2" ht="34" customHeight="1">
      <x:c r="A2" s="122" t="str">
        <x:v>Representative complete road from raw island matter to workshop and return systems. Rows are capability nodes; predecessor IDs use AND by default and | for credible alternatives.</x:v>
      </x:c>
      <x:c r="B2" s="122"/>
      <x:c r="C2" s="122"/>
      <x:c r="D2" s="122"/>
      <x:c r="E2" s="122"/>
      <x:c r="F2" s="122"/>
      <x:c r="G2" s="122"/>
      <x:c r="H2" s="122"/>
      <x:c r="I2" s="122"/>
      <x:c r="J2" s="122"/>
      <x:c r="K2" s="122"/>
      <x:c r="L2" s="122"/>
      <x:c r="M2" s="122"/>
      <x:c r="N2" s="122"/>
    </x:row>
    <x:row r="4">
      <x:c r="A4" s="132" t="str">
        <x:v>ID</x:v>
      </x:c>
      <x:c r="B4" s="133" t="str">
        <x:v>Node</x:v>
      </x:c>
      <x:c r="C4" s="133" t="str">
        <x:v>Class</x:v>
      </x:c>
      <x:c r="D4" s="133" t="str">
        <x:v>Predecessors / alternate routes</x:v>
      </x:c>
      <x:c r="E4" s="133" t="str">
        <x:v>Consumed resources</x:v>
      </x:c>
      <x:c r="F4" s="133" t="str">
        <x:v>Tools</x:v>
      </x:c>
      <x:c r="G4" s="133" t="str">
        <x:v>Workspace</x:v>
      </x:c>
      <x:c r="H4" s="133" t="str">
        <x:v>Operations</x:v>
      </x:c>
      <x:c r="I4" s="133" t="str">
        <x:v>Knowledge minimum</x:v>
      </x:c>
      <x:c r="J4" s="133" t="str">
        <x:v>Skill minimum</x:v>
      </x:c>
      <x:c r="K4" s="133" t="str">
        <x:v>Active min</x:v>
      </x:c>
      <x:c r="L4" s="133" t="str">
        <x:v>Passive min</x:v>
      </x:c>
      <x:c r="M4" s="133" t="str">
        <x:v>Proof</x:v>
      </x:c>
      <x:c r="N4" s="134" t="str">
        <x:v>Downstream role</x:v>
      </x:c>
    </x:row>
    <x:row r="5">
      <x:c r="A5" s="154" t="str">
        <x:v>R-STONE</x:v>
      </x:c>
      <x:c r="B5" s="155" t="str">
        <x:v>suitable tool stone</x:v>
      </x:c>
      <x:c r="C5" s="155" t="str">
        <x:v>source</x:v>
      </x:c>
      <x:c r="D5" s="155" t="str">
        <x:v>world</x:v>
      </x:c>
      <x:c r="E5" s="155" t="str">
        <x:v>1–3 kg lot</x:v>
      </x:c>
      <x:c r="F5" s="155" t="str">
        <x:v>none</x:v>
      </x:c>
      <x:c r="G5" s="155" t="str">
        <x:v>world</x:v>
      </x:c>
      <x:c r="H5" s="155" t="str">
        <x:v>find; inspect</x:v>
      </x:c>
      <x:c r="I5" s="155" t="str">
        <x:v>Observed fracture</x:v>
      </x:c>
      <x:c r="J5" s="155" t="str">
        <x:v>Untried</x:v>
      </x:c>
      <x:c r="K5" s="203" t="n">
        <x:v>5</x:v>
      </x:c>
      <x:c r="L5" s="203" t="n">
        <x:v>0</x:v>
      </x:c>
      <x:c r="M5" s="155" t="str">
        <x:v>sample fracture</x:v>
      </x:c>
      <x:c r="N5" s="156" t="str">
        <x:v>edge/hammer/head</x:v>
      </x:c>
    </x:row>
    <x:row r="6">
      <x:c r="A6" s="157" t="str">
        <x:v>R-WOOD</x:v>
      </x:c>
      <x:c r="B6" s="158" t="str">
        <x:v>straight dry-enough wood</x:v>
      </x:c>
      <x:c r="C6" s="158" t="str">
        <x:v>source</x:v>
      </x:c>
      <x:c r="D6" s="158" t="str">
        <x:v>world</x:v>
      </x:c>
      <x:c r="E6" s="158" t="str">
        <x:v>variable</x:v>
      </x:c>
      <x:c r="F6" s="158" t="str">
        <x:v>none</x:v>
      </x:c>
      <x:c r="G6" s="158" t="str">
        <x:v>world</x:v>
      </x:c>
      <x:c r="H6" s="158" t="str">
        <x:v>inspect; recover</x:v>
      </x:c>
      <x:c r="I6" s="158" t="str">
        <x:v>Observed grain/decay</x:v>
      </x:c>
      <x:c r="J6" s="158" t="str">
        <x:v>Untried</x:v>
      </x:c>
      <x:c r="K6" s="204" t="n">
        <x:v>10</x:v>
      </x:c>
      <x:c r="L6" s="204" t="n">
        <x:v>0</x:v>
      </x:c>
      <x:c r="M6" s="158" t="str">
        <x:v>bend/rot check</x:v>
      </x:c>
      <x:c r="N6" s="159" t="str">
        <x:v>handles/frames/fuel</x:v>
      </x:c>
    </x:row>
    <x:row r="7">
      <x:c r="A7" s="157" t="str">
        <x:v>R-FIBER</x:v>
      </x:c>
      <x:c r="B7" s="158" t="str">
        <x:v>candidate plant fiber</x:v>
      </x:c>
      <x:c r="C7" s="158" t="str">
        <x:v>source</x:v>
      </x:c>
      <x:c r="D7" s="158" t="str">
        <x:v>world</x:v>
      </x:c>
      <x:c r="E7" s="158" t="str">
        <x:v>0.2–2 kg wet/dry</x:v>
      </x:c>
      <x:c r="F7" s="158" t="str">
        <x:v>cutter optional</x:v>
      </x:c>
      <x:c r="G7" s="158" t="str">
        <x:v>world</x:v>
      </x:c>
      <x:c r="H7" s="158" t="str">
        <x:v>identify; strip</x:v>
      </x:c>
      <x:c r="I7" s="158" t="str">
        <x:v>Observed fiber response</x:v>
      </x:c>
      <x:c r="J7" s="158" t="str">
        <x:v>Untried</x:v>
      </x:c>
      <x:c r="K7" s="204" t="n">
        <x:v>10</x:v>
      </x:c>
      <x:c r="L7" s="204" t="n">
        <x:v>60</x:v>
      </x:c>
      <x:c r="M7" s="158" t="str">
        <x:v>twist/pull sample</x:v>
      </x:c>
      <x:c r="N7" s="159" t="str">
        <x:v>cord/textile/bandage</x:v>
      </x:c>
    </x:row>
    <x:row r="8">
      <x:c r="A8" s="157" t="str">
        <x:v>R-CLAY</x:v>
      </x:c>
      <x:c r="B8" s="158" t="str">
        <x:v>qualified clay lot</x:v>
      </x:c>
      <x:c r="C8" s="158" t="str">
        <x:v>source</x:v>
      </x:c>
      <x:c r="D8" s="158" t="str">
        <x:v>world</x:v>
      </x:c>
      <x:c r="E8" s="158" t="str">
        <x:v>1–10 kg</x:v>
      </x:c>
      <x:c r="F8" s="158" t="str">
        <x:v>dig tool optional</x:v>
      </x:c>
      <x:c r="G8" s="158" t="str">
        <x:v>world</x:v>
      </x:c>
      <x:c r="H8" s="158" t="str">
        <x:v>inspect; sample</x:v>
      </x:c>
      <x:c r="I8" s="158" t="str">
        <x:v>Suspected plastic/firing behavior</x:v>
      </x:c>
      <x:c r="J8" s="158" t="str">
        <x:v>Untried</x:v>
      </x:c>
      <x:c r="K8" s="204" t="n">
        <x:v>20</x:v>
      </x:c>
      <x:c r="L8" s="204" t="n">
        <x:v>0</x:v>
      </x:c>
      <x:c r="M8" s="158" t="str">
        <x:v>coil/dry coupon</x:v>
      </x:c>
      <x:c r="N8" s="159" t="str">
        <x:v>vessels/molds/kiln</x:v>
      </x:c>
    </x:row>
    <x:row r="9">
      <x:c r="A9" s="157" t="str">
        <x:v>R-SALV-METAL</x:v>
      </x:c>
      <x:c r="B9" s="158" t="str">
        <x:v>salvaged metal lot</x:v>
      </x:c>
      <x:c r="C9" s="158" t="str">
        <x:v>source</x:v>
      </x:c>
      <x:c r="D9" s="158" t="str">
        <x:v>wreck/beach</x:v>
      </x:c>
      <x:c r="E9" s="158" t="str">
        <x:v>0.1–50 kg</x:v>
      </x:c>
      <x:c r="F9" s="158" t="str">
        <x:v>inspection tools</x:v>
      </x:c>
      <x:c r="G9" s="158" t="str">
        <x:v>quarantine</x:v>
      </x:c>
      <x:c r="H9" s="158" t="str">
        <x:v>inspect; preserve</x:v>
      </x:c>
      <x:c r="I9" s="158" t="str">
        <x:v>Observed provenance/condition</x:v>
      </x:c>
      <x:c r="J9" s="158" t="str">
        <x:v>Untried</x:v>
      </x:c>
      <x:c r="K9" s="204" t="n">
        <x:v>20</x:v>
      </x:c>
      <x:c r="L9" s="204" t="n">
        <x:v>0</x:v>
      </x:c>
      <x:c r="M9" s="158" t="str">
        <x:v>identity/condition record</x:v>
      </x:c>
      <x:c r="N9" s="159" t="str">
        <x:v>reuse/cold-work/recycle</x:v>
      </x:c>
    </x:row>
    <x:row r="10">
      <x:c r="A10" s="157" t="str">
        <x:v>R-ORE</x:v>
      </x:c>
      <x:c r="B10" s="158" t="str">
        <x:v>candidate ore</x:v>
      </x:c>
      <x:c r="C10" s="158" t="str">
        <x:v>source</x:v>
      </x:c>
      <x:c r="D10" s="158" t="str">
        <x:v>geology if present</x:v>
      </x:c>
      <x:c r="E10" s="158" t="str">
        <x:v>1–20 kg</x:v>
      </x:c>
      <x:c r="F10" s="158" t="str">
        <x:v>hammer/pick</x:v>
      </x:c>
      <x:c r="G10" s="158" t="str">
        <x:v>mine/quarantine</x:v>
      </x:c>
      <x:c r="H10" s="158" t="str">
        <x:v>prospect; extract</x:v>
      </x:c>
      <x:c r="I10" s="158" t="str">
        <x:v>Supported geology</x:v>
      </x:c>
      <x:c r="J10" s="158" t="str">
        <x:v>Functional stone</x:v>
      </x:c>
      <x:c r="K10" s="204" t="n">
        <x:v>120</x:v>
      </x:c>
      <x:c r="L10" s="204" t="n">
        <x:v>0</x:v>
      </x:c>
      <x:c r="M10" s="158" t="str">
        <x:v>roast/reduction sample</x:v>
      </x:c>
      <x:c r="N10" s="159" t="str">
        <x:v>primary metal route</x:v>
      </x:c>
    </x:row>
    <x:row r="11">
      <x:c r="A11" s="157" t="str">
        <x:v>T-HAMMERSTONE</x:v>
      </x:c>
      <x:c r="B11" s="158" t="str">
        <x:v>hammerstone</x:v>
      </x:c>
      <x:c r="C11" s="158" t="str">
        <x:v>tool</x:v>
      </x:c>
      <x:c r="D11" s="158" t="str">
        <x:v>R-STONE</x:v>
      </x:c>
      <x:c r="E11" s="158" t="str">
        <x:v>0.5–1.5 kg stone</x:v>
      </x:c>
      <x:c r="F11" s="158" t="str">
        <x:v>hands</x:v>
      </x:c>
      <x:c r="G11" s="158" t="str">
        <x:v>W0</x:v>
      </x:c>
      <x:c r="H11" s="158" t="str">
        <x:v>select; grip; strike-test</x:v>
      </x:c>
      <x:c r="I11" s="158" t="str">
        <x:v>Observed impact behavior</x:v>
      </x:c>
      <x:c r="J11" s="158" t="str">
        <x:v>Untried</x:v>
      </x:c>
      <x:c r="K11" s="204" t="n">
        <x:v>5</x:v>
      </x:c>
      <x:c r="L11" s="204" t="n">
        <x:v>0</x:v>
      </x:c>
      <x:c r="M11" s="158" t="str">
        <x:v>controlled strike</x:v>
      </x:c>
      <x:c r="N11" s="159" t="str">
        <x:v>edge/pegs/crushing</x:v>
      </x:c>
    </x:row>
    <x:row r="12">
      <x:c r="A12" s="157" t="str">
        <x:v>P-EDGE</x:v>
      </x:c>
      <x:c r="B12" s="158" t="str">
        <x:v>sharp stone flake</x:v>
      </x:c>
      <x:c r="C12" s="158" t="str">
        <x:v>processed</x:v>
      </x:c>
      <x:c r="D12" s="158" t="str">
        <x:v>R-STONE + T-HAMMERSTONE</x:v>
      </x:c>
      <x:c r="E12" s="158" t="str">
        <x:v>0.3–1 kg stone</x:v>
      </x:c>
      <x:c r="F12" s="158" t="str">
        <x:v>hammerstone</x:v>
      </x:c>
      <x:c r="G12" s="158" t="str">
        <x:v>W0</x:v>
      </x:c>
      <x:c r="H12" s="158" t="str">
        <x:v>percuss; inspect</x:v>
      </x:c>
      <x:c r="I12" s="158" t="str">
        <x:v>Suspected fracture</x:v>
      </x:c>
      <x:c r="J12" s="158" t="str">
        <x:v>Guided edge</x:v>
      </x:c>
      <x:c r="K12" s="204" t="n">
        <x:v>15</x:v>
      </x:c>
      <x:c r="L12" s="204" t="n">
        <x:v>0</x:v>
      </x:c>
      <x:c r="M12" s="158" t="str">
        <x:v>cut/scrape + edge check</x:v>
      </x:c>
      <x:c r="N12" s="159" t="str">
        <x:v>knife/fiber/wood</x:v>
      </x:c>
    </x:row>
    <x:row r="13">
      <x:c r="A13" s="157" t="str">
        <x:v>P-FIBER</x:v>
      </x:c>
      <x:c r="B13" s="158" t="str">
        <x:v>prepared fiber</x:v>
      </x:c>
      <x:c r="C13" s="158" t="str">
        <x:v>processed</x:v>
      </x:c>
      <x:c r="D13" s="158" t="str">
        <x:v>R-FIBER + P-EDGE</x:v>
      </x:c>
      <x:c r="E13" s="158" t="str">
        <x:v>0.2 kg fiber</x:v>
      </x:c>
      <x:c r="F13" s="158" t="str">
        <x:v>edge</x:v>
      </x:c>
      <x:c r="G13" s="158" t="str">
        <x:v>W0</x:v>
      </x:c>
      <x:c r="H13" s="158" t="str">
        <x:v>strip; clean; grade; dry</x:v>
      </x:c>
      <x:c r="I13" s="158" t="str">
        <x:v>Supported fiber grading</x:v>
      </x:c>
      <x:c r="J13" s="158" t="str">
        <x:v>Guided fiber</x:v>
      </x:c>
      <x:c r="K13" s="204" t="n">
        <x:v>30</x:v>
      </x:c>
      <x:c r="L13" s="204" t="n">
        <x:v>180</x:v>
      </x:c>
      <x:c r="M13" s="158" t="str">
        <x:v>pull/flex sample</x:v>
      </x:c>
      <x:c r="N13" s="159" t="str">
        <x:v>cord/textile</x:v>
      </x:c>
    </x:row>
    <x:row r="14">
      <x:c r="A14" s="157" t="str">
        <x:v>P-CORD</x:v>
      </x:c>
      <x:c r="B14" s="158" t="str">
        <x:v>short cord 3 m</x:v>
      </x:c>
      <x:c r="C14" s="158" t="str">
        <x:v>processed</x:v>
      </x:c>
      <x:c r="D14" s="158" t="str">
        <x:v>P-FIBER</x:v>
      </x:c>
      <x:c r="E14" s="158" t="str">
        <x:v>0.2–0.5 kg prepared fiber</x:v>
      </x:c>
      <x:c r="F14" s="158" t="str">
        <x:v>hands/edge</x:v>
      </x:c>
      <x:c r="G14" s="158" t="str">
        <x:v>W0</x:v>
      </x:c>
      <x:c r="H14" s="158" t="str">
        <x:v>twist; splice</x:v>
      </x:c>
      <x:c r="I14" s="158" t="str">
        <x:v>Supported twist</x:v>
      </x:c>
      <x:c r="J14" s="158" t="str">
        <x:v>Guided fiber</x:v>
      </x:c>
      <x:c r="K14" s="204" t="n">
        <x:v>30</x:v>
      </x:c>
      <x:c r="L14" s="204" t="n">
        <x:v>60</x:v>
      </x:c>
      <x:c r="M14" s="158" t="str">
        <x:v>dry pull + knot</x:v>
      </x:c>
      <x:c r="N14" s="159" t="str">
        <x:v>binding/tools/shelter</x:v>
      </x:c>
    </x:row>
    <x:row r="15">
      <x:c r="A15" s="157" t="str">
        <x:v>T-KNIFE</x:v>
      </x:c>
      <x:c r="B15" s="158" t="str">
        <x:v>handled stone cutter</x:v>
      </x:c>
      <x:c r="C15" s="158" t="str">
        <x:v>tool</x:v>
      </x:c>
      <x:c r="D15" s="158" t="str">
        <x:v>P-EDGE + R-WOOD + P-CORD</x:v>
      </x:c>
      <x:c r="E15" s="158" t="str">
        <x:v>edge; 0.2 kg grip; 1 m cord</x:v>
      </x:c>
      <x:c r="F15" s="158" t="str">
        <x:v>hammerstone</x:v>
      </x:c>
      <x:c r="G15" s="158" t="str">
        <x:v>W0/W1</x:v>
      </x:c>
      <x:c r="H15" s="158" t="str">
        <x:v>shape; seat; bind</x:v>
      </x:c>
      <x:c r="I15" s="158" t="str">
        <x:v>Supported edge/haft</x:v>
      </x:c>
      <x:c r="J15" s="158" t="str">
        <x:v>Functional edge/binding</x:v>
      </x:c>
      <x:c r="K15" s="204" t="n">
        <x:v>60</x:v>
      </x:c>
      <x:c r="L15" s="204" t="n">
        <x:v>0</x:v>
      </x:c>
      <x:c r="M15" s="158" t="str">
        <x:v>cut + lateral/retention test</x:v>
      </x:c>
      <x:c r="N15" s="159" t="str">
        <x:v>wood/fiber/food</x:v>
      </x:c>
    </x:row>
    <x:row r="16">
      <x:c r="A16" s="157" t="str">
        <x:v>P-HAFT</x:v>
      </x:c>
      <x:c r="B16" s="158" t="str">
        <x:v>prepared axe haft</x:v>
      </x:c>
      <x:c r="C16" s="158" t="str">
        <x:v>component</x:v>
      </x:c>
      <x:c r="D16" s="158" t="str">
        <x:v>R-WOOD + T-KNIFE</x:v>
      </x:c>
      <x:c r="E16" s="158" t="str">
        <x:v>1–2 kg straight wood</x:v>
      </x:c>
      <x:c r="F16" s="158" t="str">
        <x:v>knife/edge</x:v>
      </x:c>
      <x:c r="G16" s="158" t="str">
        <x:v>W0/W1</x:v>
      </x:c>
      <x:c r="H16" s="158" t="str">
        <x:v>cut; shape; dry</x:v>
      </x:c>
      <x:c r="I16" s="158" t="str">
        <x:v>Supported grain/load</x:v>
      </x:c>
      <x:c r="J16" s="158" t="str">
        <x:v>Functional wood</x:v>
      </x:c>
      <x:c r="K16" s="204" t="n">
        <x:v>90</x:v>
      </x:c>
      <x:c r="L16" s="204" t="n">
        <x:v>720</x:v>
      </x:c>
      <x:c r="M16" s="158" t="str">
        <x:v>bend/fit inspection</x:v>
      </x:c>
      <x:c r="N16" s="159" t="str">
        <x:v>axe/hammer</x:v>
      </x:c>
    </x:row>
    <x:row r="17">
      <x:c r="A17" s="157" t="str">
        <x:v>P-AXEHEAD</x:v>
      </x:c>
      <x:c r="B17" s="158" t="str">
        <x:v>stone axe head</x:v>
      </x:c>
      <x:c r="C17" s="158" t="str">
        <x:v>component</x:v>
      </x:c>
      <x:c r="D17" s="158" t="str">
        <x:v>R-STONE + T-HAMMERSTONE</x:v>
      </x:c>
      <x:c r="E17" s="158" t="str">
        <x:v>1–2 kg stone</x:v>
      </x:c>
      <x:c r="F17" s="158" t="str">
        <x:v>hammerstone</x:v>
      </x:c>
      <x:c r="G17" s="158" t="str">
        <x:v>W0</x:v>
      </x:c>
      <x:c r="H17" s="158" t="str">
        <x:v>fracture; grind optional</x:v>
      </x:c>
      <x:c r="I17" s="158" t="str">
        <x:v>Supported fracture/load</x:v>
      </x:c>
      <x:c r="J17" s="158" t="str">
        <x:v>Functional edge</x:v>
      </x:c>
      <x:c r="K17" s="204" t="n">
        <x:v>120</x:v>
      </x:c>
      <x:c r="L17" s="204" t="n">
        <x:v>0</x:v>
      </x:c>
      <x:c r="M17" s="158" t="str">
        <x:v>shape/edge/load sample</x:v>
      </x:c>
      <x:c r="N17" s="159" t="str">
        <x:v>axe</x:v>
      </x:c>
    </x:row>
    <x:row r="18">
      <x:c r="A18" s="157" t="str">
        <x:v>T-AXE</x:v>
      </x:c>
      <x:c r="B18" s="158" t="str">
        <x:v>hafted stone axe</x:v>
      </x:c>
      <x:c r="C18" s="158" t="str">
        <x:v>tool</x:v>
      </x:c>
      <x:c r="D18" s="158" t="str">
        <x:v>P-HAFT + P-AXEHEAD + P-CORD</x:v>
      </x:c>
      <x:c r="E18" s="158" t="str">
        <x:v>haft/head/3–6 m cord; resin optional</x:v>
      </x:c>
      <x:c r="F18" s="158" t="str">
        <x:v>knife/hammerstone</x:v>
      </x:c>
      <x:c r="G18" s="158" t="str">
        <x:v>W1</x:v>
      </x:c>
      <x:c r="H18" s="158" t="str">
        <x:v>fit; wedge; bind; test</x:v>
      </x:c>
      <x:c r="I18" s="158" t="str">
        <x:v>Understood load direction</x:v>
      </x:c>
      <x:c r="J18" s="158" t="str">
        <x:v>Functional fit/binding</x:v>
      </x:c>
      <x:c r="K18" s="204" t="n">
        <x:v>120</x:v>
      </x:c>
      <x:c r="L18" s="204" t="n">
        <x:v>0</x:v>
      </x:c>
      <x:c r="M18" s="158" t="str">
        <x:v>staged impacts + retighten</x:v>
      </x:c>
      <x:c r="N18" s="159" t="str">
        <x:v>timber/bench/shelter</x:v>
      </x:c>
    </x:row>
    <x:row r="19">
      <x:c r="A19" s="157" t="str">
        <x:v>T-HAMMER</x:v>
      </x:c>
      <x:c r="B19" s="158" t="str">
        <x:v>wood/stone hammer</x:v>
      </x:c>
      <x:c r="C19" s="158" t="str">
        <x:v>tool</x:v>
      </x:c>
      <x:c r="D19" s="158" t="str">
        <x:v>R-WOOD + R-STONE + P-CORD</x:v>
      </x:c>
      <x:c r="E19" s="158" t="str">
        <x:v>head/haft/binding</x:v>
      </x:c>
      <x:c r="F19" s="158" t="str">
        <x:v>knife/axe</x:v>
      </x:c>
      <x:c r="G19" s="158" t="str">
        <x:v>W1</x:v>
      </x:c>
      <x:c r="H19" s="158" t="str">
        <x:v>shape; fit; bind</x:v>
      </x:c>
      <x:c r="I19" s="158" t="str">
        <x:v>Supported impact/haft</x:v>
      </x:c>
      <x:c r="J19" s="158" t="str">
        <x:v>Functional fit</x:v>
      </x:c>
      <x:c r="K19" s="204" t="n">
        <x:v>90</x:v>
      </x:c>
      <x:c r="L19" s="204" t="n">
        <x:v>0</x:v>
      </x:c>
      <x:c r="M19" s="158" t="str">
        <x:v>strike/retention test</x:v>
      </x:c>
      <x:c r="N19" s="159" t="str">
        <x:v>pegs/joinery/stone</x:v>
      </x:c>
    </x:row>
    <x:row r="20">
      <x:c r="A20" s="157" t="str">
        <x:v>W-W1</x:v>
      </x:c>
      <x:c r="B20" s="158" t="str">
        <x:v>stable support bench</x:v>
      </x:c>
      <x:c r="C20" s="158" t="str">
        <x:v>workspace</x:v>
      </x:c>
      <x:c r="D20" s="158" t="str">
        <x:v>R-WOOD + P-CORD + T-AXE + T-HAMMER</x:v>
      </x:c>
      <x:c r="E20" s="158" t="str">
        <x:v>20–40 kg wood; 8–15 m cord/pegs</x:v>
      </x:c>
      <x:c r="F20" s="158" t="str">
        <x:v>axe/knife/hammer</x:v>
      </x:c>
      <x:c r="G20" s="158" t="str">
        <x:v>W0</x:v>
      </x:c>
      <x:c r="H20" s="158" t="str">
        <x:v>split; notch; join; level</x:v>
      </x:c>
      <x:c r="I20" s="158" t="str">
        <x:v>Supported load path</x:v>
      </x:c>
      <x:c r="J20" s="158" t="str">
        <x:v>Functional wood/binding</x:v>
      </x:c>
      <x:c r="K20" s="204" t="n">
        <x:v>480</x:v>
      </x:c>
      <x:c r="L20" s="204" t="n">
        <x:v>0</x:v>
      </x:c>
      <x:c r="M20" s="158" t="str">
        <x:v>vertical + side load</x:v>
      </x:c>
      <x:c r="N20" s="159" t="str">
        <x:v>W2/tools/shelter</x:v>
      </x:c>
    </x:row>
    <x:row r="21">
      <x:c r="A21" s="157" t="str">
        <x:v>T-MEASURE</x:v>
      </x:c>
      <x:c r="B21" s="158" t="str">
        <x:v>line/straightedge/square set</x:v>
      </x:c>
      <x:c r="C21" s="158" t="str">
        <x:v>tool</x:v>
      </x:c>
      <x:c r="D21" s="158" t="str">
        <x:v>R-WOOD + P-CORD + T-KNIFE + W-W1</x:v>
      </x:c>
      <x:c r="E21" s="158" t="str">
        <x:v>seasoned stock; cord/pigment</x:v>
      </x:c>
      <x:c r="F21" s="158" t="str">
        <x:v>knife/scraper</x:v>
      </x:c>
      <x:c r="G21" s="158" t="str">
        <x:v>W1</x:v>
      </x:c>
      <x:c r="H21" s="158" t="str">
        <x:v>true; compare; mark</x:v>
      </x:c>
      <x:c r="I21" s="158" t="str">
        <x:v>Understood datum</x:v>
      </x:c>
      <x:c r="J21" s="158" t="str">
        <x:v>Functional measurement</x:v>
      </x:c>
      <x:c r="K21" s="204" t="n">
        <x:v>240</x:v>
      </x:c>
      <x:c r="L21" s="204" t="n">
        <x:v>10080</x:v>
      </x:c>
      <x:c r="M21" s="158" t="str">
        <x:v>reversal/comparison</x:v>
      </x:c>
      <x:c r="N21" s="159" t="str">
        <x:v>W2/joinery/boats</x:v>
      </x:c>
    </x:row>
    <x:row r="22">
      <x:c r="A22" s="157" t="str">
        <x:v>W-W2</x:v>
      </x:c>
      <x:c r="B22" s="158" t="str">
        <x:v>held/measured bench</x:v>
      </x:c>
      <x:c r="C22" s="158" t="str">
        <x:v>workspace</x:v>
      </x:c>
      <x:c r="D22" s="158" t="str">
        <x:v>W-W1 + T-MEASURE + T-HAMMER</x:v>
      </x:c>
      <x:c r="E22" s="158" t="str">
        <x:v>jaws/pegs/guides/lining</x:v>
      </x:c>
      <x:c r="F22" s="158" t="str">
        <x:v>wood tools</x:v>
      </x:c>
      <x:c r="G22" s="158" t="str">
        <x:v>W1</x:v>
      </x:c>
      <x:c r="H22" s="158" t="str">
        <x:v>fit; clamp; calibrate</x:v>
      </x:c>
      <x:c r="I22" s="158" t="str">
        <x:v>Understood workholding</x:v>
      </x:c>
      <x:c r="J22" s="158" t="str">
        <x:v>Reliable fit</x:v>
      </x:c>
      <x:c r="K22" s="204" t="n">
        <x:v>900</x:v>
      </x:c>
      <x:c r="L22" s="204" t="n">
        <x:v>0</x:v>
      </x:c>
      <x:c r="M22" s="158" t="str">
        <x:v>repeated controlled fit</x:v>
      </x:c>
      <x:c r="N22" s="159" t="str">
        <x:v>bow/pottery/repair</x:v>
      </x:c>
    </x:row>
    <x:row r="23">
      <x:c r="A23" s="157" t="str">
        <x:v>T-SHOVEL</x:v>
      </x:c>
      <x:c r="B23" s="158" t="str">
        <x:v>crude shovel</x:v>
      </x:c>
      <x:c r="C23" s="158" t="str">
        <x:v>tool</x:v>
      </x:c>
      <x:c r="D23" s="158" t="str">
        <x:v>R-WOOD + T-AXE + FIRE-1 | R-SALV-METAL + W-W2</x:v>
      </x:c>
      <x:c r="E23" s="158" t="str">
        <x:v>2–4 kg wood; optional head</x:v>
      </x:c>
      <x:c r="F23" s="158" t="str">
        <x:v>axe/knife/fire or cold-work</x:v>
      </x:c>
      <x:c r="G23" s="158" t="str">
        <x:v>W1/W2</x:v>
      </x:c>
      <x:c r="H23" s="158" t="str">
        <x:v>shape; harden/fit; bind</x:v>
      </x:c>
      <x:c r="I23" s="158" t="str">
        <x:v>Supported soil/tool behavior</x:v>
      </x:c>
      <x:c r="J23" s="158" t="str">
        <x:v>Functional wood/fit</x:v>
      </x:c>
      <x:c r="K23" s="204" t="n">
        <x:v>240</x:v>
      </x:c>
      <x:c r="L23" s="204" t="n">
        <x:v>0</x:v>
      </x:c>
      <x:c r="M23" s="158" t="str">
        <x:v>dig test in two soils</x:v>
      </x:c>
      <x:c r="N23" s="159" t="str">
        <x:v>clay/well/buried salvage</x:v>
      </x:c>
    </x:row>
    <x:row r="24">
      <x:c r="A24" s="157" t="str">
        <x:v>FIRE-1</x:v>
      </x:c>
      <x:c r="B24" s="158" t="str">
        <x:v>protected fire</x:v>
      </x:c>
      <x:c r="C24" s="158" t="str">
        <x:v>infrastructure</x:v>
      </x:c>
      <x:c r="D24" s="158" t="str">
        <x:v>R-WOOD + P-EDGE + P-FIBER</x:v>
      </x:c>
      <x:c r="E24" s="158" t="str">
        <x:v>tinder/kindling/fuel</x:v>
      </x:c>
      <x:c r="F24" s="158" t="str">
        <x:v>fire set</x:v>
      </x:c>
      <x:c r="G24" s="158" t="str">
        <x:v>protected site</x:v>
      </x:c>
      <x:c r="H24" s="158" t="str">
        <x:v>prepare; ignite; feed</x:v>
      </x:c>
      <x:c r="I24" s="158" t="str">
        <x:v>Supported fire triangle</x:v>
      </x:c>
      <x:c r="J24" s="158" t="str">
        <x:v>Guided fire</x:v>
      </x:c>
      <x:c r="K24" s="204" t="n">
        <x:v>30</x:v>
      </x:c>
      <x:c r="L24" s="204" t="n">
        <x:v>0</x:v>
      </x:c>
      <x:c r="M24" s="158" t="str">
        <x:v>sustain/relight/control</x:v>
      </x:c>
      <x:c r="N24" s="159" t="str">
        <x:v>water/cook/char/heat</x:v>
      </x:c>
    </x:row>
    <x:row r="25">
      <x:c r="A25" s="157" t="str">
        <x:v>P-CHAR</x:v>
      </x:c>
      <x:c r="B25" s="158" t="str">
        <x:v>charcoal batch</x:v>
      </x:c>
      <x:c r="C25" s="158" t="str">
        <x:v>processed</x:v>
      </x:c>
      <x:c r="D25" s="158" t="str">
        <x:v>FIRE-1 + R-WOOD</x:v>
      </x:c>
      <x:c r="E25" s="158" t="str">
        <x:v>10–50 kg graded dry wood</x:v>
      </x:c>
      <x:c r="F25" s="158" t="str">
        <x:v>fire tools</x:v>
      </x:c>
      <x:c r="G25" s="158" t="str">
        <x:v>charcoal site</x:v>
      </x:c>
      <x:c r="H25" s="158" t="str">
        <x:v>load; seal; burn; cool</x:v>
      </x:c>
      <x:c r="I25" s="158" t="str">
        <x:v>Understood low-oxygen process</x:v>
      </x:c>
      <x:c r="J25" s="158" t="str">
        <x:v>Reliable fire</x:v>
      </x:c>
      <x:c r="K25" s="204" t="n">
        <x:v>240</x:v>
      </x:c>
      <x:c r="L25" s="204" t="n">
        <x:v>1440</x:v>
      </x:c>
      <x:c r="M25" s="158" t="str">
        <x:v>yield/fuel heat sample</x:v>
      </x:c>
      <x:c r="N25" s="159" t="str">
        <x:v>kiln/forge</x:v>
      </x:c>
    </x:row>
    <x:row r="26">
      <x:c r="A26" s="157" t="str">
        <x:v>P-CLAY</x:v>
      </x:c>
      <x:c r="B26" s="158" t="str">
        <x:v>prepared clay body</x:v>
      </x:c>
      <x:c r="C26" s="158" t="str">
        <x:v>processed</x:v>
      </x:c>
      <x:c r="D26" s="158" t="str">
        <x:v>R-CLAY + T-SHOVEL + WATER</x:v>
      </x:c>
      <x:c r="E26" s="158" t="str">
        <x:v>1–5 kg clay/temper/water</x:v>
      </x:c>
      <x:c r="F26" s="158" t="str">
        <x:v>sieve/paddle</x:v>
      </x:c>
      <x:c r="G26" s="158" t="str">
        <x:v>W1/pottery</x:v>
      </x:c>
      <x:c r="H26" s="158" t="str">
        <x:v>dig; clean; temper; wedge</x:v>
      </x:c>
      <x:c r="I26" s="158" t="str">
        <x:v>Supported clay behavior</x:v>
      </x:c>
      <x:c r="J26" s="158" t="str">
        <x:v>Functional ceramic</x:v>
      </x:c>
      <x:c r="K26" s="204" t="n">
        <x:v>120</x:v>
      </x:c>
      <x:c r="L26" s="204" t="n">
        <x:v>60</x:v>
      </x:c>
      <x:c r="M26" s="158" t="str">
        <x:v>dry coupons</x:v>
      </x:c>
      <x:c r="N26" s="159" t="str">
        <x:v>pot/molds/forge</x:v>
      </x:c>
    </x:row>
    <x:row r="27">
      <x:c r="A27" s="157" t="str">
        <x:v>P-POT-RAW</x:v>
      </x:c>
      <x:c r="B27" s="158" t="str">
        <x:v>formed raw vessel</x:v>
      </x:c>
      <x:c r="C27" s="158" t="str">
        <x:v>component</x:v>
      </x:c>
      <x:c r="D27" s="158" t="str">
        <x:v>P-CLAY + W-W2</x:v>
      </x:c>
      <x:c r="E27" s="158" t="str">
        <x:v>1–3 kg clay</x:v>
      </x:c>
      <x:c r="F27" s="158" t="str">
        <x:v>forming tools</x:v>
      </x:c>
      <x:c r="G27" s="158" t="str">
        <x:v>pottery surface</x:v>
      </x:c>
      <x:c r="H27" s="158" t="str">
        <x:v>form; compress; finish</x:v>
      </x:c>
      <x:c r="I27" s="158" t="str">
        <x:v>Understood wall/drying</x:v>
      </x:c>
      <x:c r="J27" s="158" t="str">
        <x:v>Functional ceramic</x:v>
      </x:c>
      <x:c r="K27" s="204" t="n">
        <x:v>90</x:v>
      </x:c>
      <x:c r="L27" s="204" t="n">
        <x:v>1440</x:v>
      </x:c>
      <x:c r="M27" s="158" t="str">
        <x:v>slow dry no critical crack</x:v>
      </x:c>
      <x:c r="N27" s="159" t="str">
        <x:v>fired pot</x:v>
      </x:c>
    </x:row>
    <x:row r="28">
      <x:c r="A28" s="157" t="str">
        <x:v>T-POT</x:v>
      </x:c>
      <x:c r="B28" s="158" t="str">
        <x:v>fired boiling pot</x:v>
      </x:c>
      <x:c r="C28" s="158" t="str">
        <x:v>tool</x:v>
      </x:c>
      <x:c r="D28" s="158" t="str">
        <x:v>P-POT-RAW + FIRE-1</x:v>
      </x:c>
      <x:c r="E28" s="158" t="str">
        <x:v>raw vessel; grass/sticks/fuel</x:v>
      </x:c>
      <x:c r="F28" s="158" t="str">
        <x:v>fire tools</x:v>
      </x:c>
      <x:c r="G28" s="158" t="str">
        <x:v>pit kiln</x:v>
      </x:c>
      <x:c r="H28" s="158" t="str">
        <x:v>load; fire; cool</x:v>
      </x:c>
      <x:c r="I28" s="158" t="str">
        <x:v>Understood firing</x:v>
      </x:c>
      <x:c r="J28" s="158" t="str">
        <x:v>Reliable fire + Functional ceramic</x:v>
      </x:c>
      <x:c r="K28" s="204" t="n">
        <x:v>180</x:v>
      </x:c>
      <x:c r="L28" s="204" t="n">
        <x:v>1200</x:v>
      </x:c>
      <x:c r="M28" s="158" t="str">
        <x:v>thermal/leak/food-contact test</x:v>
      </x:c>
      <x:c r="N28" s="159" t="str">
        <x:v>safe water/cooking</x:v>
      </x:c>
    </x:row>
    <x:row r="29">
      <x:c r="A29" s="157" t="str">
        <x:v>W-FORGE</x:v>
      </x:c>
      <x:c r="B29" s="158" t="str">
        <x:v>primitive forge cell</x:v>
      </x:c>
      <x:c r="C29" s="158" t="str">
        <x:v>workspace</x:v>
      </x:c>
      <x:c r="D29" s="158" t="str">
        <x:v>P-CLAY + R-STONE + P-CHAR + W-W2</x:v>
      </x:c>
      <x:c r="E29" s="158" t="str">
        <x:v>clay/stone/tuyere/fuel</x:v>
      </x:c>
      <x:c r="F29" s="158" t="str">
        <x:v>fire tools</x:v>
      </x:c>
      <x:c r="G29" s="158" t="str">
        <x:v>hot-work boundary</x:v>
      </x:c>
      <x:c r="H29" s="158" t="str">
        <x:v>build; draft; heat</x:v>
      </x:c>
      <x:c r="I29" s="158" t="str">
        <x:v>Understood high heat/hazard</x:v>
      </x:c>
      <x:c r="J29" s="158" t="str">
        <x:v>Reliable fire</x:v>
      </x:c>
      <x:c r="K29" s="204" t="n">
        <x:v>1200</x:v>
      </x:c>
      <x:c r="L29" s="204" t="n">
        <x:v>720</x:v>
      </x:c>
      <x:c r="M29" s="158" t="str">
        <x:v>stable temperature + shutdown</x:v>
      </x:c>
      <x:c r="N29" s="159" t="str">
        <x:v>metal heat</x:v>
      </x:c>
    </x:row>
    <x:row r="30">
      <x:c r="A30" s="157" t="str">
        <x:v>T-TONGS</x:v>
      </x:c>
      <x:c r="B30" s="158" t="str">
        <x:v>tongs/holding tool</x:v>
      </x:c>
      <x:c r="C30" s="158" t="str">
        <x:v>tool</x:v>
      </x:c>
      <x:c r="D30" s="158" t="str">
        <x:v>R-SALV-METAL + W-W2 | forged stock</x:v>
      </x:c>
      <x:c r="E30" s="158" t="str">
        <x:v>metal strips/fastener</x:v>
      </x:c>
      <x:c r="F30" s="158" t="str">
        <x:v>cold-work tools</x:v>
      </x:c>
      <x:c r="G30" s="158" t="str">
        <x:v>W2/mechanical</x:v>
      </x:c>
      <x:c r="H30" s="158" t="str">
        <x:v>shape; join; grip-test</x:v>
      </x:c>
      <x:c r="I30" s="158" t="str">
        <x:v>Supported hot holding</x:v>
      </x:c>
      <x:c r="J30" s="158" t="str">
        <x:v>Reliable fit</x:v>
      </x:c>
      <x:c r="K30" s="204" t="n">
        <x:v>240</x:v>
      </x:c>
      <x:c r="L30" s="204" t="n">
        <x:v>0</x:v>
      </x:c>
      <x:c r="M30" s="158" t="str">
        <x:v>hold hot test article safely</x:v>
      </x:c>
      <x:c r="N30" s="159" t="str">
        <x:v>forge/casting</x:v>
      </x:c>
    </x:row>
    <x:row r="31">
      <x:c r="A31" s="157" t="str">
        <x:v>T-ANVIL</x:v>
      </x:c>
      <x:c r="B31" s="158" t="str">
        <x:v>anvil/block</x:v>
      </x:c>
      <x:c r="C31" s="158" t="str">
        <x:v>tool</x:v>
      </x:c>
      <x:c r="D31" s="158" t="str">
        <x:v>large stone | preserved metal mass | cast/forged</x:v>
      </x:c>
      <x:c r="E31" s="158" t="str">
        <x:v>20–100 kg mass</x:v>
      </x:c>
      <x:c r="F31" s="158" t="str">
        <x:v>lifting/hammer</x:v>
      </x:c>
      <x:c r="G31" s="158" t="str">
        <x:v>hot-work cell</x:v>
      </x:c>
      <x:c r="H31" s="158" t="str">
        <x:v>recover; seat; face</x:v>
      </x:c>
      <x:c r="I31" s="158" t="str">
        <x:v>Supported rebound/support</x:v>
      </x:c>
      <x:c r="J31" s="158" t="str">
        <x:v>Functional rigging</x:v>
      </x:c>
      <x:c r="K31" s="204" t="n">
        <x:v>360</x:v>
      </x:c>
      <x:c r="L31" s="204" t="n">
        <x:v>0</x:v>
      </x:c>
      <x:c r="M31" s="158" t="str">
        <x:v>stability/rebound/face</x:v>
      </x:c>
      <x:c r="N31" s="159" t="str">
        <x:v>forging</x:v>
      </x:c>
    </x:row>
    <x:row r="32">
      <x:c r="A32" s="157" t="str">
        <x:v>P-METALSTOCK</x:v>
      </x:c>
      <x:c r="B32" s="158" t="str">
        <x:v>qualified metal stock</x:v>
      </x:c>
      <x:c r="C32" s="158" t="str">
        <x:v>processed</x:v>
      </x:c>
      <x:c r="D32" s="158" t="str">
        <x:v>R-SALV-METAL | R-ORE + W-FORGE</x:v>
      </x:c>
      <x:c r="E32" s="158" t="str">
        <x:v>0.5–5 kg metal/fuel</x:v>
      </x:c>
      <x:c r="F32" s="158" t="str">
        <x:v>inspect/cut/crucible route</x:v>
      </x:c>
      <x:c r="G32" s="158" t="str">
        <x:v>mechanical/hot cell</x:v>
      </x:c>
      <x:c r="H32" s="158" t="str">
        <x:v>identify; clean; form/melt</x:v>
      </x:c>
      <x:c r="I32" s="158" t="str">
        <x:v>Understood source/history</x:v>
      </x:c>
      <x:c r="J32" s="158" t="str">
        <x:v>Reliable metal prep</x:v>
      </x:c>
      <x:c r="K32" s="204" t="n">
        <x:v>300</x:v>
      </x:c>
      <x:c r="L32" s="204" t="n">
        <x:v>360</x:v>
      </x:c>
      <x:c r="M32" s="158" t="str">
        <x:v>coupon/heat/condition test</x:v>
      </x:c>
      <x:c r="N32" s="159" t="str">
        <x:v>metal tools/parts</x:v>
      </x:c>
    </x:row>
    <x:row r="33">
      <x:c r="A33" s="157" t="str">
        <x:v>T-METAL-AXE</x:v>
      </x:c>
      <x:c r="B33" s="158" t="str">
        <x:v>forged/cold-work axe head</x:v>
      </x:c>
      <x:c r="C33" s="158" t="str">
        <x:v>component</x:v>
      </x:c>
      <x:c r="D33" s="158" t="str">
        <x:v>P-METALSTOCK + W-FORGE + T-TONGS + T-ANVIL</x:v>
      </x:c>
      <x:c r="E33" s="158" t="str">
        <x:v>1–1.5 kg stock; fuel</x:v>
      </x:c>
      <x:c r="F33" s="158" t="str">
        <x:v>hammer/tongs/gauges</x:v>
      </x:c>
      <x:c r="G33" s="158" t="str">
        <x:v>hot-work cell</x:v>
      </x:c>
      <x:c r="H33" s="158" t="str">
        <x:v>heat; forge; normalize; grind</x:v>
      </x:c>
      <x:c r="I33" s="158" t="str">
        <x:v>Understood metallurgy</x:v>
      </x:c>
      <x:c r="J33" s="158" t="str">
        <x:v>Reliable hot work</x:v>
      </x:c>
      <x:c r="K33" s="204" t="n">
        <x:v>360</x:v>
      </x:c>
      <x:c r="L33" s="204" t="n">
        <x:v>240</x:v>
      </x:c>
      <x:c r="M33" s="158" t="str">
        <x:v>edge/impact/haft proof</x:v>
      </x:c>
      <x:c r="N33" s="159" t="str">
        <x:v>durable axe</x:v>
      </x:c>
    </x:row>
    <x:row r="34">
      <x:c r="A34" s="157" t="str">
        <x:v>W-W3</x:v>
      </x:c>
      <x:c r="B34" s="158" t="str">
        <x:v>modular craft bench</x:v>
      </x:c>
      <x:c r="C34" s="158" t="str">
        <x:v>workspace</x:v>
      </x:c>
      <x:c r="D34" s="158" t="str">
        <x:v>W-W2 + T-MEASURE + reliable jigs</x:v>
      </x:c>
      <x:c r="E34" s="158" t="str">
        <x:v>seasoned stock; fasteners; bins</x:v>
      </x:c>
      <x:c r="F34" s="158" t="str">
        <x:v>W2 suite</x:v>
      </x:c>
      <x:c r="G34" s="158" t="str">
        <x:v>W2</x:v>
      </x:c>
      <x:c r="H34" s="158" t="str">
        <x:v>standardize; label; fit</x:v>
      </x:c>
      <x:c r="I34" s="158" t="str">
        <x:v>Generalized repeatability</x:v>
      </x:c>
      <x:c r="J34" s="158" t="str">
        <x:v>Reliable multi-stage</x:v>
      </x:c>
      <x:c r="K34" s="204" t="n">
        <x:v>2400</x:v>
      </x:c>
      <x:c r="L34" s="204" t="n">
        <x:v>0</x:v>
      </x:c>
      <x:c r="M34" s="158" t="str">
        <x:v>repeat part/handoff</x:v>
      </x:c>
      <x:c r="N34" s="159" t="str">
        <x:v>specialist cells</x:v>
      </x:c>
    </x:row>
    <x:row r="35">
      <x:c r="A35" s="157" t="str">
        <x:v>W-MECH</x:v>
      </x:c>
      <x:c r="B35" s="158" t="str">
        <x:v>mechanical cell</x:v>
      </x:c>
      <x:c r="C35" s="158" t="str">
        <x:v>workspace</x:v>
      </x:c>
      <x:c r="D35" s="158" t="str">
        <x:v>W-W3 + lifting + clean/dirty separation</x:v>
      </x:c>
      <x:c r="E35" s="158" t="str">
        <x:v>stand/tray/parts board/cleaner</x:v>
      </x:c>
      <x:c r="F35" s="158" t="str">
        <x:v>mechanical/measure</x:v>
      </x:c>
      <x:c r="G35" s="158" t="str">
        <x:v>W4 boundary</x:v>
      </x:c>
      <x:c r="H35" s="158" t="str">
        <x:v>isolate; dismantle; clean; fit</x:v>
      </x:c>
      <x:c r="I35" s="158" t="str">
        <x:v>Understood mechanisms/fluids</x:v>
      </x:c>
      <x:c r="J35" s="158" t="str">
        <x:v>Reliable mechanics</x:v>
      </x:c>
      <x:c r="K35" s="204" t="n">
        <x:v>1800</x:v>
      </x:c>
      <x:c r="L35" s="204" t="n">
        <x:v>720</x:v>
      </x:c>
      <x:c r="M35" s="158" t="str">
        <x:v>subsystem bench test</x:v>
      </x:c>
      <x:c r="N35" s="159" t="str">
        <x:v>engine/boat mechanisms</x:v>
      </x:c>
    </x:row>
    <x:row r="36">
      <x:c r="A36" s="157" t="str">
        <x:v>P-HULLPATCH</x:v>
      </x:c>
      <x:c r="B36" s="158" t="str">
        <x:v>qualified hull patch</x:v>
      </x:c>
      <x:c r="C36" s="158" t="str">
        <x:v>component</x:v>
      </x:c>
      <x:c r="D36" s="158" t="str">
        <x:v>R-SALV-METAL | fiber laminate + seal + fasteners</x:v>
      </x:c>
      <x:c r="E36" s="158" t="str">
        <x:v>compatible panel/fiber/seal</x:v>
      </x:c>
      <x:c r="F36" s="158" t="str">
        <x:v>cut/fit/fasten</x:v>
      </x:c>
      <x:c r="G36" s="158" t="str">
        <x:v>W3/mechanical + dry support</x:v>
      </x:c>
      <x:c r="H36" s="158" t="str">
        <x:v>clean; fit; seal; fasten; cure</x:v>
      </x:c>
      <x:c r="I36" s="158" t="str">
        <x:v>Understood hull loads/compatibility</x:v>
      </x:c>
      <x:c r="J36" s="158" t="str">
        <x:v>Reliable fit/seal</x:v>
      </x:c>
      <x:c r="K36" s="204" t="n">
        <x:v>720</x:v>
      </x:c>
      <x:c r="L36" s="204" t="n">
        <x:v>720</x:v>
      </x:c>
      <x:c r="M36" s="158" t="str">
        <x:v>leak + flex test</x:v>
      </x:c>
      <x:c r="N36" s="159" t="str">
        <x:v>boat hull</x:v>
      </x:c>
    </x:row>
    <x:row r="37">
      <x:c r="A37" s="157" t="str">
        <x:v>BOAT-HULL</x:v>
      </x:c>
      <x:c r="B37" s="158" t="str">
        <x:v>floating repaired hull</x:v>
      </x:c>
      <x:c r="C37" s="158" t="str">
        <x:v>endpoint</x:v>
      </x:c>
      <x:c r="D37" s="158" t="str">
        <x:v>broken boat + multiple P-HULLPATCH + rigging</x:v>
      </x:c>
      <x:c r="E37" s="158" t="str">
        <x:v>panels/seals/fasteners</x:v>
      </x:c>
      <x:c r="F37" s="158" t="str">
        <x:v>lift/fit/measure</x:v>
      </x:c>
      <x:c r="G37" s="158" t="str">
        <x:v>shore boatyard</x:v>
      </x:c>
      <x:c r="H37" s="158" t="str">
        <x:v>stabilize; repair; launch</x:v>
      </x:c>
      <x:c r="I37" s="158" t="str">
        <x:v>Generalized hull integrity</x:v>
      </x:c>
      <x:c r="J37" s="158" t="str">
        <x:v>Adaptive repair/rigging</x:v>
      </x:c>
      <x:c r="K37" s="204" t="n">
        <x:v>7200</x:v>
      </x:c>
      <x:c r="L37" s="204" t="n">
        <x:v>2880</x:v>
      </x:c>
      <x:c r="M37" s="158" t="str">
        <x:v>staged float/load/leak</x:v>
      </x:c>
      <x:c r="N37" s="159" t="str">
        <x:v>paddled workboat</x:v>
      </x:c>
    </x:row>
    <x:row r="38">
      <x:c r="A38" s="157" t="str">
        <x:v>BOAT-PADDLE</x:v>
      </x:c>
      <x:c r="B38" s="158" t="str">
        <x:v>paddled workboat</x:v>
      </x:c>
      <x:c r="C38" s="158" t="str">
        <x:v>endpoint</x:v>
      </x:c>
      <x:c r="D38" s="158" t="str">
        <x:v>BOAT-HULL + oars/paddles + safety + reboard</x:v>
      </x:c>
      <x:c r="E38" s="158" t="str">
        <x:v>wood/fiber/flotation</x:v>
      </x:c>
      <x:c r="F38" s="158" t="str">
        <x:v>wood tools/rigging</x:v>
      </x:c>
      <x:c r="G38" s="158" t="str">
        <x:v>boatyard</x:v>
      </x:c>
      <x:c r="H38" s="158" t="str">
        <x:v>fit; trim; equip; trial</x:v>
      </x:c>
      <x:c r="I38" s="158" t="str">
        <x:v>Understood trim/reboarding</x:v>
      </x:c>
      <x:c r="J38" s="158" t="str">
        <x:v>Reliable seamanship</x:v>
      </x:c>
      <x:c r="K38" s="204" t="n">
        <x:v>2400</x:v>
      </x:c>
      <x:c r="L38" s="204" t="n">
        <x:v>0</x:v>
      </x:c>
      <x:c r="M38" s="158" t="str">
        <x:v>sheltered-water trial</x:v>
      </x:c>
      <x:c r="N38" s="159" t="str">
        <x:v>salvage/crossing</x:v>
      </x:c>
    </x:row>
    <x:row r="39">
      <x:c r="A39" s="157" t="str">
        <x:v>ENGINE-RESTORE</x:v>
      </x:c>
      <x:c r="B39" s="158" t="str">
        <x:v>restored engine system</x:v>
      </x:c>
      <x:c r="C39" s="158" t="str">
        <x:v>endpoint</x:v>
      </x:c>
      <x:c r="D39" s="158" t="str">
        <x:v>found engine + W-MECH + power/fuel/cooling/lube/control/electrical</x:v>
      </x:c>
      <x:c r="E39" s="158" t="str">
        <x:v>parts/fluids/seals/fasteners</x:v>
      </x:c>
      <x:c r="F39" s="158" t="str">
        <x:v>stand/hoist/instruments</x:v>
      </x:c>
      <x:c r="G39" s="158" t="str">
        <x:v>W4 mechanical/electrical</x:v>
      </x:c>
      <x:c r="H39" s="158" t="str">
        <x:v>preserve; diagnose; repair; mount; test</x:v>
      </x:c>
      <x:c r="I39" s="158" t="str">
        <x:v>Generalized engine systems</x:v>
      </x:c>
      <x:c r="J39" s="158" t="str">
        <x:v>Adaptive mechanics</x:v>
      </x:c>
      <x:c r="K39" s="204" t="n">
        <x:v>14400</x:v>
      </x:c>
      <x:c r="L39" s="204" t="n">
        <x:v>10080</x:v>
      </x:c>
      <x:c r="M39" s="158" t="str">
        <x:v>bench + mounted + sea trial</x:v>
      </x:c>
      <x:c r="N39" s="159" t="str">
        <x:v>powered boat</x:v>
      </x:c>
    </x:row>
    <x:row r="40">
      <x:c r="A40" s="157" t="str">
        <x:v>BOAT-POWER</x:v>
      </x:c>
      <x:c r="B40" s="158" t="str">
        <x:v>powered expedition boat</x:v>
      </x:c>
      <x:c r="C40" s="158" t="str">
        <x:v>endpoint</x:v>
      </x:c>
      <x:c r="D40" s="158" t="str">
        <x:v>BOAT-PADDLE + ENGINE-RESTORE + fuel/cooling/control + safety</x:v>
      </x:c>
      <x:c r="E40" s="158" t="str">
        <x:v>engine systems/fuel/spares</x:v>
      </x:c>
      <x:c r="F40" s="158" t="str">
        <x:v>boatyard/test gear</x:v>
      </x:c>
      <x:c r="G40" s="158" t="str">
        <x:v>W6 boatyard</x:v>
      </x:c>
      <x:c r="H40" s="158" t="str">
        <x:v>integrate; balance; test</x:v>
      </x:c>
      <x:c r="I40" s="158" t="str">
        <x:v>Generalized marine systems</x:v>
      </x:c>
      <x:c r="J40" s="158" t="str">
        <x:v>Adaptive mechanics/seamanship</x:v>
      </x:c>
      <x:c r="K40" s="204" t="n">
        <x:v>21600</x:v>
      </x:c>
      <x:c r="L40" s="204" t="n">
        <x:v>4320</x:v>
      </x:c>
      <x:c r="M40" s="158" t="str">
        <x:v>progressive sea trial</x:v>
      </x:c>
      <x:c r="N40" s="159" t="str">
        <x:v>community/return</x:v>
      </x:c>
    </x:row>
    <x:row r="41">
      <x:c r="A41" s="160" t="str">
        <x:v>RETURN</x:v>
      </x:c>
      <x:c r="B41" s="161" t="str">
        <x:v>authenticated return capability</x:v>
      </x:c>
      <x:c r="C41" s="161" t="str">
        <x:v>endpoint</x:v>
      </x:c>
      <x:c r="D41" s="161" t="str">
        <x:v>BOAT-POWER | rescue transmitter | Triangle apparatus</x:v>
      </x:c>
      <x:c r="E41" s="161" t="str">
        <x:v>route-specific</x:v>
      </x:c>
      <x:c r="F41" s="161" t="str">
        <x:v>multi-domain</x:v>
      </x:c>
      <x:c r="G41" s="161" t="str">
        <x:v>legacy infrastructure</x:v>
      </x:c>
      <x:c r="H41" s="161" t="str">
        <x:v>integrate; verify; execute</x:v>
      </x:c>
      <x:c r="I41" s="161" t="str">
        <x:v>Generalized return chain</x:v>
      </x:c>
      <x:c r="J41" s="161" t="str">
        <x:v>Adaptive multi-domain</x:v>
      </x:c>
      <x:c r="K41" s="205" t="n">
        <x:v>28800</x:v>
      </x:c>
      <x:c r="L41" s="205" t="n">
        <x:v>10080</x:v>
      </x:c>
      <x:c r="M41" s="161" t="str">
        <x:v>external confirmation/homecoming</x:v>
      </x:c>
      <x:c r="N41" s="162" t="str">
        <x:v>ending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f5fd6f5d5bd486a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0" hidden="0" customWidth="1"/>
    <x:col min="3" max="3" width="23.329999923706055" hidden="0" customWidth="1"/>
    <x:col min="4" max="4" width="21.110000610351562" hidden="0" customWidth="1"/>
    <x:col min="5" max="5" width="18.889999389648438" hidden="0" customWidth="1"/>
    <x:col min="6" max="6" width="17.219999313354492" hidden="0" customWidth="1"/>
    <x:col min="7" max="7" width="8.890000343322754" hidden="0" customWidth="1"/>
    <x:col min="8" max="8" width="8.890000343322754" hidden="0" customWidth="1"/>
    <x:col min="9" max="9" width="10" hidden="0" customWidth="1"/>
    <x:col min="10" max="10" width="9.4399995803833" hidden="0" customWidth="1"/>
    <x:col min="11" max="11" width="8.890000343322754" hidden="0" customWidth="1"/>
    <x:col min="12" max="12" width="22.219999313354492" hidden="0" customWidth="1"/>
    <x:col min="13" max="13" width="23.329999923706055" hidden="0" customWidth="1"/>
  </x:cols>
  <x:sheetData>
    <x:row r="1" ht="28" customHeight="1">
      <x:c r="A1" s="118" t="str">
        <x:v>Representative Craft Time, Experience and Knowledge Seeds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</x:row>
    <x:row r="2" ht="34" customHeight="1">
      <x:c r="A2" s="122" t="str">
        <x:v>These are tuning seeds, not final promises. Setup, active labor, passive time, irreversible process time, and proof remain separate.</x:v>
      </x:c>
      <x:c r="B2" s="122"/>
      <x:c r="C2" s="122"/>
      <x:c r="D2" s="122"/>
      <x:c r="E2" s="122"/>
      <x:c r="F2" s="122"/>
      <x:c r="G2" s="122"/>
      <x:c r="H2" s="122"/>
      <x:c r="I2" s="122"/>
      <x:c r="J2" s="122"/>
      <x:c r="K2" s="122"/>
      <x:c r="L2" s="122"/>
      <x:c r="M2" s="122"/>
    </x:row>
    <x:row r="4">
      <x:c r="A4" s="132" t="str">
        <x:v>Task</x:v>
      </x:c>
      <x:c r="B4" s="133" t="str">
        <x:v>Band</x:v>
      </x:c>
      <x:c r="C4" s="133" t="str">
        <x:v>Resources</x:v>
      </x:c>
      <x:c r="D4" s="133" t="str">
        <x:v>Tool/workspace</x:v>
      </x:c>
      <x:c r="E4" s="133" t="str">
        <x:v>Knowledge state</x:v>
      </x:c>
      <x:c r="F4" s="133" t="str">
        <x:v>Skill state</x:v>
      </x:c>
      <x:c r="G4" s="133" t="str">
        <x:v>Setup min</x:v>
      </x:c>
      <x:c r="H4" s="133" t="str">
        <x:v>Active min</x:v>
      </x:c>
      <x:c r="I4" s="133" t="str">
        <x:v>Irreversible min</x:v>
      </x:c>
      <x:c r="J4" s="133" t="str">
        <x:v>Passive min</x:v>
      </x:c>
      <x:c r="K4" s="133" t="str">
        <x:v>Test min</x:v>
      </x:c>
      <x:c r="L4" s="133" t="str">
        <x:v>Dominant failure</x:v>
      </x:c>
      <x:c r="M4" s="134" t="str">
        <x:v>Learning opportunity</x:v>
      </x:c>
    </x:row>
    <x:row r="5">
      <x:c r="A5" s="154" t="str">
        <x:v>select hammerstone</x:v>
      </x:c>
      <x:c r="B5" s="155" t="str">
        <x:v>M0</x:v>
      </x:c>
      <x:c r="C5" s="155" t="str">
        <x:v>one suitable stone</x:v>
      </x:c>
      <x:c r="D5" s="155" t="str">
        <x:v>hands/world</x:v>
      </x:c>
      <x:c r="E5" s="155" t="str">
        <x:v>Observed impact</x:v>
      </x:c>
      <x:c r="F5" s="155" t="str">
        <x:v>Untried</x:v>
      </x:c>
      <x:c r="G5" s="203" t="n">
        <x:v>1</x:v>
      </x:c>
      <x:c r="H5" s="203" t="n">
        <x:v>3</x:v>
      </x:c>
      <x:c r="I5" s="203" t="n">
        <x:v>0</x:v>
      </x:c>
      <x:c r="J5" s="203" t="n">
        <x:v>0</x:v>
      </x:c>
      <x:c r="K5" s="203" t="n">
        <x:v>1</x:v>
      </x:c>
      <x:c r="L5" s="155" t="str">
        <x:v>bad grip/stone</x:v>
      </x:c>
      <x:c r="M5" s="156" t="str">
        <x:v>material comparison</x:v>
      </x:c>
    </x:row>
    <x:row r="6">
      <x:c r="A6" s="157" t="str">
        <x:v>make sharp stone edge</x:v>
      </x:c>
      <x:c r="B6" s="158" t="str">
        <x:v>M0–M1</x:v>
      </x:c>
      <x:c r="C6" s="158" t="str">
        <x:v>two suitable stones</x:v>
      </x:c>
      <x:c r="D6" s="158" t="str">
        <x:v>W0</x:v>
      </x:c>
      <x:c r="E6" s="158" t="str">
        <x:v>Suspected fracture</x:v>
      </x:c>
      <x:c r="F6" s="158" t="str">
        <x:v>Guided</x:v>
      </x:c>
      <x:c r="G6" s="204" t="n">
        <x:v>2</x:v>
      </x:c>
      <x:c r="H6" s="204" t="n">
        <x:v>12</x:v>
      </x:c>
      <x:c r="I6" s="204" t="n">
        <x:v>0</x:v>
      </x:c>
      <x:c r="J6" s="204" t="n">
        <x:v>0</x:v>
      </x:c>
      <x:c r="K6" s="204" t="n">
        <x:v>3</x:v>
      </x:c>
      <x:c r="L6" s="158" t="str">
        <x:v>uncontrolled chip/cut</x:v>
      </x:c>
      <x:c r="M6" s="159" t="str">
        <x:v>fracture + edge control</x:v>
      </x:c>
    </x:row>
    <x:row r="7">
      <x:c r="A7" s="157" t="str">
        <x:v>prepare 0.2 kg fiber</x:v>
      </x:c>
      <x:c r="B7" s="158" t="str">
        <x:v>M1</x:v>
      </x:c>
      <x:c r="C7" s="158" t="str">
        <x:v>candidate fiber</x:v>
      </x:c>
      <x:c r="D7" s="158" t="str">
        <x:v>edge/W0</x:v>
      </x:c>
      <x:c r="E7" s="158" t="str">
        <x:v>Supported grading</x:v>
      </x:c>
      <x:c r="F7" s="158" t="str">
        <x:v>Guided</x:v>
      </x:c>
      <x:c r="G7" s="204" t="n">
        <x:v>5</x:v>
      </x:c>
      <x:c r="H7" s="204" t="n">
        <x:v>25</x:v>
      </x:c>
      <x:c r="I7" s="204" t="n">
        <x:v>0</x:v>
      </x:c>
      <x:c r="J7" s="204" t="n">
        <x:v>180</x:v>
      </x:c>
      <x:c r="K7" s="204" t="n">
        <x:v>5</x:v>
      </x:c>
      <x:c r="L7" s="158" t="str">
        <x:v>cut/dirty/weak fiber</x:v>
      </x:c>
      <x:c r="M7" s="159" t="str">
        <x:v>source/processing comparison</x:v>
      </x:c>
    </x:row>
    <x:row r="8">
      <x:c r="A8" s="157" t="str">
        <x:v>twist 3 m cord</x:v>
      </x:c>
      <x:c r="B8" s="158" t="str">
        <x:v>M1</x:v>
      </x:c>
      <x:c r="C8" s="158" t="str">
        <x:v>prepared fiber</x:v>
      </x:c>
      <x:c r="D8" s="158" t="str">
        <x:v>W0</x:v>
      </x:c>
      <x:c r="E8" s="158" t="str">
        <x:v>Supported twist</x:v>
      </x:c>
      <x:c r="F8" s="158" t="str">
        <x:v>Guided</x:v>
      </x:c>
      <x:c r="G8" s="204" t="n">
        <x:v>3</x:v>
      </x:c>
      <x:c r="H8" s="204" t="n">
        <x:v>30</x:v>
      </x:c>
      <x:c r="I8" s="204" t="n">
        <x:v>0</x:v>
      </x:c>
      <x:c r="J8" s="204" t="n">
        <x:v>60</x:v>
      </x:c>
      <x:c r="K8" s="204" t="n">
        <x:v>5</x:v>
      </x:c>
      <x:c r="L8" s="158" t="str">
        <x:v>uneven twist/slip</x:v>
      </x:c>
      <x:c r="M8" s="159" t="str">
        <x:v>tension and wet behavior</x:v>
      </x:c>
    </x:row>
    <x:row r="9">
      <x:c r="A9" s="157" t="str">
        <x:v>handled stone cutter</x:v>
      </x:c>
      <x:c r="B9" s="158" t="str">
        <x:v>M1</x:v>
      </x:c>
      <x:c r="C9" s="158" t="str">
        <x:v>edge/grip/cord</x:v>
      </x:c>
      <x:c r="D9" s="158" t="str">
        <x:v>W0–W1</x:v>
      </x:c>
      <x:c r="E9" s="158" t="str">
        <x:v>Supported haft</x:v>
      </x:c>
      <x:c r="F9" s="158" t="str">
        <x:v>Functional</x:v>
      </x:c>
      <x:c r="G9" s="204" t="n">
        <x:v>10</x:v>
      </x:c>
      <x:c r="H9" s="204" t="n">
        <x:v>50</x:v>
      </x:c>
      <x:c r="I9" s="204" t="n">
        <x:v>0</x:v>
      </x:c>
      <x:c r="J9" s="204" t="n">
        <x:v>0</x:v>
      </x:c>
      <x:c r="K9" s="204" t="n">
        <x:v>10</x:v>
      </x:c>
      <x:c r="L9" s="158" t="str">
        <x:v>loose/unsafe edge</x:v>
      </x:c>
      <x:c r="M9" s="159" t="str">
        <x:v>fit/binding diagnosis</x:v>
      </x:c>
    </x:row>
    <x:row r="10">
      <x:c r="A10" s="157" t="str">
        <x:v>stone axe</x:v>
      </x:c>
      <x:c r="B10" s="158" t="str">
        <x:v>M2</x:v>
      </x:c>
      <x:c r="C10" s="158" t="str">
        <x:v>head/haft/cord/wedge</x:v>
      </x:c>
      <x:c r="D10" s="158" t="str">
        <x:v>W1</x:v>
      </x:c>
      <x:c r="E10" s="158" t="str">
        <x:v>Understood load direction</x:v>
      </x:c>
      <x:c r="F10" s="158" t="str">
        <x:v>Functional</x:v>
      </x:c>
      <x:c r="G10" s="204" t="n">
        <x:v>15</x:v>
      </x:c>
      <x:c r="H10" s="204" t="n">
        <x:v>105</x:v>
      </x:c>
      <x:c r="I10" s="204" t="n">
        <x:v>0</x:v>
      </x:c>
      <x:c r="J10" s="204" t="n">
        <x:v>0</x:v>
      </x:c>
      <x:c r="K10" s="204" t="n">
        <x:v>20</x:v>
      </x:c>
      <x:c r="L10" s="158" t="str">
        <x:v>head movement/haft split</x:v>
      </x:c>
      <x:c r="M10" s="159" t="str">
        <x:v>impact transfer + proof</x:v>
      </x:c>
    </x:row>
    <x:row r="11">
      <x:c r="A11" s="157" t="str">
        <x:v>W1 stable bench</x:v>
      </x:c>
      <x:c r="B11" s="158" t="str">
        <x:v>M2</x:v>
      </x:c>
      <x:c r="C11" s="158" t="str">
        <x:v>20–40 kg timber; joints</x:v>
      </x:c>
      <x:c r="D11" s="158" t="str">
        <x:v>W0 + axe/hammer</x:v>
      </x:c>
      <x:c r="E11" s="158" t="str">
        <x:v>Supported load path</x:v>
      </x:c>
      <x:c r="F11" s="158" t="str">
        <x:v>Functional</x:v>
      </x:c>
      <x:c r="G11" s="204" t="n">
        <x:v>30</x:v>
      </x:c>
      <x:c r="H11" s="204" t="n">
        <x:v>420</x:v>
      </x:c>
      <x:c r="I11" s="204" t="n">
        <x:v>0</x:v>
      </x:c>
      <x:c r="J11" s="204" t="n">
        <x:v>0</x:v>
      </x:c>
      <x:c r="K11" s="204" t="n">
        <x:v>30</x:v>
      </x:c>
      <x:c r="L11" s="158" t="str">
        <x:v>rack/settlement</x:v>
      </x:c>
      <x:c r="M11" s="159" t="str">
        <x:v>joint/load diagnosis</x:v>
      </x:c>
    </x:row>
    <x:row r="12">
      <x:c r="A12" s="157" t="str">
        <x:v>straightedge trueing</x:v>
      </x:c>
      <x:c r="B12" s="158" t="str">
        <x:v>M2</x:v>
      </x:c>
      <x:c r="C12" s="158" t="str">
        <x:v>seasoned stock</x:v>
      </x:c>
      <x:c r="D12" s="158" t="str">
        <x:v>W1/knife/scraper</x:v>
      </x:c>
      <x:c r="E12" s="158" t="str">
        <x:v>Supported datum</x:v>
      </x:c>
      <x:c r="F12" s="158" t="str">
        <x:v>Functional</x:v>
      </x:c>
      <x:c r="G12" s="204" t="n">
        <x:v>15</x:v>
      </x:c>
      <x:c r="H12" s="204" t="n">
        <x:v>90</x:v>
      </x:c>
      <x:c r="I12" s="204" t="n">
        <x:v>0</x:v>
      </x:c>
      <x:c r="J12" s="204" t="n">
        <x:v>10080</x:v>
      </x:c>
      <x:c r="K12" s="204" t="n">
        <x:v>30</x:v>
      </x:c>
      <x:c r="L12" s="158" t="str">
        <x:v>reference not straight</x:v>
      </x:c>
      <x:c r="M12" s="159" t="str">
        <x:v>reversal/comparison</x:v>
      </x:c>
    </x:row>
    <x:row r="13">
      <x:c r="A13" s="157" t="str">
        <x:v>wedge clamp</x:v>
      </x:c>
      <x:c r="B13" s="158" t="str">
        <x:v>M2</x:v>
      </x:c>
      <x:c r="C13" s="158" t="str">
        <x:v>jaws/wedges/lining</x:v>
      </x:c>
      <x:c r="D13" s="158" t="str">
        <x:v>W2 tools</x:v>
      </x:c>
      <x:c r="E13" s="158" t="str">
        <x:v>Understood clamping</x:v>
      </x:c>
      <x:c r="F13" s="158" t="str">
        <x:v>Reliable fit</x:v>
      </x:c>
      <x:c r="G13" s="204" t="n">
        <x:v>20</x:v>
      </x:c>
      <x:c r="H13" s="204" t="n">
        <x:v>220</x:v>
      </x:c>
      <x:c r="I13" s="204" t="n">
        <x:v>0</x:v>
      </x:c>
      <x:c r="J13" s="204" t="n">
        <x:v>0</x:v>
      </x:c>
      <x:c r="K13" s="204" t="n">
        <x:v>20</x:v>
      </x:c>
      <x:c r="L13" s="158" t="str">
        <x:v>crushed/slipped part</x:v>
      </x:c>
      <x:c r="M13" s="159" t="str">
        <x:v>force + surface control</x:v>
      </x:c>
    </x:row>
    <x:row r="14">
      <x:c r="A14" s="157" t="str">
        <x:v>crude shovel</x:v>
      </x:c>
      <x:c r="B14" s="158" t="str">
        <x:v>M2</x:v>
      </x:c>
      <x:c r="C14" s="158" t="str">
        <x:v>wood; optional head</x:v>
      </x:c>
      <x:c r="D14" s="158" t="str">
        <x:v>W1/fire</x:v>
      </x:c>
      <x:c r="E14" s="158" t="str">
        <x:v>Supported soil/tool</x:v>
      </x:c>
      <x:c r="F14" s="158" t="str">
        <x:v>Functional</x:v>
      </x:c>
      <x:c r="G14" s="204" t="n">
        <x:v>15</x:v>
      </x:c>
      <x:c r="H14" s="204" t="n">
        <x:v>180</x:v>
      </x:c>
      <x:c r="I14" s="204" t="n">
        <x:v>30</x:v>
      </x:c>
      <x:c r="J14" s="204" t="n">
        <x:v>0</x:v>
      </x:c>
      <x:c r="K14" s="204" t="n">
        <x:v>20</x:v>
      </x:c>
      <x:c r="L14" s="158" t="str">
        <x:v>split blade/bad angle</x:v>
      </x:c>
      <x:c r="M14" s="159" t="str">
        <x:v>soil and handle geometry</x:v>
      </x:c>
    </x:row>
    <x:row r="15">
      <x:c r="A15" s="157" t="str">
        <x:v>pack frame</x:v>
      </x:c>
      <x:c r="B15" s="158" t="str">
        <x:v>M2</x:v>
      </x:c>
      <x:c r="C15" s="158" t="str">
        <x:v>light members/cord/padding</x:v>
      </x:c>
      <x:c r="D15" s="158" t="str">
        <x:v>W1</x:v>
      </x:c>
      <x:c r="E15" s="158" t="str">
        <x:v>Supported load distribution</x:v>
      </x:c>
      <x:c r="F15" s="158" t="str">
        <x:v>Functional</x:v>
      </x:c>
      <x:c r="G15" s="204" t="n">
        <x:v>20</x:v>
      </x:c>
      <x:c r="H15" s="204" t="n">
        <x:v>240</x:v>
      </x:c>
      <x:c r="I15" s="204" t="n">
        <x:v>0</x:v>
      </x:c>
      <x:c r="J15" s="204" t="n">
        <x:v>0</x:v>
      </x:c>
      <x:c r="K15" s="204" t="n">
        <x:v>60</x:v>
      </x:c>
      <x:c r="L15" s="158" t="str">
        <x:v>hotspots/frame rack</x:v>
      </x:c>
      <x:c r="M15" s="159" t="str">
        <x:v>route/load evidence</x:v>
      </x:c>
    </x:row>
    <x:row r="16">
      <x:c r="A16" s="157" t="str">
        <x:v>bow stave preparation</x:v>
      </x:c>
      <x:c r="B16" s="158" t="str">
        <x:v>M2–M3</x:v>
      </x:c>
      <x:c r="C16" s="158" t="str">
        <x:v>suitable green stave</x:v>
      </x:c>
      <x:c r="D16" s="158" t="str">
        <x:v>W2</x:v>
      </x:c>
      <x:c r="E16" s="158" t="str">
        <x:v>Understood grain/bending</x:v>
      </x:c>
      <x:c r="F16" s="158" t="str">
        <x:v>Reliable wood</x:v>
      </x:c>
      <x:c r="G16" s="204" t="n">
        <x:v>20</x:v>
      </x:c>
      <x:c r="H16" s="204" t="n">
        <x:v>300</x:v>
      </x:c>
      <x:c r="I16" s="204" t="n">
        <x:v>0</x:v>
      </x:c>
      <x:c r="J16" s="204" t="n">
        <x:v>20160</x:v>
      </x:c>
      <x:c r="K16" s="204" t="n">
        <x:v>60</x:v>
      </x:c>
      <x:c r="L16" s="158" t="str">
        <x:v>set/crack/twist</x:v>
      </x:c>
      <x:c r="M16" s="159" t="str">
        <x:v>long-horizon material behavior</x:v>
      </x:c>
    </x:row>
    <x:row r="17">
      <x:c r="A17" s="157" t="str">
        <x:v>finish and prove bow</x:v>
      </x:c>
      <x:c r="B17" s="158" t="str">
        <x:v>M3</x:v>
      </x:c>
      <x:c r="C17" s="158" t="str">
        <x:v>seasoned stave/string/grip</x:v>
      </x:c>
      <x:c r="D17" s="158" t="str">
        <x:v>W2</x:v>
      </x:c>
      <x:c r="E17" s="158" t="str">
        <x:v>Understood bow system</x:v>
      </x:c>
      <x:c r="F17" s="158" t="str">
        <x:v>Reliable wood/fiber</x:v>
      </x:c>
      <x:c r="G17" s="204" t="n">
        <x:v>30</x:v>
      </x:c>
      <x:c r="H17" s="204" t="n">
        <x:v>480</x:v>
      </x:c>
      <x:c r="I17" s="204" t="n">
        <x:v>0</x:v>
      </x:c>
      <x:c r="J17" s="204" t="n">
        <x:v>0</x:v>
      </x:c>
      <x:c r="K17" s="204" t="n">
        <x:v>120</x:v>
      </x:c>
      <x:c r="L17" s="158" t="str">
        <x:v>limb imbalance/string failure</x:v>
      </x:c>
      <x:c r="M17" s="159" t="str">
        <x:v>tension/geometry/transfer</x:v>
      </x:c>
    </x:row>
    <x:row r="18">
      <x:c r="A18" s="157" t="str">
        <x:v>form clay pot</x:v>
      </x:c>
      <x:c r="B18" s="158" t="str">
        <x:v>M2</x:v>
      </x:c>
      <x:c r="C18" s="158" t="str">
        <x:v>qualified clay/temper</x:v>
      </x:c>
      <x:c r="D18" s="158" t="str">
        <x:v>pottery surface</x:v>
      </x:c>
      <x:c r="E18" s="158" t="str">
        <x:v>Understood drying</x:v>
      </x:c>
      <x:c r="F18" s="158" t="str">
        <x:v>Functional ceramic</x:v>
      </x:c>
      <x:c r="G18" s="204" t="n">
        <x:v>15</x:v>
      </x:c>
      <x:c r="H18" s="204" t="n">
        <x:v>75</x:v>
      </x:c>
      <x:c r="I18" s="204" t="n">
        <x:v>0</x:v>
      </x:c>
      <x:c r="J18" s="204" t="n">
        <x:v>1440</x:v>
      </x:c>
      <x:c r="K18" s="204" t="n">
        <x:v>15</x:v>
      </x:c>
      <x:c r="L18" s="158" t="str">
        <x:v>wall/crack</x:v>
      </x:c>
      <x:c r="M18" s="159" t="str">
        <x:v>form/dry cause</x:v>
      </x:c>
    </x:row>
    <x:row r="19">
      <x:c r="A19" s="157" t="str">
        <x:v>pit-fire clay pot</x:v>
      </x:c>
      <x:c r="B19" s="158" t="str">
        <x:v>M2–M3</x:v>
      </x:c>
      <x:c r="C19" s="158" t="str">
        <x:v>raw pot/grass/sticks/fuel</x:v>
      </x:c>
      <x:c r="D19" s="158" t="str">
        <x:v>kiln site</x:v>
      </x:c>
      <x:c r="E19" s="158" t="str">
        <x:v>Understood firing</x:v>
      </x:c>
      <x:c r="F19" s="158" t="str">
        <x:v>Reliable fire</x:v>
      </x:c>
      <x:c r="G19" s="204" t="n">
        <x:v>30</x:v>
      </x:c>
      <x:c r="H19" s="204" t="n">
        <x:v>90</x:v>
      </x:c>
      <x:c r="I19" s="204" t="n">
        <x:v>600</x:v>
      </x:c>
      <x:c r="J19" s="204" t="n">
        <x:v>600</x:v>
      </x:c>
      <x:c r="K19" s="204" t="n">
        <x:v>30</x:v>
      </x:c>
      <x:c r="L19" s="158" t="str">
        <x:v>thermal shock/underfire</x:v>
      </x:c>
      <x:c r="M19" s="159" t="str">
        <x:v>heat history</x:v>
      </x:c>
    </x:row>
    <x:row r="20">
      <x:c r="A20" s="157" t="str">
        <x:v>charcoal batch</x:v>
      </x:c>
      <x:c r="B20" s="158" t="str">
        <x:v>M3</x:v>
      </x:c>
      <x:c r="C20" s="158" t="str">
        <x:v>10–50 kg dry wood</x:v>
      </x:c>
      <x:c r="D20" s="158" t="str">
        <x:v>charcoal site</x:v>
      </x:c>
      <x:c r="E20" s="158" t="str">
        <x:v>Understood low oxygen</x:v>
      </x:c>
      <x:c r="F20" s="158" t="str">
        <x:v>Reliable fire</x:v>
      </x:c>
      <x:c r="G20" s="204" t="n">
        <x:v>60</x:v>
      </x:c>
      <x:c r="H20" s="204" t="n">
        <x:v>180</x:v>
      </x:c>
      <x:c r="I20" s="204" t="n">
        <x:v>720</x:v>
      </x:c>
      <x:c r="J20" s="204" t="n">
        <x:v>720</x:v>
      </x:c>
      <x:c r="K20" s="204" t="n">
        <x:v>60</x:v>
      </x:c>
      <x:c r="L20" s="158" t="str">
        <x:v>ash/underchar/fire</x:v>
      </x:c>
      <x:c r="M20" s="159" t="str">
        <x:v>airflow/yield</x:v>
      </x:c>
    </x:row>
    <x:row r="21">
      <x:c r="A21" s="157" t="str">
        <x:v>forge coupon</x:v>
      </x:c>
      <x:c r="B21" s="158" t="str">
        <x:v>M3</x:v>
      </x:c>
      <x:c r="C21" s="158" t="str">
        <x:v>qualified stock/fuel</x:v>
      </x:c>
      <x:c r="D21" s="158" t="str">
        <x:v>hot-work cell</x:v>
      </x:c>
      <x:c r="E21" s="158" t="str">
        <x:v>Supported metallurgy</x:v>
      </x:c>
      <x:c r="F21" s="158" t="str">
        <x:v>Guided hot work</x:v>
      </x:c>
      <x:c r="G21" s="204" t="n">
        <x:v>30</x:v>
      </x:c>
      <x:c r="H21" s="204" t="n">
        <x:v>120</x:v>
      </x:c>
      <x:c r="I21" s="204" t="n">
        <x:v>30</x:v>
      </x:c>
      <x:c r="J21" s="204" t="n">
        <x:v>60</x:v>
      </x:c>
      <x:c r="K21" s="204" t="n">
        <x:v>60</x:v>
      </x:c>
      <x:c r="L21" s="158" t="str">
        <x:v>burn/scale/crack</x:v>
      </x:c>
      <x:c r="M21" s="159" t="str">
        <x:v>heat/material qualification</x:v>
      </x:c>
    </x:row>
    <x:row r="22">
      <x:c r="A22" s="157" t="str">
        <x:v>forged axe head</x:v>
      </x:c>
      <x:c r="B22" s="158" t="str">
        <x:v>M3</x:v>
      </x:c>
      <x:c r="C22" s="158" t="str">
        <x:v>1–1.5 kg stock/fuel</x:v>
      </x:c>
      <x:c r="D22" s="158" t="str">
        <x:v>forge/tongs/anvil/gauges</x:v>
      </x:c>
      <x:c r="E22" s="158" t="str">
        <x:v>Understood metallurgy</x:v>
      </x:c>
      <x:c r="F22" s="158" t="str">
        <x:v>Reliable hot work</x:v>
      </x:c>
      <x:c r="G22" s="204" t="n">
        <x:v>45</x:v>
      </x:c>
      <x:c r="H22" s="204" t="n">
        <x:v>315</x:v>
      </x:c>
      <x:c r="I22" s="204" t="n">
        <x:v>60</x:v>
      </x:c>
      <x:c r="J22" s="204" t="n">
        <x:v>180</x:v>
      </x:c>
      <x:c r="K22" s="204" t="n">
        <x:v>90</x:v>
      </x:c>
      <x:c r="L22" s="158" t="str">
        <x:v>overheat/misalignment/heat treat</x:v>
      </x:c>
      <x:c r="M22" s="159" t="str">
        <x:v>phase-specific workmanship</x:v>
      </x:c>
    </x:row>
    <x:row r="23">
      <x:c r="A23" s="157" t="str">
        <x:v>clean electrical repair</x:v>
      </x:c>
      <x:c r="B23" s="158" t="str">
        <x:v>M3</x:v>
      </x:c>
      <x:c r="C23" s="158" t="str">
        <x:v>wire/connector/fuse</x:v>
      </x:c>
      <x:c r="D23" s="158" t="str">
        <x:v>electrical cell</x:v>
      </x:c>
      <x:c r="E23" s="158" t="str">
        <x:v>Understood circuit</x:v>
      </x:c>
      <x:c r="F23" s="158" t="str">
        <x:v>Reliable electrical</x:v>
      </x:c>
      <x:c r="G23" s="204" t="n">
        <x:v>30</x:v>
      </x:c>
      <x:c r="H23" s="204" t="n">
        <x:v>180</x:v>
      </x:c>
      <x:c r="I23" s="204" t="n">
        <x:v>0</x:v>
      </x:c>
      <x:c r="J23" s="204" t="n">
        <x:v>0</x:v>
      </x:c>
      <x:c r="K23" s="204" t="n">
        <x:v>60</x:v>
      </x:c>
      <x:c r="L23" s="158" t="str">
        <x:v>short/poor joint</x:v>
      </x:c>
      <x:c r="M23" s="159" t="str">
        <x:v>measurement + isolation</x:v>
      </x:c>
    </x:row>
    <x:row r="24">
      <x:c r="A24" s="157" t="str">
        <x:v>hull patch</x:v>
      </x:c>
      <x:c r="B24" s="158" t="str">
        <x:v>M3–M4</x:v>
      </x:c>
      <x:c r="C24" s="158" t="str">
        <x:v>panel/seal/fasteners</x:v>
      </x:c>
      <x:c r="D24" s="158" t="str">
        <x:v>W3 + dry support</x:v>
      </x:c>
      <x:c r="E24" s="158" t="str">
        <x:v>Understood hull loads</x:v>
      </x:c>
      <x:c r="F24" s="158" t="str">
        <x:v>Reliable fit/seal</x:v>
      </x:c>
      <x:c r="G24" s="204" t="n">
        <x:v>60</x:v>
      </x:c>
      <x:c r="H24" s="204" t="n">
        <x:v>600</x:v>
      </x:c>
      <x:c r="I24" s="204" t="n">
        <x:v>0</x:v>
      </x:c>
      <x:c r="J24" s="204" t="n">
        <x:v>720</x:v>
      </x:c>
      <x:c r="K24" s="204" t="n">
        <x:v>120</x:v>
      </x:c>
      <x:c r="L24" s="158" t="str">
        <x:v>leak/flex/delamination</x:v>
      </x:c>
      <x:c r="M24" s="159" t="str">
        <x:v>compatibility + proof</x:v>
      </x:c>
    </x:row>
    <x:row r="25">
      <x:c r="A25" s="157" t="str">
        <x:v>engine preserve/inspect</x:v>
      </x:c>
      <x:c r="B25" s="158" t="str">
        <x:v>M3</x:v>
      </x:c>
      <x:c r="C25" s="158" t="str">
        <x:v>engine/fluids/labels</x:v>
      </x:c>
      <x:c r="D25" s="158" t="str">
        <x:v>mechanical cell</x:v>
      </x:c>
      <x:c r="E25" s="158" t="str">
        <x:v>Supported subsystem model</x:v>
      </x:c>
      <x:c r="F25" s="158" t="str">
        <x:v>Functional mechanics</x:v>
      </x:c>
      <x:c r="G25" s="204" t="n">
        <x:v>60</x:v>
      </x:c>
      <x:c r="H25" s="204" t="n">
        <x:v>480</x:v>
      </x:c>
      <x:c r="I25" s="204" t="n">
        <x:v>0</x:v>
      </x:c>
      <x:c r="J25" s="204" t="n">
        <x:v>0</x:v>
      </x:c>
      <x:c r="K25" s="204" t="n">
        <x:v>180</x:v>
      </x:c>
      <x:c r="L25" s="158" t="str">
        <x:v>lost evidence/contamination</x:v>
      </x:c>
      <x:c r="M25" s="159" t="str">
        <x:v>provenance + diagnosis</x:v>
      </x:c>
    </x:row>
    <x:row r="26">
      <x:c r="A26" s="157" t="str">
        <x:v>engine subsystem restore</x:v>
      </x:c>
      <x:c r="B26" s="158" t="str">
        <x:v>M4</x:v>
      </x:c>
      <x:c r="C26" s="158" t="str">
        <x:v>parts/seals/fluids</x:v>
      </x:c>
      <x:c r="D26" s="158" t="str">
        <x:v>W4 stand/hoist/instruments</x:v>
      </x:c>
      <x:c r="E26" s="158" t="str">
        <x:v>Generalized subsystem</x:v>
      </x:c>
      <x:c r="F26" s="158" t="str">
        <x:v>Adaptive mechanics</x:v>
      </x:c>
      <x:c r="G26" s="204" t="n">
        <x:v>180</x:v>
      </x:c>
      <x:c r="H26" s="204" t="n">
        <x:v>7200</x:v>
      </x:c>
      <x:c r="I26" s="204" t="n">
        <x:v>0</x:v>
      </x:c>
      <x:c r="J26" s="204" t="n">
        <x:v>10080</x:v>
      </x:c>
      <x:c r="K26" s="204" t="n">
        <x:v>600</x:v>
      </x:c>
      <x:c r="L26" s="158" t="str">
        <x:v>stored energy/fit/lube/cooling</x:v>
      </x:c>
      <x:c r="M26" s="159" t="str">
        <x:v>system mapping + tests</x:v>
      </x:c>
    </x:row>
    <x:row r="27">
      <x:c r="A27" s="157" t="str">
        <x:v>repair floating hull</x:v>
      </x:c>
      <x:c r="B27" s="158" t="str">
        <x:v>M4</x:v>
      </x:c>
      <x:c r="C27" s="158" t="str">
        <x:v>multiple patches/structure</x:v>
      </x:c>
      <x:c r="D27" s="158" t="str">
        <x:v>shore boatyard</x:v>
      </x:c>
      <x:c r="E27" s="158" t="str">
        <x:v>Generalized hull</x:v>
      </x:c>
      <x:c r="F27" s="158" t="str">
        <x:v>Adaptive repair/rigging</x:v>
      </x:c>
      <x:c r="G27" s="204" t="n">
        <x:v>240</x:v>
      </x:c>
      <x:c r="H27" s="204" t="n">
        <x:v>7200</x:v>
      </x:c>
      <x:c r="I27" s="204" t="n">
        <x:v>0</x:v>
      </x:c>
      <x:c r="J27" s="204" t="n">
        <x:v>2880</x:v>
      </x:c>
      <x:c r="K27" s="204" t="n">
        <x:v>720</x:v>
      </x:c>
      <x:c r="L27" s="158" t="str">
        <x:v>global alignment/leak</x:v>
      </x:c>
      <x:c r="M27" s="159" t="str">
        <x:v>scale/logistics</x:v>
      </x:c>
    </x:row>
    <x:row r="28">
      <x:c r="A28" s="157" t="str">
        <x:v>commission powered boat</x:v>
      </x:c>
      <x:c r="B28" s="158" t="str">
        <x:v>M4–M5</x:v>
      </x:c>
      <x:c r="C28" s="158" t="str">
        <x:v>engine/fuel/control/safety</x:v>
      </x:c>
      <x:c r="D28" s="158" t="str">
        <x:v>legacy boatyard</x:v>
      </x:c>
      <x:c r="E28" s="158" t="str">
        <x:v>Generalized marine system</x:v>
      </x:c>
      <x:c r="F28" s="158" t="str">
        <x:v>Adaptive multi-domain</x:v>
      </x:c>
      <x:c r="G28" s="204" t="n">
        <x:v>480</x:v>
      </x:c>
      <x:c r="H28" s="204" t="n">
        <x:v>14400</x:v>
      </x:c>
      <x:c r="I28" s="204" t="n">
        <x:v>0</x:v>
      </x:c>
      <x:c r="J28" s="204" t="n">
        <x:v>4320</x:v>
      </x:c>
      <x:c r="K28" s="204" t="n">
        <x:v>1440</x:v>
      </x:c>
      <x:c r="L28" s="158" t="str">
        <x:v>integration/trim/control</x:v>
      </x:c>
      <x:c r="M28" s="159" t="str">
        <x:v>end-to-end proof</x:v>
      </x:c>
    </x:row>
    <x:row r="29">
      <x:c r="A29" s="160" t="str">
        <x:v>teach handled cutter</x:v>
      </x:c>
      <x:c r="B29" s="161" t="str">
        <x:v>M2 social</x:v>
      </x:c>
      <x:c r="C29" s="161" t="str">
        <x:v>materials + record</x:v>
      </x:c>
      <x:c r="D29" s="161" t="str">
        <x:v>W1 teaching setup</x:v>
      </x:c>
      <x:c r="E29" s="161" t="str">
        <x:v>Teachable pattern</x:v>
      </x:c>
      <x:c r="F29" s="161" t="str">
        <x:v>Teachable operation</x:v>
      </x:c>
      <x:c r="G29" s="205" t="n">
        <x:v>30</x:v>
      </x:c>
      <x:c r="H29" s="205" t="n">
        <x:v>90</x:v>
      </x:c>
      <x:c r="I29" s="205" t="n">
        <x:v>0</x:v>
      </x:c>
      <x:c r="J29" s="205" t="n">
        <x:v>0</x:v>
      </x:c>
      <x:c r="K29" s="205" t="n">
        <x:v>60</x:v>
      </x:c>
      <x:c r="L29" s="161" t="str">
        <x:v>copied motions/no understanding</x:v>
      </x:c>
      <x:c r="M29" s="162" t="str">
        <x:v>metacognition + handoff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3f2fc6f5065404c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.559999465942383" hidden="0" customWidth="1"/>
    <x:col min="3" max="3" width="40" hidden="0" customWidth="1"/>
    <x:col min="4" max="4" width="27.219999313354492" hidden="0" customWidth="1"/>
    <x:col min="5" max="5" width="25.559999465942383" hidden="0" customWidth="1"/>
    <x:col min="6" max="6" width="25.559999465942383" hidden="0" customWidth="1"/>
  </x:cols>
  <x:sheetData>
    <x:row r="1" ht="28" customHeight="1">
      <x:c r="A1" s="118" t="str">
        <x:v>v2.8 Research Sources and Translation</x:v>
      </x:c>
      <x:c r="B1" s="118"/>
      <x:c r="C1" s="118"/>
      <x:c r="D1" s="118"/>
      <x:c r="E1" s="118"/>
      <x:c r="F1" s="118"/>
    </x:row>
    <x:row r="2" ht="34" customHeight="1">
      <x:c r="A2" s="122" t="str">
        <x:v>Primary game/developer sources and research used to tighten character identity, learning, workstations, hands-on manufacture, transfer, retention, and anti-grind design.</x:v>
      </x:c>
      <x:c r="B2" s="122"/>
      <x:c r="C2" s="122"/>
      <x:c r="D2" s="122"/>
      <x:c r="E2" s="122"/>
      <x:c r="F2" s="122"/>
    </x:row>
    <x:row r="4">
      <x:c r="A4" s="132" t="str">
        <x:v>Domain</x:v>
      </x:c>
      <x:c r="B4" s="133" t="str">
        <x:v>Source</x:v>
      </x:c>
      <x:c r="C4" s="133" t="str">
        <x:v>URL</x:v>
      </x:c>
      <x:c r="D4" s="133" t="str">
        <x:v>Finding</x:v>
      </x:c>
      <x:c r="E4" s="133" t="str">
        <x:v>Adopted</x:v>
      </x:c>
      <x:c r="F4" s="134" t="str">
        <x:v>Rejected/limited</x:v>
      </x:c>
    </x:row>
    <x:row r="5">
      <x:c r="A5" s="154" t="str">
        <x:v>Character progression</x:v>
      </x:c>
      <x:c r="B5" s="155" t="str">
        <x:v>Bethesda — Fallout 76 progression</x:v>
      </x:c>
      <x:c r="C5" s="155" t="str">
        <x:v>https://fallout.bethesda.net/en/article/our-future-begins-whats-new-in-fallout-76</x:v>
      </x:c>
      <x:c r="D5" s="155" t="str">
        <x:v>Memorable attributes and perk choices make builds readable</x:v>
      </x:c>
      <x:c r="E5" s="155" t="str">
        <x:v>8-characteristic frame + earned qualitative traits</x:v>
      </x:c>
      <x:c r="F5" s="156" t="str">
        <x:v>global level; random cards; recipe perks; magical carry</x:v>
      </x:c>
    </x:row>
    <x:row r="6">
      <x:c r="A6" s="157" t="str">
        <x:v>Crafting design</x:v>
      </x:c>
      <x:c r="B6" s="158" t="str">
        <x:v>Project Zomboid — Crafting RamblZ</x:v>
      </x:c>
      <x:c r="C6" s="158" t="str">
        <x:v>https://projectzomboid.com/blog/news/2023/04/crafting-ramblz/</x:v>
      </x:c>
      <x:c r="D6" s="158" t="str">
        <x:v>Deep trees risk catalogue clutter, grind and multi-stage tedium; shared concepts and observation help</x:v>
      </x:c>
      <x:c r="E6" s="158" t="str">
        <x:v>contextual learning; shared motifs; useful multi-stage work</x:v>
      </x:c>
      <x:c r="F6" s="159" t="str">
        <x:v>manufacture hundreds for XP; complete recipe catalogue</x:v>
      </x:c>
    </x:row>
    <x:row r="7">
      <x:c r="A7" s="157" t="str">
        <x:v>Crafting implementation</x:v>
      </x:c>
      <x:c r="B7" s="158" t="str">
        <x:v>Project Zomboid — Build 42.20 features</x:v>
      </x:c>
      <x:c r="C7" s="158" t="str">
        <x:v>https://projectzomboid.com/blog/features-overview-build-42-20/</x:v>
      </x:c>
      <x:c r="D7" s="158" t="str">
        <x:v>Selectable inputs, part conditions, workstations and multiple craft methods</x:v>
      </x:c>
      <x:c r="E7" s="158" t="str">
        <x:v>input choice; component condition; workstation surfaces</x:v>
      </x:c>
      <x:c r="F7" s="159" t="str">
        <x:v>recipe discovery through ordinary list</x:v>
      </x:c>
    </x:row>
    <x:row r="8">
      <x:c r="A8" s="157" t="str">
        <x:v>Embodied manufacture</x:v>
      </x:c>
      <x:c r="B8" s="158" t="str">
        <x:v>Vintage Story crafting guide</x:v>
      </x:c>
      <x:c r="C8" s="158" t="str">
        <x:v>https://wiki.vintagestory.at/Crafting</x:v>
      </x:c>
      <x:c r="D8" s="158" t="str">
        <x:v>Knapping, clay forming, casting and smithing feel distinct through physical verbs and process time</x:v>
      </x:c>
      <x:c r="E8" s="158" t="str">
        <x:v>operation-specific interaction; persistent material phases</x:v>
      </x:c>
      <x:c r="F8" s="159" t="str">
        <x:v>complete handbook and preselected silhouettes before discovery</x:v>
      </x:c>
    </x:row>
    <x:row r="9">
      <x:c r="A9" s="157" t="str">
        <x:v>Motor learning</x:v>
      </x:c>
      <x:c r="B9" s="158" t="str">
        <x:v>Guadagnoli &amp; Lee — Challenge Point Framework</x:v>
      </x:c>
      <x:c r="C9" s="158" t="str">
        <x:v>https://pubmed.ncbi.nlm.nih.gov/15130871/</x:v>
      </x:c>
      <x:c r="D9" s="158" t="str">
        <x:v>Learning depends on ability, difficulty and interpretable information</x:v>
      </x:c>
      <x:c r="E9" s="158" t="str">
        <x:v>challenge-fit evidence model</x:v>
      </x:c>
      <x:c r="F9" s="159" t="str">
        <x:v>harder always means more XP</x:v>
      </x:c>
    </x:row>
    <x:row r="10">
      <x:c r="A10" s="157" t="str">
        <x:v>Retention</x:v>
      </x:c>
      <x:c r="B10" s="158" t="str">
        <x:v>Kantak &amp; Winstein — learning/performance distinction</x:v>
      </x:c>
      <x:c r="C10" s="158" t="str">
        <x:v>https://pubmed.ncbi.nlm.nih.gov/22142953/</x:v>
      </x:c>
      <x:c r="D10" s="158" t="str">
        <x:v>Practice performance is not equivalent to retained learning</x:v>
      </x:c>
      <x:c r="E10" s="158" t="str">
        <x:v>later reproduction and retention gates</x:v>
      </x:c>
      <x:c r="F10" s="159" t="str">
        <x:v>stage from session score alone</x:v>
      </x:c>
    </x:row>
    <x:row r="11">
      <x:c r="A11" s="157" t="str">
        <x:v>Transfer</x:v>
      </x:c>
      <x:c r="B11" s="158" t="str">
        <x:v>Porter &amp; Magill — progressive contextual interference</x:v>
      </x:c>
      <x:c r="C11" s="158" t="str">
        <x:v>https://pubmed.ncbi.nlm.nih.gov/20845219/</x:v>
      </x:c>
      <x:c r="D11" s="158" t="str">
        <x:v>Progressively varied practice supports retention/transfer</x:v>
      </x:c>
      <x:c r="E11" s="158" t="str">
        <x:v>variation gates after functional control</x:v>
      </x:c>
      <x:c r="F11" s="159" t="str">
        <x:v>random overwhelming variation for novices</x:v>
      </x:c>
    </x:row>
    <x:row r="12">
      <x:c r="A12" s="157" t="str">
        <x:v>Consolidation</x:v>
      </x:c>
      <x:c r="B12" s="158" t="str">
        <x:v>Diekelmann &amp; Born — memory function of sleep</x:v>
      </x:c>
      <x:c r="C12" s="158" t="str">
        <x:v>https://pubmed.ncbi.nlm.nih.gov/20046194/</x:v>
      </x:c>
      <x:c r="D12" s="158" t="str">
        <x:v>Sleep contributes to memory consolidation</x:v>
      </x:c>
      <x:c r="E12" s="158" t="str">
        <x:v>recovery applied to retained evidence</x:v>
      </x:c>
      <x:c r="F12" s="159" t="str">
        <x:v>sleep grants free skill without practice</x:v>
      </x:c>
    </x:row>
    <x:row r="13">
      <x:c r="A13" s="157" t="str">
        <x:v>Inherited canon</x:v>
      </x:c>
      <x:c r="B13" s="158" t="str">
        <x:v>Design Bible v2.3</x:v>
      </x:c>
      <x:c r="C13" s="158" t="str">
        <x:v>local project artifact</x:v>
      </x:c>
      <x:c r="D13" s="158" t="str">
        <x:v>Empty book; Maker's Spiral; causal failure; information experience</x:v>
      </x:c>
      <x:c r="E13" s="158" t="str">
        <x:v>fully retained</x:v>
      </x:c>
      <x:c r="F13" s="159" t="str">
        <x:v>none</x:v>
      </x:c>
    </x:row>
    <x:row r="14">
      <x:c r="A14" s="157" t="str">
        <x:v>Inherited canon</x:v>
      </x:c>
      <x:c r="B14" s="158" t="str">
        <x:v>Design Bible v2.6</x:v>
      </x:c>
      <x:c r="C14" s="158" t="str">
        <x:v>local project artifact</x:v>
      </x:c>
      <x:c r="D14" s="158" t="str">
        <x:v>Felt Body; five contributors; continuous human time</x:v>
      </x:c>
      <x:c r="E14" s="158" t="str">
        <x:v>fully retained</x:v>
      </x:c>
      <x:c r="F14" s="159" t="str">
        <x:v>none</x:v>
      </x:c>
    </x:row>
    <x:row r="15">
      <x:c r="A15" s="157" t="str">
        <x:v>Inherited canon</x:v>
      </x:c>
      <x:c r="B15" s="158" t="str">
        <x:v>Design Bible v2.7</x:v>
      </x:c>
      <x:c r="C15" s="158" t="str">
        <x:v>local project artifact</x:v>
      </x:c>
      <x:c r="D15" s="158" t="str">
        <x:v>workbench operations; material economies; consequence resolver</x:v>
      </x:c>
      <x:c r="E15" s="158" t="str">
        <x:v>fully retained</x:v>
      </x:c>
      <x:c r="F15" s="159" t="str">
        <x:v>thin stage definitions superseded</x:v>
      </x:c>
    </x:row>
    <x:row r="16">
      <x:c r="A16" s="160" t="str">
        <x:v>Inherited canon</x:v>
      </x:c>
      <x:c r="B16" s="161" t="str">
        <x:v>Castaway Cycle v0.9</x:v>
      </x:c>
      <x:c r="C16" s="161" t="str">
        <x:v>local project artifact</x:v>
      </x:c>
      <x:c r="D16" s="161" t="str">
        <x:v>Capability Hypergraph; transfer motifs; physical inheritance</x:v>
      </x:c>
      <x:c r="E16" s="161" t="str">
        <x:v>fully retained</x:v>
      </x:c>
      <x:c r="F16" s="162" t="str">
        <x:v>overlapping capacity labels clarified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f99672ac64b44e3"/>
  </x:tableParts>
</x:worksheet>
</file>